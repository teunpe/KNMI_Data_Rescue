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480" yWindow="120" windowWidth="18195" windowHeight="11760"/>
  </bookViews>
  <sheets>
    <sheet name="Invoer" sheetId="1" r:id="rId1"/>
    <sheet name="Info" sheetId="4" r:id="rId2"/>
    <sheet name="Regen" sheetId="2" r:id="rId3"/>
    <sheet name="Overig" sheetId="3" r:id="rId4"/>
    <sheet name="RegenASCII" sheetId="5" r:id="rId5"/>
    <sheet name="OverigASCII" sheetId="6" r:id="rId6"/>
  </sheets>
  <definedNames>
    <definedName name="_xlnm._FilterDatabase" localSheetId="0" hidden="1">Invoer!$A$2:$E$381</definedName>
    <definedName name="Catalogus">Info!$J$3:$N$4</definedName>
    <definedName name="Data">Invoer!$A$3:$E$381</definedName>
    <definedName name="Est">Info!$H$8</definedName>
    <definedName name="Lacking">Info!$H$9</definedName>
    <definedName name="ME">Info!$H$6</definedName>
    <definedName name="MS">Info!$H$7</definedName>
    <definedName name="Ok">Info!$H$5</definedName>
    <definedName name="Parameters">Info!$D$4:$E$7</definedName>
    <definedName name="Stations">Info!$A$4:$B$7</definedName>
  </definedNames>
  <calcPr calcId="145621"/>
</workbook>
</file>

<file path=xl/calcChain.xml><?xml version="1.0" encoding="utf-8"?>
<calcChain xmlns="http://schemas.openxmlformats.org/spreadsheetml/2006/main">
  <c r="A1" i="6" l="1"/>
  <c r="A3" i="3" l="1"/>
  <c r="C3" i="3"/>
  <c r="A4" i="3"/>
  <c r="C4" i="3"/>
  <c r="A5" i="3"/>
  <c r="C5" i="3"/>
  <c r="A6" i="3"/>
  <c r="C6" i="3"/>
  <c r="A7" i="3"/>
  <c r="C7" i="3"/>
  <c r="A8" i="3"/>
  <c r="C8" i="3"/>
  <c r="A9" i="3"/>
  <c r="C9" i="3"/>
  <c r="A10" i="3"/>
  <c r="C10" i="3"/>
  <c r="A11" i="3"/>
  <c r="C11" i="3"/>
  <c r="A12" i="3"/>
  <c r="C12" i="3"/>
  <c r="A13" i="3"/>
  <c r="C13" i="3"/>
  <c r="A14" i="3"/>
  <c r="C14" i="3"/>
  <c r="A15" i="3"/>
  <c r="C15" i="3"/>
  <c r="A16" i="3"/>
  <c r="C16" i="3"/>
  <c r="A17" i="3"/>
  <c r="C17" i="3"/>
  <c r="A18" i="3"/>
  <c r="C18" i="3"/>
  <c r="A19" i="3"/>
  <c r="C19" i="3"/>
  <c r="A20" i="3"/>
  <c r="C20" i="3"/>
  <c r="A21" i="3"/>
  <c r="C21" i="3"/>
  <c r="A22" i="3"/>
  <c r="C22" i="3"/>
  <c r="A23" i="3"/>
  <c r="C23" i="3"/>
  <c r="A24" i="3"/>
  <c r="C24" i="3"/>
  <c r="A25" i="3"/>
  <c r="C25" i="3"/>
  <c r="A26" i="3"/>
  <c r="C26" i="3"/>
  <c r="A27" i="3"/>
  <c r="C27" i="3"/>
  <c r="A28" i="3"/>
  <c r="C28" i="3"/>
  <c r="A29" i="3"/>
  <c r="C29" i="3"/>
  <c r="A30" i="3"/>
  <c r="C30" i="3"/>
  <c r="A31" i="3"/>
  <c r="C31" i="3"/>
  <c r="A32" i="3"/>
  <c r="C32" i="3"/>
  <c r="A33" i="3"/>
  <c r="C33" i="3"/>
  <c r="A34" i="3"/>
  <c r="C34" i="3"/>
  <c r="A35" i="3"/>
  <c r="C35" i="3"/>
  <c r="A36" i="3"/>
  <c r="C36" i="3"/>
  <c r="A37" i="3"/>
  <c r="C37" i="3"/>
  <c r="A38" i="3"/>
  <c r="C38" i="3"/>
  <c r="A39" i="3"/>
  <c r="C39" i="3"/>
  <c r="A40" i="3"/>
  <c r="C40" i="3"/>
  <c r="A41" i="3"/>
  <c r="C41" i="3"/>
  <c r="A42" i="3"/>
  <c r="C42" i="3"/>
  <c r="A43" i="3"/>
  <c r="C43" i="3"/>
  <c r="A44" i="3"/>
  <c r="C44" i="3"/>
  <c r="A45" i="3"/>
  <c r="C45" i="3"/>
  <c r="A46" i="3"/>
  <c r="C46" i="3"/>
  <c r="A47" i="3"/>
  <c r="C47" i="3"/>
  <c r="A48" i="3"/>
  <c r="C48" i="3"/>
  <c r="A49" i="3"/>
  <c r="C49" i="3"/>
  <c r="A50" i="3"/>
  <c r="C50" i="3"/>
  <c r="A51" i="3"/>
  <c r="C51" i="3"/>
  <c r="A52" i="3"/>
  <c r="C52" i="3"/>
  <c r="A53" i="3"/>
  <c r="C53" i="3"/>
  <c r="A54" i="3"/>
  <c r="C54" i="3"/>
  <c r="A55" i="3"/>
  <c r="C55" i="3"/>
  <c r="A56" i="3"/>
  <c r="C56" i="3"/>
  <c r="A57" i="3"/>
  <c r="C57" i="3"/>
  <c r="A58" i="3"/>
  <c r="C58" i="3"/>
  <c r="A59" i="3"/>
  <c r="C59" i="3"/>
  <c r="A60" i="3"/>
  <c r="C60" i="3"/>
  <c r="A61" i="3"/>
  <c r="C61" i="3"/>
  <c r="A62" i="3"/>
  <c r="C62" i="3"/>
  <c r="A63" i="3"/>
  <c r="C63" i="3"/>
  <c r="A64" i="3"/>
  <c r="C64" i="3"/>
  <c r="A65" i="3"/>
  <c r="C65" i="3"/>
  <c r="A66" i="3"/>
  <c r="C66" i="3"/>
  <c r="A67" i="3"/>
  <c r="C67" i="3"/>
  <c r="A68" i="3"/>
  <c r="C68" i="3"/>
  <c r="A69" i="3"/>
  <c r="C69" i="3"/>
  <c r="A70" i="3"/>
  <c r="C70" i="3"/>
  <c r="A71" i="3"/>
  <c r="C71" i="3"/>
  <c r="A72" i="3"/>
  <c r="C72" i="3"/>
  <c r="A73" i="3"/>
  <c r="C73" i="3"/>
  <c r="A74" i="3"/>
  <c r="C74" i="3"/>
  <c r="A75" i="3"/>
  <c r="C75" i="3"/>
  <c r="A76" i="3"/>
  <c r="C76" i="3"/>
  <c r="A77" i="3"/>
  <c r="C77" i="3"/>
  <c r="A78" i="3"/>
  <c r="C78" i="3"/>
  <c r="A79" i="3"/>
  <c r="C79" i="3"/>
  <c r="A80" i="3"/>
  <c r="C80" i="3"/>
  <c r="A81" i="3"/>
  <c r="C81" i="3"/>
  <c r="A82" i="3"/>
  <c r="C82" i="3"/>
  <c r="A83" i="3"/>
  <c r="C83" i="3"/>
  <c r="A84" i="3"/>
  <c r="C84" i="3"/>
  <c r="A85" i="3"/>
  <c r="C85" i="3"/>
  <c r="A86" i="3"/>
  <c r="C86" i="3"/>
  <c r="A87" i="3"/>
  <c r="C87" i="3"/>
  <c r="A88" i="3"/>
  <c r="C88" i="3"/>
  <c r="A89" i="3"/>
  <c r="C89" i="3"/>
  <c r="A90" i="3"/>
  <c r="C90" i="3"/>
  <c r="A91" i="3"/>
  <c r="C91" i="3"/>
  <c r="A92" i="3"/>
  <c r="C92" i="3"/>
  <c r="A93" i="3"/>
  <c r="C93" i="3"/>
  <c r="A94" i="3"/>
  <c r="C94" i="3"/>
  <c r="A95" i="3"/>
  <c r="C95" i="3"/>
  <c r="A96" i="3"/>
  <c r="C96" i="3"/>
  <c r="A97" i="3"/>
  <c r="C97" i="3"/>
  <c r="A98" i="3"/>
  <c r="C98" i="3"/>
  <c r="A99" i="3"/>
  <c r="C99" i="3"/>
  <c r="A100" i="3"/>
  <c r="C100" i="3"/>
  <c r="A101" i="3"/>
  <c r="C101" i="3"/>
  <c r="A102" i="3"/>
  <c r="C102" i="3"/>
  <c r="A103" i="3"/>
  <c r="C103" i="3"/>
  <c r="A104" i="3"/>
  <c r="C104" i="3"/>
  <c r="A105" i="3"/>
  <c r="C105" i="3"/>
  <c r="A106" i="3"/>
  <c r="C106" i="3"/>
  <c r="A107" i="3"/>
  <c r="C107" i="3"/>
  <c r="A108" i="3"/>
  <c r="C108" i="3"/>
  <c r="A109" i="3"/>
  <c r="C109" i="3"/>
  <c r="A110" i="3"/>
  <c r="C110" i="3"/>
  <c r="A111" i="3"/>
  <c r="C111" i="3"/>
  <c r="A112" i="3"/>
  <c r="C112" i="3"/>
  <c r="A113" i="3"/>
  <c r="C113" i="3"/>
  <c r="A114" i="3"/>
  <c r="C114" i="3"/>
  <c r="A115" i="3"/>
  <c r="C115" i="3"/>
  <c r="A116" i="3"/>
  <c r="C116" i="3"/>
  <c r="A117" i="3"/>
  <c r="C117" i="3"/>
  <c r="A118" i="3"/>
  <c r="C118" i="3"/>
  <c r="A119" i="3"/>
  <c r="C119" i="3"/>
  <c r="A120" i="3"/>
  <c r="C120" i="3"/>
  <c r="A121" i="3"/>
  <c r="C121" i="3"/>
  <c r="A122" i="3"/>
  <c r="C122" i="3"/>
  <c r="A123" i="3"/>
  <c r="C123" i="3"/>
  <c r="A124" i="3"/>
  <c r="C124" i="3"/>
  <c r="A125" i="3"/>
  <c r="C125" i="3"/>
  <c r="A126" i="3"/>
  <c r="C126" i="3"/>
  <c r="A127" i="3"/>
  <c r="C127" i="3"/>
  <c r="A128" i="3"/>
  <c r="C128" i="3"/>
  <c r="A129" i="3"/>
  <c r="C129" i="3"/>
  <c r="A130" i="3"/>
  <c r="C130" i="3"/>
  <c r="A131" i="3"/>
  <c r="C131" i="3"/>
  <c r="A132" i="3"/>
  <c r="C132" i="3"/>
  <c r="A133" i="3"/>
  <c r="C133" i="3"/>
  <c r="A134" i="3"/>
  <c r="C134" i="3"/>
  <c r="A135" i="3"/>
  <c r="C135" i="3"/>
  <c r="A136" i="3"/>
  <c r="C136" i="3"/>
  <c r="A137" i="3"/>
  <c r="C137" i="3"/>
  <c r="A138" i="3"/>
  <c r="C138" i="3"/>
  <c r="A139" i="3"/>
  <c r="C139" i="3"/>
  <c r="A140" i="3"/>
  <c r="C140" i="3"/>
  <c r="A141" i="3"/>
  <c r="C141" i="3"/>
  <c r="A142" i="3"/>
  <c r="C142" i="3"/>
  <c r="A143" i="3"/>
  <c r="C143" i="3"/>
  <c r="A144" i="3"/>
  <c r="C144" i="3"/>
  <c r="A145" i="3"/>
  <c r="C145" i="3"/>
  <c r="A146" i="3"/>
  <c r="C146" i="3"/>
  <c r="A147" i="3"/>
  <c r="C147" i="3"/>
  <c r="A148" i="3"/>
  <c r="C148" i="3"/>
  <c r="A149" i="3"/>
  <c r="C149" i="3"/>
  <c r="A150" i="3"/>
  <c r="C150" i="3"/>
  <c r="A151" i="3"/>
  <c r="C151" i="3"/>
  <c r="A152" i="3"/>
  <c r="C152" i="3"/>
  <c r="A153" i="3"/>
  <c r="C153" i="3"/>
  <c r="A154" i="3"/>
  <c r="C154" i="3"/>
  <c r="A155" i="3"/>
  <c r="C155" i="3"/>
  <c r="A156" i="3"/>
  <c r="C156" i="3"/>
  <c r="A157" i="3"/>
  <c r="C157" i="3"/>
  <c r="A158" i="3"/>
  <c r="C158" i="3"/>
  <c r="A159" i="3"/>
  <c r="C159" i="3"/>
  <c r="A160" i="3"/>
  <c r="C160" i="3"/>
  <c r="A161" i="3"/>
  <c r="C161" i="3"/>
  <c r="A162" i="3"/>
  <c r="C162" i="3"/>
  <c r="A163" i="3"/>
  <c r="C163" i="3"/>
  <c r="A164" i="3"/>
  <c r="C164" i="3"/>
  <c r="A165" i="3"/>
  <c r="C165" i="3"/>
  <c r="A166" i="3"/>
  <c r="C166" i="3"/>
  <c r="A167" i="3"/>
  <c r="C167" i="3"/>
  <c r="A168" i="3"/>
  <c r="C168" i="3"/>
  <c r="A169" i="3"/>
  <c r="C169" i="3"/>
  <c r="A170" i="3"/>
  <c r="C170" i="3"/>
  <c r="A171" i="3"/>
  <c r="C171" i="3"/>
  <c r="A172" i="3"/>
  <c r="C172" i="3"/>
  <c r="A173" i="3"/>
  <c r="C173" i="3"/>
  <c r="A174" i="3"/>
  <c r="C174" i="3"/>
  <c r="A175" i="3"/>
  <c r="C175" i="3"/>
  <c r="A176" i="3"/>
  <c r="C176" i="3"/>
  <c r="A177" i="3"/>
  <c r="C177" i="3"/>
  <c r="A178" i="3"/>
  <c r="C178" i="3"/>
  <c r="A179" i="3"/>
  <c r="C179" i="3"/>
  <c r="A180" i="3"/>
  <c r="C180" i="3"/>
  <c r="A181" i="3"/>
  <c r="C181" i="3"/>
  <c r="A182" i="3"/>
  <c r="C182" i="3"/>
  <c r="A183" i="3"/>
  <c r="C183" i="3"/>
  <c r="A184" i="3"/>
  <c r="C184" i="3"/>
  <c r="A185" i="3"/>
  <c r="C185" i="3"/>
  <c r="A186" i="3"/>
  <c r="C186" i="3"/>
  <c r="A187" i="3"/>
  <c r="C187" i="3"/>
  <c r="A188" i="3"/>
  <c r="C188" i="3"/>
  <c r="A189" i="3"/>
  <c r="C189" i="3"/>
  <c r="A190" i="3"/>
  <c r="C190" i="3"/>
  <c r="A191" i="3"/>
  <c r="C191" i="3"/>
  <c r="A192" i="3"/>
  <c r="C192" i="3"/>
  <c r="A193" i="3"/>
  <c r="C193" i="3"/>
  <c r="A194" i="3"/>
  <c r="C194" i="3"/>
  <c r="A195" i="3"/>
  <c r="C195" i="3"/>
  <c r="A196" i="3"/>
  <c r="C196" i="3"/>
  <c r="A197" i="3"/>
  <c r="C197" i="3"/>
  <c r="A198" i="3"/>
  <c r="C198" i="3"/>
  <c r="A199" i="3"/>
  <c r="C199" i="3"/>
  <c r="A200" i="3"/>
  <c r="C200" i="3"/>
  <c r="A201" i="3"/>
  <c r="C201" i="3"/>
  <c r="A202" i="3"/>
  <c r="C202" i="3"/>
  <c r="A203" i="3"/>
  <c r="C203" i="3"/>
  <c r="A204" i="3"/>
  <c r="C204" i="3"/>
  <c r="A205" i="3"/>
  <c r="C205" i="3"/>
  <c r="A206" i="3"/>
  <c r="C206" i="3"/>
  <c r="A207" i="3"/>
  <c r="C207" i="3"/>
  <c r="A208" i="3"/>
  <c r="C208" i="3"/>
  <c r="A209" i="3"/>
  <c r="C209" i="3"/>
  <c r="A210" i="3"/>
  <c r="C210" i="3"/>
  <c r="A211" i="3"/>
  <c r="C211" i="3"/>
  <c r="A212" i="3"/>
  <c r="C212" i="3"/>
  <c r="A213" i="3"/>
  <c r="C213" i="3"/>
  <c r="A214" i="3"/>
  <c r="C214" i="3"/>
  <c r="A215" i="3"/>
  <c r="C215" i="3"/>
  <c r="A216" i="3"/>
  <c r="C216" i="3"/>
  <c r="A217" i="3"/>
  <c r="C217" i="3"/>
  <c r="A218" i="3"/>
  <c r="C218" i="3"/>
  <c r="A219" i="3"/>
  <c r="C219" i="3"/>
  <c r="A220" i="3"/>
  <c r="C220" i="3"/>
  <c r="A221" i="3"/>
  <c r="C221" i="3"/>
  <c r="A222" i="3"/>
  <c r="C222" i="3"/>
  <c r="A223" i="3"/>
  <c r="C223" i="3"/>
  <c r="A224" i="3"/>
  <c r="C224" i="3"/>
  <c r="A225" i="3"/>
  <c r="C225" i="3"/>
  <c r="A226" i="3"/>
  <c r="C226" i="3"/>
  <c r="A227" i="3"/>
  <c r="C227" i="3"/>
  <c r="A228" i="3"/>
  <c r="C228" i="3"/>
  <c r="A229" i="3"/>
  <c r="C229" i="3"/>
  <c r="A230" i="3"/>
  <c r="C230" i="3"/>
  <c r="A231" i="3"/>
  <c r="C231" i="3"/>
  <c r="A232" i="3"/>
  <c r="C232" i="3"/>
  <c r="A233" i="3"/>
  <c r="C233" i="3"/>
  <c r="A234" i="3"/>
  <c r="C234" i="3"/>
  <c r="A235" i="3"/>
  <c r="C235" i="3"/>
  <c r="A236" i="3"/>
  <c r="C236" i="3"/>
  <c r="A237" i="3"/>
  <c r="C237" i="3"/>
  <c r="A238" i="3"/>
  <c r="C238" i="3"/>
  <c r="A239" i="3"/>
  <c r="C239" i="3"/>
  <c r="A240" i="3"/>
  <c r="C240" i="3"/>
  <c r="A241" i="3"/>
  <c r="C241" i="3"/>
  <c r="A242" i="3"/>
  <c r="C242" i="3"/>
  <c r="A243" i="3"/>
  <c r="C243" i="3"/>
  <c r="A244" i="3"/>
  <c r="C244" i="3"/>
  <c r="A245" i="3"/>
  <c r="C245" i="3"/>
  <c r="A246" i="3"/>
  <c r="C246" i="3"/>
  <c r="A247" i="3"/>
  <c r="C247" i="3"/>
  <c r="A248" i="3"/>
  <c r="C248" i="3"/>
  <c r="A249" i="3"/>
  <c r="C249" i="3"/>
  <c r="A250" i="3"/>
  <c r="C250" i="3"/>
  <c r="A251" i="3"/>
  <c r="C251" i="3"/>
  <c r="A252" i="3"/>
  <c r="C252" i="3"/>
  <c r="A253" i="3"/>
  <c r="C253" i="3"/>
  <c r="A254" i="3"/>
  <c r="C254" i="3"/>
  <c r="A255" i="3"/>
  <c r="C255" i="3"/>
  <c r="A256" i="3"/>
  <c r="C256" i="3"/>
  <c r="A257" i="3"/>
  <c r="C257" i="3"/>
  <c r="A258" i="3"/>
  <c r="C258" i="3"/>
  <c r="A259" i="3"/>
  <c r="C259" i="3"/>
  <c r="A260" i="3"/>
  <c r="C260" i="3"/>
  <c r="A261" i="3"/>
  <c r="C261" i="3"/>
  <c r="A262" i="3"/>
  <c r="C262" i="3"/>
  <c r="A263" i="3"/>
  <c r="C263" i="3"/>
  <c r="A264" i="3"/>
  <c r="C264" i="3"/>
  <c r="A265" i="3"/>
  <c r="C265" i="3"/>
  <c r="A266" i="3"/>
  <c r="C266" i="3"/>
  <c r="A267" i="3"/>
  <c r="C267" i="3"/>
  <c r="A268" i="3"/>
  <c r="C268" i="3"/>
  <c r="A269" i="3"/>
  <c r="C269" i="3"/>
  <c r="A270" i="3"/>
  <c r="C270" i="3"/>
  <c r="A271" i="3"/>
  <c r="C271" i="3"/>
  <c r="A272" i="3"/>
  <c r="C272" i="3"/>
  <c r="A273" i="3"/>
  <c r="C273" i="3"/>
  <c r="A274" i="3"/>
  <c r="C274" i="3"/>
  <c r="A275" i="3"/>
  <c r="C275" i="3"/>
  <c r="A276" i="3"/>
  <c r="C276" i="3"/>
  <c r="A277" i="3"/>
  <c r="C277" i="3"/>
  <c r="A278" i="3"/>
  <c r="C278" i="3"/>
  <c r="A279" i="3"/>
  <c r="C279" i="3"/>
  <c r="A280" i="3"/>
  <c r="C280" i="3"/>
  <c r="A281" i="3"/>
  <c r="C281" i="3"/>
  <c r="A282" i="3"/>
  <c r="C282" i="3"/>
  <c r="A283" i="3"/>
  <c r="C283" i="3"/>
  <c r="A284" i="3"/>
  <c r="C284" i="3"/>
  <c r="A285" i="3"/>
  <c r="C285" i="3"/>
  <c r="A286" i="3"/>
  <c r="C286" i="3"/>
  <c r="A287" i="3"/>
  <c r="C287" i="3"/>
  <c r="A288" i="3"/>
  <c r="C288" i="3"/>
  <c r="A289" i="3"/>
  <c r="C289" i="3"/>
  <c r="A290" i="3"/>
  <c r="C290" i="3"/>
  <c r="A291" i="3"/>
  <c r="C291" i="3"/>
  <c r="A292" i="3"/>
  <c r="C292" i="3"/>
  <c r="A293" i="3"/>
  <c r="C293" i="3"/>
  <c r="A294" i="3"/>
  <c r="C294" i="3"/>
  <c r="A295" i="3"/>
  <c r="C295" i="3"/>
  <c r="A296" i="3"/>
  <c r="C296" i="3"/>
  <c r="A297" i="3"/>
  <c r="C297" i="3"/>
  <c r="A298" i="3"/>
  <c r="C298" i="3"/>
  <c r="A299" i="3"/>
  <c r="C299" i="3"/>
  <c r="A300" i="3"/>
  <c r="C300" i="3"/>
  <c r="A301" i="3"/>
  <c r="C301" i="3"/>
  <c r="A302" i="3"/>
  <c r="C302" i="3"/>
  <c r="A303" i="3"/>
  <c r="C303" i="3"/>
  <c r="A304" i="3"/>
  <c r="C304" i="3"/>
  <c r="A305" i="3"/>
  <c r="C305" i="3"/>
  <c r="A306" i="3"/>
  <c r="C306" i="3"/>
  <c r="A307" i="3"/>
  <c r="C307" i="3"/>
  <c r="A308" i="3"/>
  <c r="C308" i="3"/>
  <c r="A309" i="3"/>
  <c r="C309" i="3"/>
  <c r="A310" i="3"/>
  <c r="C310" i="3"/>
  <c r="A311" i="3"/>
  <c r="C311" i="3"/>
  <c r="A312" i="3"/>
  <c r="C312" i="3"/>
  <c r="A313" i="3"/>
  <c r="C313" i="3"/>
  <c r="A314" i="3"/>
  <c r="C314" i="3"/>
  <c r="A315" i="3"/>
  <c r="C315" i="3"/>
  <c r="A316" i="3"/>
  <c r="C316" i="3"/>
  <c r="A317" i="3"/>
  <c r="C317" i="3"/>
  <c r="A318" i="3"/>
  <c r="C318" i="3"/>
  <c r="A319" i="3"/>
  <c r="C319" i="3"/>
  <c r="A320" i="3"/>
  <c r="C320" i="3"/>
  <c r="A321" i="3"/>
  <c r="C321" i="3"/>
  <c r="A322" i="3"/>
  <c r="C322" i="3"/>
  <c r="A323" i="3"/>
  <c r="C323" i="3"/>
  <c r="A324" i="3"/>
  <c r="C324" i="3"/>
  <c r="A325" i="3"/>
  <c r="C325" i="3"/>
  <c r="A326" i="3"/>
  <c r="C326" i="3"/>
  <c r="A327" i="3"/>
  <c r="C327" i="3"/>
  <c r="A328" i="3"/>
  <c r="C328" i="3"/>
  <c r="A329" i="3"/>
  <c r="C329" i="3"/>
  <c r="A330" i="3"/>
  <c r="C330" i="3"/>
  <c r="A331" i="3"/>
  <c r="C331" i="3"/>
  <c r="A332" i="3"/>
  <c r="C332" i="3"/>
  <c r="A333" i="3"/>
  <c r="C333" i="3"/>
  <c r="A334" i="3"/>
  <c r="C334" i="3"/>
  <c r="A335" i="3"/>
  <c r="C335" i="3"/>
  <c r="A336" i="3"/>
  <c r="C336" i="3"/>
  <c r="A337" i="3"/>
  <c r="C337" i="3"/>
  <c r="A338" i="3"/>
  <c r="C338" i="3"/>
  <c r="A339" i="3"/>
  <c r="C339" i="3"/>
  <c r="A340" i="3"/>
  <c r="C340" i="3"/>
  <c r="A341" i="3"/>
  <c r="C341" i="3"/>
  <c r="A342" i="3"/>
  <c r="C342" i="3"/>
  <c r="A343" i="3"/>
  <c r="C343" i="3"/>
  <c r="A344" i="3"/>
  <c r="C344" i="3"/>
  <c r="A345" i="3"/>
  <c r="C345" i="3"/>
  <c r="A346" i="3"/>
  <c r="C346" i="3"/>
  <c r="A347" i="3"/>
  <c r="C347" i="3"/>
  <c r="A348" i="3"/>
  <c r="C348" i="3"/>
  <c r="A349" i="3"/>
  <c r="C349" i="3"/>
  <c r="A350" i="3"/>
  <c r="C350" i="3"/>
  <c r="A351" i="3"/>
  <c r="C351" i="3"/>
  <c r="A352" i="3"/>
  <c r="C352" i="3"/>
  <c r="A353" i="3"/>
  <c r="C353" i="3"/>
  <c r="A354" i="3"/>
  <c r="C354" i="3"/>
  <c r="A355" i="3"/>
  <c r="C355" i="3"/>
  <c r="A356" i="3"/>
  <c r="C356" i="3"/>
  <c r="A357" i="3"/>
  <c r="C357" i="3"/>
  <c r="A358" i="3"/>
  <c r="C358" i="3"/>
  <c r="A359" i="3"/>
  <c r="C359" i="3"/>
  <c r="A360" i="3"/>
  <c r="C360" i="3"/>
  <c r="A361" i="3"/>
  <c r="C361" i="3"/>
  <c r="A362" i="3"/>
  <c r="C362" i="3"/>
  <c r="A363" i="3"/>
  <c r="C363" i="3"/>
  <c r="A364" i="3"/>
  <c r="C364" i="3"/>
  <c r="A365" i="3"/>
  <c r="C365" i="3"/>
  <c r="A366" i="3"/>
  <c r="C366" i="3"/>
  <c r="A367" i="3"/>
  <c r="C367" i="3"/>
  <c r="A368" i="3"/>
  <c r="C368" i="3"/>
  <c r="A369" i="3"/>
  <c r="C369" i="3"/>
  <c r="A370" i="3"/>
  <c r="C370" i="3"/>
  <c r="A371" i="3"/>
  <c r="C371" i="3"/>
  <c r="A372" i="3"/>
  <c r="C372" i="3"/>
  <c r="A373" i="3"/>
  <c r="C373" i="3"/>
  <c r="A374" i="3"/>
  <c r="C374" i="3"/>
  <c r="A375" i="3"/>
  <c r="C375" i="3"/>
  <c r="A376" i="3"/>
  <c r="C376" i="3"/>
  <c r="A377" i="3"/>
  <c r="C377" i="3"/>
  <c r="A378" i="3"/>
  <c r="C378" i="3"/>
  <c r="A379" i="3"/>
  <c r="C379" i="3"/>
  <c r="A380" i="3"/>
  <c r="C380" i="3"/>
  <c r="A381" i="3"/>
  <c r="C381" i="3"/>
  <c r="A382" i="3"/>
  <c r="C382" i="3"/>
  <c r="A383" i="3"/>
  <c r="C383" i="3"/>
  <c r="A384" i="3"/>
  <c r="C384" i="3"/>
  <c r="A385" i="3"/>
  <c r="C385" i="3"/>
  <c r="A386" i="3"/>
  <c r="C386" i="3"/>
  <c r="A387" i="3"/>
  <c r="C387" i="3"/>
  <c r="A388" i="3"/>
  <c r="C388" i="3"/>
  <c r="A389" i="3"/>
  <c r="C389" i="3"/>
  <c r="A390" i="3"/>
  <c r="C390" i="3"/>
  <c r="A391" i="3"/>
  <c r="C391" i="3"/>
  <c r="A392" i="3"/>
  <c r="C392" i="3"/>
  <c r="A393" i="3"/>
  <c r="C393" i="3"/>
  <c r="A394" i="3"/>
  <c r="C394" i="3"/>
  <c r="A395" i="3"/>
  <c r="C395" i="3"/>
  <c r="A396" i="3"/>
  <c r="C396" i="3"/>
  <c r="A397" i="3"/>
  <c r="C397" i="3"/>
  <c r="A398" i="3"/>
  <c r="C398" i="3"/>
  <c r="A399" i="3"/>
  <c r="C399" i="3"/>
  <c r="A400" i="3"/>
  <c r="C400" i="3"/>
  <c r="A401" i="3"/>
  <c r="C401" i="3"/>
  <c r="A402" i="3"/>
  <c r="C402" i="3"/>
  <c r="A403" i="3"/>
  <c r="C403" i="3"/>
  <c r="A404" i="3"/>
  <c r="C404" i="3"/>
  <c r="A405" i="3"/>
  <c r="C405" i="3"/>
  <c r="A406" i="3"/>
  <c r="C406" i="3"/>
  <c r="A407" i="3"/>
  <c r="C407" i="3"/>
  <c r="A408" i="3"/>
  <c r="C408" i="3"/>
  <c r="A409" i="3"/>
  <c r="C409" i="3"/>
  <c r="A410" i="3"/>
  <c r="C410" i="3"/>
  <c r="A411" i="3"/>
  <c r="C411" i="3"/>
  <c r="A412" i="3"/>
  <c r="C412" i="3"/>
  <c r="A413" i="3"/>
  <c r="C413" i="3"/>
  <c r="A414" i="3"/>
  <c r="C414" i="3"/>
  <c r="A415" i="3"/>
  <c r="C415" i="3"/>
  <c r="A416" i="3"/>
  <c r="C416" i="3"/>
  <c r="A417" i="3"/>
  <c r="C417" i="3"/>
  <c r="A418" i="3"/>
  <c r="C418" i="3"/>
  <c r="A419" i="3"/>
  <c r="C419" i="3"/>
  <c r="A420" i="3"/>
  <c r="C420" i="3"/>
  <c r="A421" i="3"/>
  <c r="C421" i="3"/>
  <c r="A422" i="3"/>
  <c r="C422" i="3"/>
  <c r="A423" i="3"/>
  <c r="C423" i="3"/>
  <c r="A424" i="3"/>
  <c r="C424" i="3"/>
  <c r="A425" i="3"/>
  <c r="C425" i="3"/>
  <c r="A426" i="3"/>
  <c r="C426" i="3"/>
  <c r="A427" i="3"/>
  <c r="C427" i="3"/>
  <c r="A428" i="3"/>
  <c r="C428" i="3"/>
  <c r="A429" i="3"/>
  <c r="C429" i="3"/>
  <c r="A430" i="3"/>
  <c r="C430" i="3"/>
  <c r="A431" i="3"/>
  <c r="C431" i="3"/>
  <c r="A432" i="3"/>
  <c r="C432" i="3"/>
  <c r="A433" i="3"/>
  <c r="C433" i="3"/>
  <c r="A434" i="3"/>
  <c r="C434" i="3"/>
  <c r="A435" i="3"/>
  <c r="C435" i="3"/>
  <c r="A436" i="3"/>
  <c r="C436" i="3"/>
  <c r="A437" i="3"/>
  <c r="C437" i="3"/>
  <c r="A438" i="3"/>
  <c r="C438" i="3"/>
  <c r="A439" i="3"/>
  <c r="C439" i="3"/>
  <c r="A440" i="3"/>
  <c r="C440" i="3"/>
  <c r="A441" i="3"/>
  <c r="C441" i="3"/>
  <c r="A442" i="3"/>
  <c r="C442" i="3"/>
  <c r="A443" i="3"/>
  <c r="C443" i="3"/>
  <c r="A444" i="3"/>
  <c r="C444" i="3"/>
  <c r="A445" i="3"/>
  <c r="C445" i="3"/>
  <c r="A446" i="3"/>
  <c r="C446" i="3"/>
  <c r="A447" i="3"/>
  <c r="C447" i="3"/>
  <c r="A448" i="3"/>
  <c r="C448" i="3"/>
  <c r="A449" i="3"/>
  <c r="C449" i="3"/>
  <c r="A450" i="3"/>
  <c r="C450" i="3"/>
  <c r="A451" i="3"/>
  <c r="C451" i="3"/>
  <c r="A452" i="3"/>
  <c r="C452" i="3"/>
  <c r="A453" i="3"/>
  <c r="C453" i="3"/>
  <c r="A454" i="3"/>
  <c r="C454" i="3"/>
  <c r="A455" i="3"/>
  <c r="C455" i="3"/>
  <c r="A456" i="3"/>
  <c r="C456" i="3"/>
  <c r="A457" i="3"/>
  <c r="C457" i="3"/>
  <c r="A458" i="3"/>
  <c r="C458" i="3"/>
  <c r="A459" i="3"/>
  <c r="C459" i="3"/>
  <c r="A460" i="3"/>
  <c r="C460" i="3"/>
  <c r="A461" i="3"/>
  <c r="C461" i="3"/>
  <c r="A462" i="3"/>
  <c r="C462" i="3"/>
  <c r="A463" i="3"/>
  <c r="C463" i="3"/>
  <c r="A464" i="3"/>
  <c r="C464" i="3"/>
  <c r="A465" i="3"/>
  <c r="C465" i="3"/>
  <c r="A466" i="3"/>
  <c r="C466" i="3"/>
  <c r="A467" i="3"/>
  <c r="C467" i="3"/>
  <c r="A468" i="3"/>
  <c r="C468" i="3"/>
  <c r="A469" i="3"/>
  <c r="C469" i="3"/>
  <c r="A470" i="3"/>
  <c r="C470" i="3"/>
  <c r="A471" i="3"/>
  <c r="C471" i="3"/>
  <c r="A472" i="3"/>
  <c r="C472" i="3"/>
  <c r="A473" i="3"/>
  <c r="C473" i="3"/>
  <c r="A474" i="3"/>
  <c r="C474" i="3"/>
  <c r="A475" i="3"/>
  <c r="C475" i="3"/>
  <c r="A476" i="3"/>
  <c r="C476" i="3"/>
  <c r="A477" i="3"/>
  <c r="C477" i="3"/>
  <c r="A478" i="3"/>
  <c r="C478" i="3"/>
  <c r="A479" i="3"/>
  <c r="C479" i="3"/>
  <c r="A480" i="3"/>
  <c r="C480" i="3"/>
  <c r="A481" i="3"/>
  <c r="C481" i="3"/>
  <c r="A482" i="3"/>
  <c r="C482" i="3"/>
  <c r="A483" i="3"/>
  <c r="C483" i="3"/>
  <c r="A484" i="3"/>
  <c r="C484" i="3"/>
  <c r="A485" i="3"/>
  <c r="C485" i="3"/>
  <c r="A486" i="3"/>
  <c r="C486" i="3"/>
  <c r="A487" i="3"/>
  <c r="C487" i="3"/>
  <c r="A488" i="3"/>
  <c r="C488" i="3"/>
  <c r="A489" i="3"/>
  <c r="C489" i="3"/>
  <c r="A490" i="3"/>
  <c r="C490" i="3"/>
  <c r="A491" i="3"/>
  <c r="C491" i="3"/>
  <c r="A492" i="3"/>
  <c r="C492" i="3"/>
  <c r="A493" i="3"/>
  <c r="C493" i="3"/>
  <c r="A494" i="3"/>
  <c r="C494" i="3"/>
  <c r="A495" i="3"/>
  <c r="C495" i="3"/>
  <c r="A496" i="3"/>
  <c r="C496" i="3"/>
  <c r="A497" i="3"/>
  <c r="C497" i="3"/>
  <c r="A498" i="3"/>
  <c r="C498" i="3"/>
  <c r="A499" i="3"/>
  <c r="C499" i="3"/>
  <c r="A500" i="3"/>
  <c r="C500" i="3"/>
  <c r="A501" i="3"/>
  <c r="C501" i="3"/>
  <c r="A502" i="3"/>
  <c r="C502" i="3"/>
  <c r="A503" i="3"/>
  <c r="C503" i="3"/>
  <c r="A504" i="3"/>
  <c r="C504" i="3"/>
  <c r="A505" i="3"/>
  <c r="C505" i="3"/>
  <c r="A506" i="3"/>
  <c r="C506" i="3"/>
  <c r="A507" i="3"/>
  <c r="C507" i="3"/>
  <c r="A508" i="3"/>
  <c r="C508" i="3"/>
  <c r="A509" i="3"/>
  <c r="C509" i="3"/>
  <c r="A510" i="3"/>
  <c r="C510" i="3"/>
  <c r="A511" i="3"/>
  <c r="C511" i="3"/>
  <c r="A512" i="3"/>
  <c r="C512" i="3"/>
  <c r="A513" i="3"/>
  <c r="C513" i="3"/>
  <c r="A514" i="3"/>
  <c r="C514" i="3"/>
  <c r="A515" i="3"/>
  <c r="C515" i="3"/>
  <c r="A516" i="3"/>
  <c r="C516" i="3"/>
  <c r="A517" i="3"/>
  <c r="C517" i="3"/>
  <c r="A518" i="3"/>
  <c r="C518" i="3"/>
  <c r="A519" i="3"/>
  <c r="C519" i="3"/>
  <c r="A520" i="3"/>
  <c r="C520" i="3"/>
  <c r="A521" i="3"/>
  <c r="C521" i="3"/>
  <c r="A522" i="3"/>
  <c r="C522" i="3"/>
  <c r="A523" i="3"/>
  <c r="C523" i="3"/>
  <c r="A524" i="3"/>
  <c r="C524" i="3"/>
  <c r="A525" i="3"/>
  <c r="C525" i="3"/>
  <c r="A526" i="3"/>
  <c r="C526" i="3"/>
  <c r="A527" i="3"/>
  <c r="C527" i="3"/>
  <c r="A528" i="3"/>
  <c r="C528" i="3"/>
  <c r="A529" i="3"/>
  <c r="C529" i="3"/>
  <c r="A530" i="3"/>
  <c r="C530" i="3"/>
  <c r="A531" i="3"/>
  <c r="C531" i="3"/>
  <c r="A532" i="3"/>
  <c r="C532" i="3"/>
  <c r="A533" i="3"/>
  <c r="C533" i="3"/>
  <c r="A534" i="3"/>
  <c r="C534" i="3"/>
  <c r="A535" i="3"/>
  <c r="C535" i="3"/>
  <c r="A536" i="3"/>
  <c r="C536" i="3"/>
  <c r="A537" i="3"/>
  <c r="C537" i="3"/>
  <c r="A538" i="3"/>
  <c r="C538" i="3"/>
  <c r="A539" i="3"/>
  <c r="C539" i="3"/>
  <c r="A540" i="3"/>
  <c r="C540" i="3"/>
  <c r="A541" i="3"/>
  <c r="C541" i="3"/>
  <c r="A542" i="3"/>
  <c r="C542" i="3"/>
  <c r="A543" i="3"/>
  <c r="C543" i="3"/>
  <c r="A544" i="3"/>
  <c r="C544" i="3"/>
  <c r="A545" i="3"/>
  <c r="C545" i="3"/>
  <c r="A546" i="3"/>
  <c r="C546" i="3"/>
  <c r="A547" i="3"/>
  <c r="C547" i="3"/>
  <c r="A548" i="3"/>
  <c r="C548" i="3"/>
  <c r="A549" i="3"/>
  <c r="C549" i="3"/>
  <c r="A550" i="3"/>
  <c r="C550" i="3"/>
  <c r="A551" i="3"/>
  <c r="C551" i="3"/>
  <c r="A552" i="3"/>
  <c r="C552" i="3"/>
  <c r="A553" i="3"/>
  <c r="C553" i="3"/>
  <c r="A554" i="3"/>
  <c r="C554" i="3"/>
  <c r="A555" i="3"/>
  <c r="C555" i="3"/>
  <c r="A556" i="3"/>
  <c r="C556" i="3"/>
  <c r="A557" i="3"/>
  <c r="C557" i="3"/>
  <c r="A558" i="3"/>
  <c r="C558" i="3"/>
  <c r="A559" i="3"/>
  <c r="C559" i="3"/>
  <c r="A560" i="3"/>
  <c r="C560" i="3"/>
  <c r="A561" i="3"/>
  <c r="C561" i="3"/>
  <c r="A562" i="3"/>
  <c r="C562" i="3"/>
  <c r="A563" i="3"/>
  <c r="C563" i="3"/>
  <c r="A564" i="3"/>
  <c r="C564" i="3"/>
  <c r="A565" i="3"/>
  <c r="C565" i="3"/>
  <c r="A566" i="3"/>
  <c r="C566" i="3"/>
  <c r="A567" i="3"/>
  <c r="C567" i="3"/>
  <c r="A568" i="3"/>
  <c r="C568" i="3"/>
  <c r="A569" i="3"/>
  <c r="C569" i="3"/>
  <c r="A570" i="3"/>
  <c r="C570" i="3"/>
  <c r="A571" i="3"/>
  <c r="C571" i="3"/>
  <c r="A572" i="3"/>
  <c r="C572" i="3"/>
  <c r="A573" i="3"/>
  <c r="C573" i="3"/>
  <c r="A574" i="3"/>
  <c r="C574" i="3"/>
  <c r="A575" i="3"/>
  <c r="C575" i="3"/>
  <c r="A576" i="3"/>
  <c r="C576" i="3"/>
  <c r="A577" i="3"/>
  <c r="C577" i="3"/>
  <c r="A578" i="3"/>
  <c r="C578" i="3"/>
  <c r="A579" i="3"/>
  <c r="C579" i="3"/>
  <c r="A580" i="3"/>
  <c r="C580" i="3"/>
  <c r="A581" i="3"/>
  <c r="C581" i="3"/>
  <c r="A582" i="3"/>
  <c r="C582" i="3"/>
  <c r="A583" i="3"/>
  <c r="C583" i="3"/>
  <c r="A584" i="3"/>
  <c r="C584" i="3"/>
  <c r="A585" i="3"/>
  <c r="C585" i="3"/>
  <c r="A586" i="3"/>
  <c r="C586" i="3"/>
  <c r="A587" i="3"/>
  <c r="C587" i="3"/>
  <c r="A588" i="3"/>
  <c r="C588" i="3"/>
  <c r="A589" i="3"/>
  <c r="C589" i="3"/>
  <c r="A590" i="3"/>
  <c r="C590" i="3"/>
  <c r="A591" i="3"/>
  <c r="C591" i="3"/>
  <c r="A592" i="3"/>
  <c r="C592" i="3"/>
  <c r="A593" i="3"/>
  <c r="C593" i="3"/>
  <c r="A594" i="3"/>
  <c r="C594" i="3"/>
  <c r="A595" i="3"/>
  <c r="C595" i="3"/>
  <c r="A596" i="3"/>
  <c r="C596" i="3"/>
  <c r="A597" i="3"/>
  <c r="C597" i="3"/>
  <c r="A598" i="3"/>
  <c r="C598" i="3"/>
  <c r="A599" i="3"/>
  <c r="C599" i="3"/>
  <c r="A600" i="3"/>
  <c r="C600" i="3"/>
  <c r="A601" i="3"/>
  <c r="C601" i="3"/>
  <c r="A602" i="3"/>
  <c r="C602" i="3"/>
  <c r="A603" i="3"/>
  <c r="C603" i="3"/>
  <c r="A604" i="3"/>
  <c r="C604" i="3"/>
  <c r="A605" i="3"/>
  <c r="C605" i="3"/>
  <c r="A606" i="3"/>
  <c r="C606" i="3"/>
  <c r="A607" i="3"/>
  <c r="C607" i="3"/>
  <c r="A608" i="3"/>
  <c r="C608" i="3"/>
  <c r="A609" i="3"/>
  <c r="C609" i="3"/>
  <c r="A610" i="3"/>
  <c r="C610" i="3"/>
  <c r="A611" i="3"/>
  <c r="C611" i="3"/>
  <c r="A612" i="3"/>
  <c r="C612" i="3"/>
  <c r="A613" i="3"/>
  <c r="C613" i="3"/>
  <c r="A614" i="3"/>
  <c r="C614" i="3"/>
  <c r="A615" i="3"/>
  <c r="C615" i="3"/>
  <c r="A616" i="3"/>
  <c r="C616" i="3"/>
  <c r="A617" i="3"/>
  <c r="C617" i="3"/>
  <c r="A618" i="3"/>
  <c r="C618" i="3"/>
  <c r="A619" i="3"/>
  <c r="C619" i="3"/>
  <c r="A620" i="3"/>
  <c r="C620" i="3"/>
  <c r="A621" i="3"/>
  <c r="C621" i="3"/>
  <c r="A622" i="3"/>
  <c r="C622" i="3"/>
  <c r="A623" i="3"/>
  <c r="C623" i="3"/>
  <c r="A624" i="3"/>
  <c r="C624" i="3"/>
  <c r="A625" i="3"/>
  <c r="C625" i="3"/>
  <c r="A626" i="3"/>
  <c r="C626" i="3"/>
  <c r="A627" i="3"/>
  <c r="C627" i="3"/>
  <c r="A628" i="3"/>
  <c r="C628" i="3"/>
  <c r="A629" i="3"/>
  <c r="C629" i="3"/>
  <c r="A630" i="3"/>
  <c r="C630" i="3"/>
  <c r="A631" i="3"/>
  <c r="C631" i="3"/>
  <c r="A632" i="3"/>
  <c r="C632" i="3"/>
  <c r="A633" i="3"/>
  <c r="C633" i="3"/>
  <c r="A634" i="3"/>
  <c r="C634" i="3"/>
  <c r="A635" i="3"/>
  <c r="C635" i="3"/>
  <c r="A636" i="3"/>
  <c r="C636" i="3"/>
  <c r="A637" i="3"/>
  <c r="C637" i="3"/>
  <c r="A638" i="3"/>
  <c r="C638" i="3"/>
  <c r="A639" i="3"/>
  <c r="C639" i="3"/>
  <c r="A640" i="3"/>
  <c r="C640" i="3"/>
  <c r="A641" i="3"/>
  <c r="C641" i="3"/>
  <c r="A642" i="3"/>
  <c r="C642" i="3"/>
  <c r="A643" i="3"/>
  <c r="C643" i="3"/>
  <c r="A644" i="3"/>
  <c r="C644" i="3"/>
  <c r="A645" i="3"/>
  <c r="C645" i="3"/>
  <c r="A646" i="3"/>
  <c r="C646" i="3"/>
  <c r="A647" i="3"/>
  <c r="C647" i="3"/>
  <c r="A648" i="3"/>
  <c r="C648" i="3"/>
  <c r="A649" i="3"/>
  <c r="C649" i="3"/>
  <c r="A650" i="3"/>
  <c r="C650" i="3"/>
  <c r="A651" i="3"/>
  <c r="C651" i="3"/>
  <c r="A652" i="3"/>
  <c r="C652" i="3"/>
  <c r="A653" i="3"/>
  <c r="C653" i="3"/>
  <c r="A654" i="3"/>
  <c r="C654" i="3"/>
  <c r="A655" i="3"/>
  <c r="C655" i="3"/>
  <c r="A656" i="3"/>
  <c r="C656" i="3"/>
  <c r="A657" i="3"/>
  <c r="C657" i="3"/>
  <c r="A658" i="3"/>
  <c r="C658" i="3"/>
  <c r="A659" i="3"/>
  <c r="C659" i="3"/>
  <c r="A660" i="3"/>
  <c r="C660" i="3"/>
  <c r="A661" i="3"/>
  <c r="C661" i="3"/>
  <c r="A662" i="3"/>
  <c r="C662" i="3"/>
  <c r="A663" i="3"/>
  <c r="C663" i="3"/>
  <c r="A664" i="3"/>
  <c r="C664" i="3"/>
  <c r="A665" i="3"/>
  <c r="C665" i="3"/>
  <c r="A666" i="3"/>
  <c r="C666" i="3"/>
  <c r="A667" i="3"/>
  <c r="C667" i="3"/>
  <c r="A668" i="3"/>
  <c r="C668" i="3"/>
  <c r="A669" i="3"/>
  <c r="C669" i="3"/>
  <c r="A670" i="3"/>
  <c r="C670" i="3"/>
  <c r="A671" i="3"/>
  <c r="C671" i="3"/>
  <c r="A672" i="3"/>
  <c r="C672" i="3"/>
  <c r="A673" i="3"/>
  <c r="C673" i="3"/>
  <c r="A674" i="3"/>
  <c r="C674" i="3"/>
  <c r="A675" i="3"/>
  <c r="C675" i="3"/>
  <c r="A676" i="3"/>
  <c r="C676" i="3"/>
  <c r="A677" i="3"/>
  <c r="C677" i="3"/>
  <c r="A678" i="3"/>
  <c r="C678" i="3"/>
  <c r="A679" i="3"/>
  <c r="C679" i="3"/>
  <c r="A680" i="3"/>
  <c r="C680" i="3"/>
  <c r="A681" i="3"/>
  <c r="C681" i="3"/>
  <c r="A682" i="3"/>
  <c r="C682" i="3"/>
  <c r="A683" i="3"/>
  <c r="C683" i="3"/>
  <c r="A684" i="3"/>
  <c r="C684" i="3"/>
  <c r="A685" i="3"/>
  <c r="C685" i="3"/>
  <c r="A686" i="3"/>
  <c r="C686" i="3"/>
  <c r="A687" i="3"/>
  <c r="C687" i="3"/>
  <c r="A688" i="3"/>
  <c r="C688" i="3"/>
  <c r="A689" i="3"/>
  <c r="C689" i="3"/>
  <c r="A690" i="3"/>
  <c r="C690" i="3"/>
  <c r="A691" i="3"/>
  <c r="C691" i="3"/>
  <c r="A692" i="3"/>
  <c r="C692" i="3"/>
  <c r="A693" i="3"/>
  <c r="C693" i="3"/>
  <c r="A694" i="3"/>
  <c r="C694" i="3"/>
  <c r="A695" i="3"/>
  <c r="C695" i="3"/>
  <c r="A696" i="3"/>
  <c r="C696" i="3"/>
  <c r="A697" i="3"/>
  <c r="C697" i="3"/>
  <c r="A698" i="3"/>
  <c r="C698" i="3"/>
  <c r="A699" i="3"/>
  <c r="C699" i="3"/>
  <c r="A700" i="3"/>
  <c r="C700" i="3"/>
  <c r="A701" i="3"/>
  <c r="C701" i="3"/>
  <c r="A702" i="3"/>
  <c r="C702" i="3"/>
  <c r="A703" i="3"/>
  <c r="C703" i="3"/>
  <c r="A704" i="3"/>
  <c r="C704" i="3"/>
  <c r="A705" i="3"/>
  <c r="C705" i="3"/>
  <c r="A706" i="3"/>
  <c r="C706" i="3"/>
  <c r="A707" i="3"/>
  <c r="C707" i="3"/>
  <c r="A708" i="3"/>
  <c r="C708" i="3"/>
  <c r="A709" i="3"/>
  <c r="C709" i="3"/>
  <c r="A710" i="3"/>
  <c r="C710" i="3"/>
  <c r="A711" i="3"/>
  <c r="C711" i="3"/>
  <c r="A712" i="3"/>
  <c r="C712" i="3"/>
  <c r="A713" i="3"/>
  <c r="C713" i="3"/>
  <c r="A714" i="3"/>
  <c r="C714" i="3"/>
  <c r="A715" i="3"/>
  <c r="C715" i="3"/>
  <c r="A716" i="3"/>
  <c r="C716" i="3"/>
  <c r="A717" i="3"/>
  <c r="C717" i="3"/>
  <c r="A718" i="3"/>
  <c r="C718" i="3"/>
  <c r="A719" i="3"/>
  <c r="C719" i="3"/>
  <c r="A720" i="3"/>
  <c r="C720" i="3"/>
  <c r="A721" i="3"/>
  <c r="C721" i="3"/>
  <c r="A722" i="3"/>
  <c r="C722" i="3"/>
  <c r="A723" i="3"/>
  <c r="C723" i="3"/>
  <c r="A724" i="3"/>
  <c r="C724" i="3"/>
  <c r="A725" i="3"/>
  <c r="C725" i="3"/>
  <c r="A726" i="3"/>
  <c r="C726" i="3"/>
  <c r="A727" i="3"/>
  <c r="C727" i="3"/>
  <c r="A728" i="3"/>
  <c r="C728" i="3"/>
  <c r="A729" i="3"/>
  <c r="C729" i="3"/>
  <c r="A730" i="3"/>
  <c r="C730" i="3"/>
  <c r="A731" i="3"/>
  <c r="C731" i="3"/>
  <c r="A732" i="3"/>
  <c r="C732" i="3"/>
  <c r="A733" i="3"/>
  <c r="C733" i="3"/>
  <c r="A734" i="3"/>
  <c r="C734" i="3"/>
  <c r="A735" i="3"/>
  <c r="C735" i="3"/>
  <c r="A736" i="3"/>
  <c r="C736" i="3"/>
  <c r="A737" i="3"/>
  <c r="C737" i="3"/>
  <c r="A738" i="3"/>
  <c r="C738" i="3"/>
  <c r="A739" i="3"/>
  <c r="C739" i="3"/>
  <c r="A740" i="3"/>
  <c r="C740" i="3"/>
  <c r="A741" i="3"/>
  <c r="C741" i="3"/>
  <c r="A742" i="3"/>
  <c r="C742" i="3"/>
  <c r="A743" i="3"/>
  <c r="C743" i="3"/>
  <c r="A744" i="3"/>
  <c r="C744" i="3"/>
  <c r="A745" i="3"/>
  <c r="C745" i="3"/>
  <c r="A746" i="3"/>
  <c r="C746" i="3"/>
  <c r="A747" i="3"/>
  <c r="C747" i="3"/>
  <c r="A748" i="3"/>
  <c r="C748" i="3"/>
  <c r="A749" i="3"/>
  <c r="C749" i="3"/>
  <c r="A750" i="3"/>
  <c r="C750" i="3"/>
  <c r="A751" i="3"/>
  <c r="C751" i="3"/>
  <c r="A752" i="3"/>
  <c r="C752" i="3"/>
  <c r="A753" i="3"/>
  <c r="C753" i="3"/>
  <c r="A754" i="3"/>
  <c r="C754" i="3"/>
  <c r="A755" i="3"/>
  <c r="C755" i="3"/>
  <c r="A756" i="3"/>
  <c r="C756" i="3"/>
  <c r="A757" i="3"/>
  <c r="C757" i="3"/>
  <c r="A758" i="3"/>
  <c r="C758" i="3"/>
  <c r="A759" i="3"/>
  <c r="C759" i="3"/>
  <c r="A760" i="3"/>
  <c r="C760" i="3"/>
  <c r="A761" i="3"/>
  <c r="C761" i="3"/>
  <c r="A762" i="3"/>
  <c r="C762" i="3"/>
  <c r="A763" i="3"/>
  <c r="C763" i="3"/>
  <c r="A764" i="3"/>
  <c r="C764" i="3"/>
  <c r="A765" i="3"/>
  <c r="C765" i="3"/>
  <c r="A766" i="3"/>
  <c r="C766" i="3"/>
  <c r="A767" i="3"/>
  <c r="C767" i="3"/>
  <c r="A768" i="3"/>
  <c r="C768" i="3"/>
  <c r="A769" i="3"/>
  <c r="C769" i="3"/>
  <c r="A770" i="3"/>
  <c r="C770" i="3"/>
  <c r="A771" i="3"/>
  <c r="C771" i="3"/>
  <c r="A772" i="3"/>
  <c r="C772" i="3"/>
  <c r="A773" i="3"/>
  <c r="C773" i="3"/>
  <c r="A774" i="3"/>
  <c r="C774" i="3"/>
  <c r="A775" i="3"/>
  <c r="C775" i="3"/>
  <c r="A776" i="3"/>
  <c r="C776" i="3"/>
  <c r="A777" i="3"/>
  <c r="C777" i="3"/>
  <c r="A778" i="3"/>
  <c r="C778" i="3"/>
  <c r="A779" i="3"/>
  <c r="C779" i="3"/>
  <c r="A780" i="3"/>
  <c r="C780" i="3"/>
  <c r="A781" i="3"/>
  <c r="C781" i="3"/>
  <c r="A782" i="3"/>
  <c r="C782" i="3"/>
  <c r="A783" i="3"/>
  <c r="C783" i="3"/>
  <c r="A784" i="3"/>
  <c r="C784" i="3"/>
  <c r="A785" i="3"/>
  <c r="C785" i="3"/>
  <c r="A786" i="3"/>
  <c r="C786" i="3"/>
  <c r="A787" i="3"/>
  <c r="C787" i="3"/>
  <c r="A788" i="3"/>
  <c r="C788" i="3"/>
  <c r="A789" i="3"/>
  <c r="C789" i="3"/>
  <c r="A790" i="3"/>
  <c r="C790" i="3"/>
  <c r="A791" i="3"/>
  <c r="C791" i="3"/>
  <c r="A792" i="3"/>
  <c r="C792" i="3"/>
  <c r="A793" i="3"/>
  <c r="C793" i="3"/>
  <c r="A794" i="3"/>
  <c r="C794" i="3"/>
  <c r="A795" i="3"/>
  <c r="C795" i="3"/>
  <c r="A796" i="3"/>
  <c r="C796" i="3"/>
  <c r="A797" i="3"/>
  <c r="C797" i="3"/>
  <c r="A798" i="3"/>
  <c r="C798" i="3"/>
  <c r="A799" i="3"/>
  <c r="C799" i="3"/>
  <c r="A800" i="3"/>
  <c r="C800" i="3"/>
  <c r="A801" i="3"/>
  <c r="C801" i="3"/>
  <c r="A802" i="3"/>
  <c r="C802" i="3"/>
  <c r="A803" i="3"/>
  <c r="C803" i="3"/>
  <c r="A804" i="3"/>
  <c r="C804" i="3"/>
  <c r="A805" i="3"/>
  <c r="C805" i="3"/>
  <c r="A806" i="3"/>
  <c r="C806" i="3"/>
  <c r="A807" i="3"/>
  <c r="C807" i="3"/>
  <c r="A808" i="3"/>
  <c r="C808" i="3"/>
  <c r="A809" i="3"/>
  <c r="C809" i="3"/>
  <c r="A810" i="3"/>
  <c r="C810" i="3"/>
  <c r="A811" i="3"/>
  <c r="C811" i="3"/>
  <c r="A812" i="3"/>
  <c r="C812" i="3"/>
  <c r="A813" i="3"/>
  <c r="C813" i="3"/>
  <c r="A814" i="3"/>
  <c r="C814" i="3"/>
  <c r="A815" i="3"/>
  <c r="C815" i="3"/>
  <c r="A816" i="3"/>
  <c r="C816" i="3"/>
  <c r="A817" i="3"/>
  <c r="C817" i="3"/>
  <c r="A818" i="3"/>
  <c r="C818" i="3"/>
  <c r="A819" i="3"/>
  <c r="C819" i="3"/>
  <c r="A820" i="3"/>
  <c r="C820" i="3"/>
  <c r="A821" i="3"/>
  <c r="C821" i="3"/>
  <c r="A822" i="3"/>
  <c r="C822" i="3"/>
  <c r="A823" i="3"/>
  <c r="C823" i="3"/>
  <c r="A824" i="3"/>
  <c r="C824" i="3"/>
  <c r="A825" i="3"/>
  <c r="C825" i="3"/>
  <c r="A826" i="3"/>
  <c r="C826" i="3"/>
  <c r="A827" i="3"/>
  <c r="C827" i="3"/>
  <c r="A828" i="3"/>
  <c r="C828" i="3"/>
  <c r="A829" i="3"/>
  <c r="C829" i="3"/>
  <c r="A830" i="3"/>
  <c r="C830" i="3"/>
  <c r="A831" i="3"/>
  <c r="C831" i="3"/>
  <c r="A832" i="3"/>
  <c r="C832" i="3"/>
  <c r="A833" i="3"/>
  <c r="C833" i="3"/>
  <c r="A834" i="3"/>
  <c r="C834" i="3"/>
  <c r="A835" i="3"/>
  <c r="C835" i="3"/>
  <c r="A836" i="3"/>
  <c r="C836" i="3"/>
  <c r="A837" i="3"/>
  <c r="C837" i="3"/>
  <c r="A838" i="3"/>
  <c r="C838" i="3"/>
  <c r="A839" i="3"/>
  <c r="C839" i="3"/>
  <c r="A840" i="3"/>
  <c r="C840" i="3"/>
  <c r="A841" i="3"/>
  <c r="C841" i="3"/>
  <c r="A842" i="3"/>
  <c r="C842" i="3"/>
  <c r="A843" i="3"/>
  <c r="C843" i="3"/>
  <c r="A844" i="3"/>
  <c r="C844" i="3"/>
  <c r="A845" i="3"/>
  <c r="C845" i="3"/>
  <c r="A846" i="3"/>
  <c r="C846" i="3"/>
  <c r="A847" i="3"/>
  <c r="C847" i="3"/>
  <c r="A848" i="3"/>
  <c r="C848" i="3"/>
  <c r="A849" i="3"/>
  <c r="C849" i="3"/>
  <c r="A850" i="3"/>
  <c r="C850" i="3"/>
  <c r="A851" i="3"/>
  <c r="C851" i="3"/>
  <c r="A852" i="3"/>
  <c r="C852" i="3"/>
  <c r="A853" i="3"/>
  <c r="C853" i="3"/>
  <c r="A854" i="3"/>
  <c r="C854" i="3"/>
  <c r="A855" i="3"/>
  <c r="C855" i="3"/>
  <c r="A856" i="3"/>
  <c r="C856" i="3"/>
  <c r="A857" i="3"/>
  <c r="C857" i="3"/>
  <c r="A858" i="3"/>
  <c r="C858" i="3"/>
  <c r="A859" i="3"/>
  <c r="C859" i="3"/>
  <c r="A860" i="3"/>
  <c r="C860" i="3"/>
  <c r="A861" i="3"/>
  <c r="C861" i="3"/>
  <c r="A862" i="3"/>
  <c r="C862" i="3"/>
  <c r="A863" i="3"/>
  <c r="C863" i="3"/>
  <c r="A864" i="3"/>
  <c r="C864" i="3"/>
  <c r="A865" i="3"/>
  <c r="C865" i="3"/>
  <c r="A866" i="3"/>
  <c r="C866" i="3"/>
  <c r="A867" i="3"/>
  <c r="C867" i="3"/>
  <c r="A868" i="3"/>
  <c r="C868" i="3"/>
  <c r="A869" i="3"/>
  <c r="C869" i="3"/>
  <c r="A870" i="3"/>
  <c r="C870" i="3"/>
  <c r="A871" i="3"/>
  <c r="C871" i="3"/>
  <c r="A872" i="3"/>
  <c r="C872" i="3"/>
  <c r="A873" i="3"/>
  <c r="C873" i="3"/>
  <c r="A874" i="3"/>
  <c r="C874" i="3"/>
  <c r="A875" i="3"/>
  <c r="C875" i="3"/>
  <c r="A876" i="3"/>
  <c r="C876" i="3"/>
  <c r="A877" i="3"/>
  <c r="C877" i="3"/>
  <c r="A878" i="3"/>
  <c r="C878" i="3"/>
  <c r="A879" i="3"/>
  <c r="C879" i="3"/>
  <c r="A880" i="3"/>
  <c r="C880" i="3"/>
  <c r="A881" i="3"/>
  <c r="C881" i="3"/>
  <c r="A882" i="3"/>
  <c r="C882" i="3"/>
  <c r="A883" i="3"/>
  <c r="C883" i="3"/>
  <c r="A884" i="3"/>
  <c r="C884" i="3"/>
  <c r="A885" i="3"/>
  <c r="C885" i="3"/>
  <c r="A886" i="3"/>
  <c r="C886" i="3"/>
  <c r="A887" i="3"/>
  <c r="C887" i="3"/>
  <c r="A888" i="3"/>
  <c r="C888" i="3"/>
  <c r="A889" i="3"/>
  <c r="C889" i="3"/>
  <c r="A890" i="3"/>
  <c r="C890" i="3"/>
  <c r="A891" i="3"/>
  <c r="C891" i="3"/>
  <c r="A892" i="3"/>
  <c r="C892" i="3"/>
  <c r="A893" i="3"/>
  <c r="C893" i="3"/>
  <c r="A894" i="3"/>
  <c r="C894" i="3"/>
  <c r="A895" i="3"/>
  <c r="C895" i="3"/>
  <c r="A896" i="3"/>
  <c r="C896" i="3"/>
  <c r="A897" i="3"/>
  <c r="C897" i="3"/>
  <c r="A898" i="3"/>
  <c r="C898" i="3"/>
  <c r="A899" i="3"/>
  <c r="C899" i="3"/>
  <c r="A900" i="3"/>
  <c r="C900" i="3"/>
  <c r="A901" i="3"/>
  <c r="C901" i="3"/>
  <c r="A902" i="3"/>
  <c r="C902" i="3"/>
  <c r="A903" i="3"/>
  <c r="C903" i="3"/>
  <c r="A904" i="3"/>
  <c r="C904" i="3"/>
  <c r="A905" i="3"/>
  <c r="C905" i="3"/>
  <c r="A906" i="3"/>
  <c r="C906" i="3"/>
  <c r="A907" i="3"/>
  <c r="C907" i="3"/>
  <c r="A908" i="3"/>
  <c r="C908" i="3"/>
  <c r="A909" i="3"/>
  <c r="C909" i="3"/>
  <c r="A910" i="3"/>
  <c r="C910" i="3"/>
  <c r="A911" i="3"/>
  <c r="C911" i="3"/>
  <c r="A912" i="3"/>
  <c r="C912" i="3"/>
  <c r="A913" i="3"/>
  <c r="C913" i="3"/>
  <c r="A914" i="3"/>
  <c r="C914" i="3"/>
  <c r="A915" i="3"/>
  <c r="C915" i="3"/>
  <c r="A916" i="3"/>
  <c r="C916" i="3"/>
  <c r="A917" i="3"/>
  <c r="C917" i="3"/>
  <c r="A918" i="3"/>
  <c r="C918" i="3"/>
  <c r="A919" i="3"/>
  <c r="C919" i="3"/>
  <c r="A920" i="3"/>
  <c r="C920" i="3"/>
  <c r="A921" i="3"/>
  <c r="C921" i="3"/>
  <c r="A922" i="3"/>
  <c r="C922" i="3"/>
  <c r="A923" i="3"/>
  <c r="C923" i="3"/>
  <c r="A924" i="3"/>
  <c r="C924" i="3"/>
  <c r="A925" i="3"/>
  <c r="C925" i="3"/>
  <c r="A926" i="3"/>
  <c r="C926" i="3"/>
  <c r="A927" i="3"/>
  <c r="C927" i="3"/>
  <c r="A928" i="3"/>
  <c r="C928" i="3"/>
  <c r="A929" i="3"/>
  <c r="C929" i="3"/>
  <c r="A930" i="3"/>
  <c r="C930" i="3"/>
  <c r="A931" i="3"/>
  <c r="C931" i="3"/>
  <c r="A932" i="3"/>
  <c r="C932" i="3"/>
  <c r="A933" i="3"/>
  <c r="C933" i="3"/>
  <c r="A934" i="3"/>
  <c r="C934" i="3"/>
  <c r="A935" i="3"/>
  <c r="C935" i="3"/>
  <c r="A936" i="3"/>
  <c r="C936" i="3"/>
  <c r="A937" i="3"/>
  <c r="C937" i="3"/>
  <c r="A938" i="3"/>
  <c r="C938" i="3"/>
  <c r="A939" i="3"/>
  <c r="C939" i="3"/>
  <c r="A940" i="3"/>
  <c r="C940" i="3"/>
  <c r="A941" i="3"/>
  <c r="C941" i="3"/>
  <c r="A942" i="3"/>
  <c r="C942" i="3"/>
  <c r="A943" i="3"/>
  <c r="C943" i="3"/>
  <c r="A944" i="3"/>
  <c r="C944" i="3"/>
  <c r="A945" i="3"/>
  <c r="C945" i="3"/>
  <c r="A946" i="3"/>
  <c r="C946" i="3"/>
  <c r="A947" i="3"/>
  <c r="C947" i="3"/>
  <c r="A948" i="3"/>
  <c r="C948" i="3"/>
  <c r="A949" i="3"/>
  <c r="C949" i="3"/>
  <c r="A950" i="3"/>
  <c r="C950" i="3"/>
  <c r="A951" i="3"/>
  <c r="C951" i="3"/>
  <c r="A952" i="3"/>
  <c r="C952" i="3"/>
  <c r="A953" i="3"/>
  <c r="C953" i="3"/>
  <c r="A954" i="3"/>
  <c r="C954" i="3"/>
  <c r="A955" i="3"/>
  <c r="C955" i="3"/>
  <c r="A956" i="3"/>
  <c r="C956" i="3"/>
  <c r="A957" i="3"/>
  <c r="C957" i="3"/>
  <c r="A958" i="3"/>
  <c r="C958" i="3"/>
  <c r="A959" i="3"/>
  <c r="C959" i="3"/>
  <c r="A960" i="3"/>
  <c r="C960" i="3"/>
  <c r="A961" i="3"/>
  <c r="C961" i="3"/>
  <c r="A962" i="3"/>
  <c r="C962" i="3"/>
  <c r="A963" i="3"/>
  <c r="C963" i="3"/>
  <c r="A964" i="3"/>
  <c r="C964" i="3"/>
  <c r="A965" i="3"/>
  <c r="C965" i="3"/>
  <c r="A966" i="3"/>
  <c r="C966" i="3"/>
  <c r="A967" i="3"/>
  <c r="C967" i="3"/>
  <c r="A968" i="3"/>
  <c r="C968" i="3"/>
  <c r="A969" i="3"/>
  <c r="C969" i="3"/>
  <c r="A970" i="3"/>
  <c r="C970" i="3"/>
  <c r="A971" i="3"/>
  <c r="C971" i="3"/>
  <c r="A972" i="3"/>
  <c r="C972" i="3"/>
  <c r="A973" i="3"/>
  <c r="C973" i="3"/>
  <c r="A974" i="3"/>
  <c r="C974" i="3"/>
  <c r="A975" i="3"/>
  <c r="C975" i="3"/>
  <c r="A976" i="3"/>
  <c r="C976" i="3"/>
  <c r="A977" i="3"/>
  <c r="C977" i="3"/>
  <c r="A978" i="3"/>
  <c r="C978" i="3"/>
  <c r="A979" i="3"/>
  <c r="C979" i="3"/>
  <c r="A980" i="3"/>
  <c r="C980" i="3"/>
  <c r="A981" i="3"/>
  <c r="C981" i="3"/>
  <c r="A982" i="3"/>
  <c r="C982" i="3"/>
  <c r="A983" i="3"/>
  <c r="C983" i="3"/>
  <c r="A984" i="3"/>
  <c r="C984" i="3"/>
  <c r="A985" i="3"/>
  <c r="C985" i="3"/>
  <c r="A986" i="3"/>
  <c r="C986" i="3"/>
  <c r="A987" i="3"/>
  <c r="C987" i="3"/>
  <c r="A988" i="3"/>
  <c r="C988" i="3"/>
  <c r="A989" i="3"/>
  <c r="C989" i="3"/>
  <c r="A990" i="3"/>
  <c r="C990" i="3"/>
  <c r="A991" i="3"/>
  <c r="C991" i="3"/>
  <c r="A992" i="3"/>
  <c r="C992" i="3"/>
  <c r="A993" i="3"/>
  <c r="C993" i="3"/>
  <c r="A994" i="3"/>
  <c r="C994" i="3"/>
  <c r="A995" i="3"/>
  <c r="C995" i="3"/>
  <c r="A996" i="3"/>
  <c r="C996" i="3"/>
  <c r="A997" i="3"/>
  <c r="C997" i="3"/>
  <c r="A998" i="3"/>
  <c r="C998" i="3"/>
  <c r="A999" i="3"/>
  <c r="C999" i="3"/>
  <c r="A1000" i="3"/>
  <c r="C1000" i="3"/>
  <c r="A1001" i="3"/>
  <c r="C1001" i="3"/>
  <c r="A1002" i="3"/>
  <c r="C1002" i="3"/>
  <c r="A1003" i="3"/>
  <c r="C1003" i="3"/>
  <c r="A1004" i="3"/>
  <c r="C1004" i="3"/>
  <c r="A1005" i="3"/>
  <c r="C1005" i="3"/>
  <c r="A1006" i="3"/>
  <c r="C1006" i="3"/>
  <c r="A1007" i="3"/>
  <c r="C1007" i="3"/>
  <c r="A1008" i="3"/>
  <c r="C1008" i="3"/>
  <c r="A1009" i="3"/>
  <c r="C1009" i="3"/>
  <c r="A1010" i="3"/>
  <c r="C1010" i="3"/>
  <c r="A1011" i="3"/>
  <c r="C1011" i="3"/>
  <c r="A1012" i="3"/>
  <c r="C1012" i="3"/>
  <c r="A1013" i="3"/>
  <c r="C1013" i="3"/>
  <c r="A1014" i="3"/>
  <c r="C1014" i="3"/>
  <c r="A1015" i="3"/>
  <c r="C1015" i="3"/>
  <c r="A1016" i="3"/>
  <c r="C1016" i="3"/>
  <c r="A1017" i="3"/>
  <c r="C1017" i="3"/>
  <c r="A1018" i="3"/>
  <c r="C1018" i="3"/>
  <c r="A1019" i="3"/>
  <c r="C1019" i="3"/>
  <c r="A1020" i="3"/>
  <c r="C1020" i="3"/>
  <c r="A1021" i="3"/>
  <c r="C1021" i="3"/>
  <c r="A1022" i="3"/>
  <c r="C1022" i="3"/>
  <c r="A1023" i="3"/>
  <c r="C1023" i="3"/>
  <c r="A1024" i="3"/>
  <c r="C1024" i="3"/>
  <c r="A1025" i="3"/>
  <c r="C1025" i="3"/>
  <c r="A1026" i="3"/>
  <c r="C1026" i="3"/>
  <c r="A1027" i="3"/>
  <c r="C1027" i="3"/>
  <c r="A1028" i="3"/>
  <c r="C1028" i="3"/>
  <c r="A1029" i="3"/>
  <c r="C1029" i="3"/>
  <c r="A1030" i="3"/>
  <c r="C1030" i="3"/>
  <c r="A1031" i="3"/>
  <c r="C1031" i="3"/>
  <c r="A1032" i="3"/>
  <c r="C1032" i="3"/>
  <c r="A1033" i="3"/>
  <c r="C1033" i="3"/>
  <c r="A1034" i="3"/>
  <c r="C1034" i="3"/>
  <c r="A1035" i="3"/>
  <c r="C1035" i="3"/>
  <c r="A1036" i="3"/>
  <c r="C1036" i="3"/>
  <c r="A1037" i="3"/>
  <c r="C1037" i="3"/>
  <c r="A1038" i="3"/>
  <c r="C1038" i="3"/>
  <c r="A1039" i="3"/>
  <c r="C1039" i="3"/>
  <c r="A1040" i="3"/>
  <c r="C1040" i="3"/>
  <c r="A1041" i="3"/>
  <c r="C1041" i="3"/>
  <c r="A1042" i="3"/>
  <c r="C1042" i="3"/>
  <c r="A1043" i="3"/>
  <c r="C1043" i="3"/>
  <c r="A1044" i="3"/>
  <c r="C1044" i="3"/>
  <c r="A1045" i="3"/>
  <c r="C1045" i="3"/>
  <c r="A1046" i="3"/>
  <c r="C1046" i="3"/>
  <c r="A1047" i="3"/>
  <c r="C1047" i="3"/>
  <c r="A1048" i="3"/>
  <c r="C1048" i="3"/>
  <c r="A1049" i="3"/>
  <c r="C1049" i="3"/>
  <c r="A1050" i="3"/>
  <c r="C1050" i="3"/>
  <c r="A1051" i="3"/>
  <c r="C1051" i="3"/>
  <c r="A1052" i="3"/>
  <c r="C1052" i="3"/>
  <c r="A1053" i="3"/>
  <c r="C1053" i="3"/>
  <c r="A1054" i="3"/>
  <c r="C1054" i="3"/>
  <c r="A1055" i="3"/>
  <c r="C1055" i="3"/>
  <c r="A1056" i="3"/>
  <c r="C1056" i="3"/>
  <c r="A1057" i="3"/>
  <c r="C1057" i="3"/>
  <c r="A1058" i="3"/>
  <c r="C1058" i="3"/>
  <c r="A1059" i="3"/>
  <c r="C1059" i="3"/>
  <c r="A1060" i="3"/>
  <c r="C1060" i="3"/>
  <c r="A1061" i="3"/>
  <c r="C1061" i="3"/>
  <c r="A1062" i="3"/>
  <c r="C1062" i="3"/>
  <c r="A1063" i="3"/>
  <c r="C1063" i="3"/>
  <c r="A1064" i="3"/>
  <c r="C1064" i="3"/>
  <c r="A1065" i="3"/>
  <c r="C1065" i="3"/>
  <c r="A1066" i="3"/>
  <c r="C1066" i="3"/>
  <c r="A1067" i="3"/>
  <c r="C1067" i="3"/>
  <c r="A1068" i="3"/>
  <c r="C1068" i="3"/>
  <c r="A1069" i="3"/>
  <c r="C1069" i="3"/>
  <c r="A1070" i="3"/>
  <c r="C1070" i="3"/>
  <c r="A1071" i="3"/>
  <c r="C1071" i="3"/>
  <c r="A1072" i="3"/>
  <c r="C1072" i="3"/>
  <c r="A1073" i="3"/>
  <c r="C1073" i="3"/>
  <c r="A1074" i="3"/>
  <c r="C1074" i="3"/>
  <c r="A1075" i="3"/>
  <c r="C1075" i="3"/>
  <c r="A1076" i="3"/>
  <c r="C1076" i="3"/>
  <c r="A1077" i="3"/>
  <c r="C1077" i="3"/>
  <c r="A1078" i="3"/>
  <c r="C1078" i="3"/>
  <c r="A1079" i="3"/>
  <c r="C1079" i="3"/>
  <c r="A1080" i="3"/>
  <c r="C1080" i="3"/>
  <c r="A1081" i="3"/>
  <c r="C1081" i="3"/>
  <c r="A1082" i="3"/>
  <c r="C1082" i="3"/>
  <c r="A1083" i="3"/>
  <c r="C1083" i="3"/>
  <c r="A1084" i="3"/>
  <c r="C1084" i="3"/>
  <c r="A1085" i="3"/>
  <c r="C1085" i="3"/>
  <c r="A1086" i="3"/>
  <c r="C1086" i="3"/>
  <c r="A1087" i="3"/>
  <c r="C1087" i="3"/>
  <c r="A1088" i="3"/>
  <c r="C1088" i="3"/>
  <c r="A1089" i="3"/>
  <c r="C1089" i="3"/>
  <c r="A1090" i="3"/>
  <c r="C1090" i="3"/>
  <c r="A1091" i="3"/>
  <c r="C1091" i="3"/>
  <c r="A1092" i="3"/>
  <c r="C1092" i="3"/>
  <c r="A1093" i="3"/>
  <c r="C1093" i="3"/>
  <c r="A1094" i="3"/>
  <c r="C1094" i="3"/>
  <c r="A1095" i="3"/>
  <c r="C1095" i="3"/>
  <c r="A1096" i="3"/>
  <c r="C1096" i="3"/>
  <c r="C2" i="3" l="1"/>
  <c r="A2" i="3"/>
  <c r="E381" i="1" l="1"/>
  <c r="E349" i="1"/>
  <c r="E318" i="1"/>
  <c r="E286" i="1"/>
  <c r="E255" i="1"/>
  <c r="E223" i="1"/>
  <c r="E191" i="1"/>
  <c r="E160" i="1"/>
  <c r="E128" i="1"/>
  <c r="E97" i="1"/>
  <c r="E65" i="1"/>
  <c r="E36" i="1"/>
  <c r="A1" i="5" l="1"/>
  <c r="D349" i="1" l="1"/>
  <c r="C349" i="1"/>
  <c r="B349" i="1"/>
  <c r="D286" i="1"/>
  <c r="C286" i="1"/>
  <c r="B286" i="1"/>
  <c r="D191" i="1"/>
  <c r="C191" i="1"/>
  <c r="B191" i="1"/>
  <c r="D128" i="1"/>
  <c r="C128" i="1"/>
  <c r="B128" i="1"/>
  <c r="D97" i="1"/>
  <c r="C97" i="1"/>
  <c r="B97" i="1"/>
  <c r="D65" i="1"/>
  <c r="C65" i="1"/>
  <c r="B65" i="1"/>
  <c r="D381" i="1"/>
  <c r="C381" i="1"/>
  <c r="B381" i="1"/>
  <c r="D318" i="1"/>
  <c r="C318" i="1"/>
  <c r="B318" i="1"/>
  <c r="D255" i="1"/>
  <c r="C255" i="1"/>
  <c r="B255" i="1"/>
  <c r="D223" i="1"/>
  <c r="C223" i="1"/>
  <c r="B223" i="1"/>
  <c r="D160" i="1"/>
  <c r="C160" i="1"/>
  <c r="B160" i="1"/>
  <c r="C36" i="1"/>
  <c r="D36" i="1"/>
  <c r="B36" i="1"/>
  <c r="A5" i="1"/>
  <c r="B4" i="3" l="1"/>
  <c r="B8" i="3"/>
  <c r="B12" i="3"/>
  <c r="B16" i="3"/>
  <c r="B20" i="3"/>
  <c r="B24" i="3"/>
  <c r="B28" i="3"/>
  <c r="B32" i="3"/>
  <c r="B36" i="3"/>
  <c r="B40" i="3"/>
  <c r="B44" i="3"/>
  <c r="B48" i="3"/>
  <c r="B52" i="3"/>
  <c r="B56" i="3"/>
  <c r="B3" i="3"/>
  <c r="B7" i="3"/>
  <c r="B11" i="3"/>
  <c r="B15" i="3"/>
  <c r="B19" i="3"/>
  <c r="B23" i="3"/>
  <c r="B27" i="3"/>
  <c r="B31" i="3"/>
  <c r="B35" i="3"/>
  <c r="B39" i="3"/>
  <c r="B43" i="3"/>
  <c r="B47" i="3"/>
  <c r="B51" i="3"/>
  <c r="B55" i="3"/>
  <c r="B59" i="3"/>
  <c r="B63" i="3"/>
  <c r="B67" i="3"/>
  <c r="B6" i="3"/>
  <c r="B10" i="3"/>
  <c r="B14" i="3"/>
  <c r="B18" i="3"/>
  <c r="B22" i="3"/>
  <c r="B26" i="3"/>
  <c r="B30" i="3"/>
  <c r="B34" i="3"/>
  <c r="B38" i="3"/>
  <c r="B42" i="3"/>
  <c r="B46" i="3"/>
  <c r="B50" i="3"/>
  <c r="B5" i="3"/>
  <c r="B9" i="3"/>
  <c r="B13" i="3"/>
  <c r="B17" i="3"/>
  <c r="B21" i="3"/>
  <c r="B25" i="3"/>
  <c r="B29" i="3"/>
  <c r="B33" i="3"/>
  <c r="B37" i="3"/>
  <c r="B41" i="3"/>
  <c r="B45" i="3"/>
  <c r="B49" i="3"/>
  <c r="B53" i="3"/>
  <c r="B57" i="3"/>
  <c r="B61" i="3"/>
  <c r="B65" i="3"/>
  <c r="B69" i="3"/>
  <c r="B58" i="3"/>
  <c r="B66" i="3"/>
  <c r="B71" i="3"/>
  <c r="B75" i="3"/>
  <c r="B79" i="3"/>
  <c r="B83" i="3"/>
  <c r="B87" i="3"/>
  <c r="B91" i="3"/>
  <c r="B95" i="3"/>
  <c r="B99" i="3"/>
  <c r="B103" i="3"/>
  <c r="B60" i="3"/>
  <c r="B68" i="3"/>
  <c r="B74" i="3"/>
  <c r="B78" i="3"/>
  <c r="B82" i="3"/>
  <c r="B86" i="3"/>
  <c r="B90" i="3"/>
  <c r="B94" i="3"/>
  <c r="B98" i="3"/>
  <c r="B102" i="3"/>
  <c r="B106" i="3"/>
  <c r="B110" i="3"/>
  <c r="B114" i="3"/>
  <c r="B118" i="3"/>
  <c r="B122" i="3"/>
  <c r="B126" i="3"/>
  <c r="B130" i="3"/>
  <c r="B54" i="3"/>
  <c r="B62" i="3"/>
  <c r="B70" i="3"/>
  <c r="B73" i="3"/>
  <c r="B77" i="3"/>
  <c r="B81" i="3"/>
  <c r="B85" i="3"/>
  <c r="B89" i="3"/>
  <c r="B93" i="3"/>
  <c r="B97" i="3"/>
  <c r="B101" i="3"/>
  <c r="B64" i="3"/>
  <c r="B72" i="3"/>
  <c r="B76" i="3"/>
  <c r="B80" i="3"/>
  <c r="B84" i="3"/>
  <c r="B88" i="3"/>
  <c r="B92" i="3"/>
  <c r="B96" i="3"/>
  <c r="B100" i="3"/>
  <c r="B104" i="3"/>
  <c r="B108" i="3"/>
  <c r="B112" i="3"/>
  <c r="B116" i="3"/>
  <c r="B120" i="3"/>
  <c r="B124" i="3"/>
  <c r="B128" i="3"/>
  <c r="B105" i="3"/>
  <c r="B113" i="3"/>
  <c r="B121" i="3"/>
  <c r="B129" i="3"/>
  <c r="B134" i="3"/>
  <c r="B138" i="3"/>
  <c r="B142" i="3"/>
  <c r="B146" i="3"/>
  <c r="B150" i="3"/>
  <c r="B154" i="3"/>
  <c r="B158" i="3"/>
  <c r="B162" i="3"/>
  <c r="B166" i="3"/>
  <c r="B170" i="3"/>
  <c r="B174" i="3"/>
  <c r="B178" i="3"/>
  <c r="B182" i="3"/>
  <c r="B107" i="3"/>
  <c r="B115" i="3"/>
  <c r="B123" i="3"/>
  <c r="B131" i="3"/>
  <c r="B133" i="3"/>
  <c r="B137" i="3"/>
  <c r="B141" i="3"/>
  <c r="B145" i="3"/>
  <c r="B149" i="3"/>
  <c r="B153" i="3"/>
  <c r="B157" i="3"/>
  <c r="B161" i="3"/>
  <c r="B165" i="3"/>
  <c r="B169" i="3"/>
  <c r="B173" i="3"/>
  <c r="B177" i="3"/>
  <c r="B181" i="3"/>
  <c r="B185" i="3"/>
  <c r="B189" i="3"/>
  <c r="B109" i="3"/>
  <c r="B117" i="3"/>
  <c r="B125" i="3"/>
  <c r="B132" i="3"/>
  <c r="B136" i="3"/>
  <c r="B140" i="3"/>
  <c r="B144" i="3"/>
  <c r="B148" i="3"/>
  <c r="B152" i="3"/>
  <c r="B156" i="3"/>
  <c r="B160" i="3"/>
  <c r="B164" i="3"/>
  <c r="B168" i="3"/>
  <c r="B172" i="3"/>
  <c r="B176" i="3"/>
  <c r="B180" i="3"/>
  <c r="B184" i="3"/>
  <c r="B111" i="3"/>
  <c r="B119" i="3"/>
  <c r="B127" i="3"/>
  <c r="B135" i="3"/>
  <c r="B139" i="3"/>
  <c r="B143" i="3"/>
  <c r="B147" i="3"/>
  <c r="B151" i="3"/>
  <c r="B155" i="3"/>
  <c r="B159" i="3"/>
  <c r="B163" i="3"/>
  <c r="B167" i="3"/>
  <c r="B171" i="3"/>
  <c r="B175" i="3"/>
  <c r="B179" i="3"/>
  <c r="B183" i="3"/>
  <c r="B187" i="3"/>
  <c r="B191" i="3"/>
  <c r="B196" i="3"/>
  <c r="B200" i="3"/>
  <c r="B204" i="3"/>
  <c r="B208" i="3"/>
  <c r="B212" i="3"/>
  <c r="B216" i="3"/>
  <c r="B220" i="3"/>
  <c r="B224" i="3"/>
  <c r="B228" i="3"/>
  <c r="B232" i="3"/>
  <c r="B236" i="3"/>
  <c r="B240" i="3"/>
  <c r="B244" i="3"/>
  <c r="B248" i="3"/>
  <c r="B252" i="3"/>
  <c r="B256" i="3"/>
  <c r="B186" i="3"/>
  <c r="B192" i="3"/>
  <c r="B195" i="3"/>
  <c r="B199" i="3"/>
  <c r="B203" i="3"/>
  <c r="B207" i="3"/>
  <c r="B211" i="3"/>
  <c r="B215" i="3"/>
  <c r="B219" i="3"/>
  <c r="B223" i="3"/>
  <c r="B227" i="3"/>
  <c r="B231" i="3"/>
  <c r="B235" i="3"/>
  <c r="B239" i="3"/>
  <c r="B243" i="3"/>
  <c r="B247" i="3"/>
  <c r="B251" i="3"/>
  <c r="B255" i="3"/>
  <c r="B259" i="3"/>
  <c r="B263" i="3"/>
  <c r="B267" i="3"/>
  <c r="B271" i="3"/>
  <c r="B275" i="3"/>
  <c r="B279" i="3"/>
  <c r="B283" i="3"/>
  <c r="B287" i="3"/>
  <c r="B291" i="3"/>
  <c r="B188" i="3"/>
  <c r="B194" i="3"/>
  <c r="B198" i="3"/>
  <c r="B202" i="3"/>
  <c r="B206" i="3"/>
  <c r="B210" i="3"/>
  <c r="B214" i="3"/>
  <c r="B218" i="3"/>
  <c r="B222" i="3"/>
  <c r="B226" i="3"/>
  <c r="B230" i="3"/>
  <c r="B234" i="3"/>
  <c r="B238" i="3"/>
  <c r="B242" i="3"/>
  <c r="B246" i="3"/>
  <c r="B250" i="3"/>
  <c r="B254" i="3"/>
  <c r="B258" i="3"/>
  <c r="B190" i="3"/>
  <c r="B193" i="3"/>
  <c r="B197" i="3"/>
  <c r="B201" i="3"/>
  <c r="B205" i="3"/>
  <c r="B209" i="3"/>
  <c r="B213" i="3"/>
  <c r="B217" i="3"/>
  <c r="B221" i="3"/>
  <c r="B225" i="3"/>
  <c r="B229" i="3"/>
  <c r="B233" i="3"/>
  <c r="B237" i="3"/>
  <c r="B241" i="3"/>
  <c r="B245" i="3"/>
  <c r="B249" i="3"/>
  <c r="B253" i="3"/>
  <c r="B257" i="3"/>
  <c r="B261" i="3"/>
  <c r="B265" i="3"/>
  <c r="B269" i="3"/>
  <c r="B273" i="3"/>
  <c r="B277" i="3"/>
  <c r="B281" i="3"/>
  <c r="B285" i="3"/>
  <c r="B289" i="3"/>
  <c r="B260" i="3"/>
  <c r="B268" i="3"/>
  <c r="B276" i="3"/>
  <c r="B284" i="3"/>
  <c r="B292" i="3"/>
  <c r="B295" i="3"/>
  <c r="B299" i="3"/>
  <c r="B303" i="3"/>
  <c r="B307" i="3"/>
  <c r="B311" i="3"/>
  <c r="B315" i="3"/>
  <c r="B319" i="3"/>
  <c r="B323" i="3"/>
  <c r="B327" i="3"/>
  <c r="B331" i="3"/>
  <c r="B335" i="3"/>
  <c r="B339" i="3"/>
  <c r="B343" i="3"/>
  <c r="B347" i="3"/>
  <c r="B351" i="3"/>
  <c r="B355" i="3"/>
  <c r="B359" i="3"/>
  <c r="B363" i="3"/>
  <c r="B367" i="3"/>
  <c r="B371" i="3"/>
  <c r="B375" i="3"/>
  <c r="B379" i="3"/>
  <c r="B383" i="3"/>
  <c r="B387" i="3"/>
  <c r="B391" i="3"/>
  <c r="B395" i="3"/>
  <c r="B399" i="3"/>
  <c r="B262" i="3"/>
  <c r="B270" i="3"/>
  <c r="B278" i="3"/>
  <c r="B286" i="3"/>
  <c r="B294" i="3"/>
  <c r="B298" i="3"/>
  <c r="B302" i="3"/>
  <c r="B306" i="3"/>
  <c r="B310" i="3"/>
  <c r="B314" i="3"/>
  <c r="B318" i="3"/>
  <c r="B322" i="3"/>
  <c r="B326" i="3"/>
  <c r="B330" i="3"/>
  <c r="B334" i="3"/>
  <c r="B338" i="3"/>
  <c r="B342" i="3"/>
  <c r="B346" i="3"/>
  <c r="B350" i="3"/>
  <c r="B354" i="3"/>
  <c r="B358" i="3"/>
  <c r="B362" i="3"/>
  <c r="B366" i="3"/>
  <c r="B370" i="3"/>
  <c r="B374" i="3"/>
  <c r="B378" i="3"/>
  <c r="B382" i="3"/>
  <c r="B386" i="3"/>
  <c r="B390" i="3"/>
  <c r="B394" i="3"/>
  <c r="B398" i="3"/>
  <c r="B402" i="3"/>
  <c r="B406" i="3"/>
  <c r="B410" i="3"/>
  <c r="B264" i="3"/>
  <c r="B272" i="3"/>
  <c r="B280" i="3"/>
  <c r="B288" i="3"/>
  <c r="B293" i="3"/>
  <c r="B297" i="3"/>
  <c r="B301" i="3"/>
  <c r="B305" i="3"/>
  <c r="B309" i="3"/>
  <c r="B313" i="3"/>
  <c r="B317" i="3"/>
  <c r="B321" i="3"/>
  <c r="B325" i="3"/>
  <c r="B329" i="3"/>
  <c r="B333" i="3"/>
  <c r="B337" i="3"/>
  <c r="B341" i="3"/>
  <c r="B345" i="3"/>
  <c r="B349" i="3"/>
  <c r="B353" i="3"/>
  <c r="B357" i="3"/>
  <c r="B361" i="3"/>
  <c r="B365" i="3"/>
  <c r="B369" i="3"/>
  <c r="B373" i="3"/>
  <c r="B377" i="3"/>
  <c r="B381" i="3"/>
  <c r="B385" i="3"/>
  <c r="B389" i="3"/>
  <c r="B393" i="3"/>
  <c r="B397" i="3"/>
  <c r="B266" i="3"/>
  <c r="B274" i="3"/>
  <c r="B282" i="3"/>
  <c r="B290" i="3"/>
  <c r="B296" i="3"/>
  <c r="B300" i="3"/>
  <c r="B304" i="3"/>
  <c r="B308" i="3"/>
  <c r="B312" i="3"/>
  <c r="B316" i="3"/>
  <c r="B320" i="3"/>
  <c r="B324" i="3"/>
  <c r="B328" i="3"/>
  <c r="B332" i="3"/>
  <c r="B336" i="3"/>
  <c r="B340" i="3"/>
  <c r="B344" i="3"/>
  <c r="B348" i="3"/>
  <c r="B352" i="3"/>
  <c r="B356" i="3"/>
  <c r="B360" i="3"/>
  <c r="B364" i="3"/>
  <c r="B368" i="3"/>
  <c r="B372" i="3"/>
  <c r="B376" i="3"/>
  <c r="B380" i="3"/>
  <c r="B384" i="3"/>
  <c r="B388" i="3"/>
  <c r="B392" i="3"/>
  <c r="B396" i="3"/>
  <c r="B400" i="3"/>
  <c r="B404" i="3"/>
  <c r="B408" i="3"/>
  <c r="B407" i="3"/>
  <c r="B411" i="3"/>
  <c r="B415" i="3"/>
  <c r="B419" i="3"/>
  <c r="B423" i="3"/>
  <c r="B427" i="3"/>
  <c r="B431" i="3"/>
  <c r="B435" i="3"/>
  <c r="B439" i="3"/>
  <c r="B443" i="3"/>
  <c r="B447" i="3"/>
  <c r="B451" i="3"/>
  <c r="B455" i="3"/>
  <c r="B459" i="3"/>
  <c r="B463" i="3"/>
  <c r="B467" i="3"/>
  <c r="B471" i="3"/>
  <c r="B475" i="3"/>
  <c r="B479" i="3"/>
  <c r="B483" i="3"/>
  <c r="B487" i="3"/>
  <c r="B491" i="3"/>
  <c r="B495" i="3"/>
  <c r="B499" i="3"/>
  <c r="B503" i="3"/>
  <c r="B507" i="3"/>
  <c r="B511" i="3"/>
  <c r="B515" i="3"/>
  <c r="B519" i="3"/>
  <c r="B523" i="3"/>
  <c r="B527" i="3"/>
  <c r="B531" i="3"/>
  <c r="B535" i="3"/>
  <c r="B539" i="3"/>
  <c r="B401" i="3"/>
  <c r="B409" i="3"/>
  <c r="B414" i="3"/>
  <c r="B418" i="3"/>
  <c r="B422" i="3"/>
  <c r="B426" i="3"/>
  <c r="B430" i="3"/>
  <c r="B434" i="3"/>
  <c r="B438" i="3"/>
  <c r="B442" i="3"/>
  <c r="B446" i="3"/>
  <c r="B450" i="3"/>
  <c r="B454" i="3"/>
  <c r="B458" i="3"/>
  <c r="B462" i="3"/>
  <c r="B466" i="3"/>
  <c r="B470" i="3"/>
  <c r="B474" i="3"/>
  <c r="B478" i="3"/>
  <c r="B482" i="3"/>
  <c r="B486" i="3"/>
  <c r="B490" i="3"/>
  <c r="B494" i="3"/>
  <c r="B498" i="3"/>
  <c r="B502" i="3"/>
  <c r="B506" i="3"/>
  <c r="B510" i="3"/>
  <c r="B403" i="3"/>
  <c r="B413" i="3"/>
  <c r="B417" i="3"/>
  <c r="B421" i="3"/>
  <c r="B425" i="3"/>
  <c r="B429" i="3"/>
  <c r="B433" i="3"/>
  <c r="B437" i="3"/>
  <c r="B441" i="3"/>
  <c r="B445" i="3"/>
  <c r="B449" i="3"/>
  <c r="B453" i="3"/>
  <c r="B457" i="3"/>
  <c r="B461" i="3"/>
  <c r="B465" i="3"/>
  <c r="B469" i="3"/>
  <c r="B473" i="3"/>
  <c r="B477" i="3"/>
  <c r="B481" i="3"/>
  <c r="B485" i="3"/>
  <c r="B489" i="3"/>
  <c r="B493" i="3"/>
  <c r="B497" i="3"/>
  <c r="B501" i="3"/>
  <c r="B505" i="3"/>
  <c r="B509" i="3"/>
  <c r="B513" i="3"/>
  <c r="B517" i="3"/>
  <c r="B521" i="3"/>
  <c r="B525" i="3"/>
  <c r="B529" i="3"/>
  <c r="B533" i="3"/>
  <c r="B537" i="3"/>
  <c r="B405" i="3"/>
  <c r="B412" i="3"/>
  <c r="B416" i="3"/>
  <c r="B420" i="3"/>
  <c r="B424" i="3"/>
  <c r="B428" i="3"/>
  <c r="B432" i="3"/>
  <c r="B436" i="3"/>
  <c r="B440" i="3"/>
  <c r="B444" i="3"/>
  <c r="B448" i="3"/>
  <c r="B452" i="3"/>
  <c r="B456" i="3"/>
  <c r="B460" i="3"/>
  <c r="B464" i="3"/>
  <c r="B468" i="3"/>
  <c r="B472" i="3"/>
  <c r="B476" i="3"/>
  <c r="B480" i="3"/>
  <c r="B484" i="3"/>
  <c r="B488" i="3"/>
  <c r="B492" i="3"/>
  <c r="B496" i="3"/>
  <c r="B500" i="3"/>
  <c r="B504" i="3"/>
  <c r="B508" i="3"/>
  <c r="B512" i="3"/>
  <c r="B518" i="3"/>
  <c r="B526" i="3"/>
  <c r="B534" i="3"/>
  <c r="B541" i="3"/>
  <c r="B545" i="3"/>
  <c r="B549" i="3"/>
  <c r="B553" i="3"/>
  <c r="B557" i="3"/>
  <c r="B561" i="3"/>
  <c r="B565" i="3"/>
  <c r="B569" i="3"/>
  <c r="B573" i="3"/>
  <c r="B577" i="3"/>
  <c r="B581" i="3"/>
  <c r="B585" i="3"/>
  <c r="B589" i="3"/>
  <c r="B593" i="3"/>
  <c r="B597" i="3"/>
  <c r="B601" i="3"/>
  <c r="B605" i="3"/>
  <c r="B609" i="3"/>
  <c r="B613" i="3"/>
  <c r="B617" i="3"/>
  <c r="B621" i="3"/>
  <c r="B520" i="3"/>
  <c r="B528" i="3"/>
  <c r="B536" i="3"/>
  <c r="B540" i="3"/>
  <c r="B544" i="3"/>
  <c r="B548" i="3"/>
  <c r="B552" i="3"/>
  <c r="B556" i="3"/>
  <c r="B560" i="3"/>
  <c r="B564" i="3"/>
  <c r="B568" i="3"/>
  <c r="B572" i="3"/>
  <c r="B576" i="3"/>
  <c r="B580" i="3"/>
  <c r="B584" i="3"/>
  <c r="B588" i="3"/>
  <c r="B592" i="3"/>
  <c r="B596" i="3"/>
  <c r="B600" i="3"/>
  <c r="B604" i="3"/>
  <c r="B608" i="3"/>
  <c r="B612" i="3"/>
  <c r="B616" i="3"/>
  <c r="B620" i="3"/>
  <c r="B624" i="3"/>
  <c r="B628" i="3"/>
  <c r="B632" i="3"/>
  <c r="B636" i="3"/>
  <c r="B640" i="3"/>
  <c r="B644" i="3"/>
  <c r="B648" i="3"/>
  <c r="B652" i="3"/>
  <c r="B656" i="3"/>
  <c r="B660" i="3"/>
  <c r="B522" i="3"/>
  <c r="B530" i="3"/>
  <c r="B538" i="3"/>
  <c r="B543" i="3"/>
  <c r="B547" i="3"/>
  <c r="B551" i="3"/>
  <c r="B555" i="3"/>
  <c r="B559" i="3"/>
  <c r="B563" i="3"/>
  <c r="B567" i="3"/>
  <c r="B571" i="3"/>
  <c r="B575" i="3"/>
  <c r="B579" i="3"/>
  <c r="B583" i="3"/>
  <c r="B587" i="3"/>
  <c r="B591" i="3"/>
  <c r="B595" i="3"/>
  <c r="B599" i="3"/>
  <c r="B603" i="3"/>
  <c r="B607" i="3"/>
  <c r="B611" i="3"/>
  <c r="B615" i="3"/>
  <c r="B619" i="3"/>
  <c r="B623" i="3"/>
  <c r="B514" i="3"/>
  <c r="B516" i="3"/>
  <c r="B524" i="3"/>
  <c r="B532" i="3"/>
  <c r="B542" i="3"/>
  <c r="B546" i="3"/>
  <c r="B550" i="3"/>
  <c r="B554" i="3"/>
  <c r="B558" i="3"/>
  <c r="B562" i="3"/>
  <c r="B566" i="3"/>
  <c r="B570" i="3"/>
  <c r="B574" i="3"/>
  <c r="B578" i="3"/>
  <c r="B582" i="3"/>
  <c r="B586" i="3"/>
  <c r="B590" i="3"/>
  <c r="B594" i="3"/>
  <c r="B598" i="3"/>
  <c r="B602" i="3"/>
  <c r="B606" i="3"/>
  <c r="B610" i="3"/>
  <c r="B614" i="3"/>
  <c r="B618" i="3"/>
  <c r="B622" i="3"/>
  <c r="B626" i="3"/>
  <c r="B630" i="3"/>
  <c r="B634" i="3"/>
  <c r="B638" i="3"/>
  <c r="B642" i="3"/>
  <c r="B646" i="3"/>
  <c r="B650" i="3"/>
  <c r="B654" i="3"/>
  <c r="B658" i="3"/>
  <c r="B662" i="3"/>
  <c r="B627" i="3"/>
  <c r="B635" i="3"/>
  <c r="B643" i="3"/>
  <c r="B651" i="3"/>
  <c r="B659" i="3"/>
  <c r="B663" i="3"/>
  <c r="B667" i="3"/>
  <c r="B671" i="3"/>
  <c r="B675" i="3"/>
  <c r="B679" i="3"/>
  <c r="B683" i="3"/>
  <c r="B687" i="3"/>
  <c r="B691" i="3"/>
  <c r="B695" i="3"/>
  <c r="B699" i="3"/>
  <c r="B703" i="3"/>
  <c r="B707" i="3"/>
  <c r="B711" i="3"/>
  <c r="B715" i="3"/>
  <c r="B719" i="3"/>
  <c r="B723" i="3"/>
  <c r="B727" i="3"/>
  <c r="B731" i="3"/>
  <c r="B735" i="3"/>
  <c r="B739" i="3"/>
  <c r="B743" i="3"/>
  <c r="B747" i="3"/>
  <c r="B751" i="3"/>
  <c r="B755" i="3"/>
  <c r="B759" i="3"/>
  <c r="B763" i="3"/>
  <c r="B767" i="3"/>
  <c r="B771" i="3"/>
  <c r="B775" i="3"/>
  <c r="B629" i="3"/>
  <c r="B637" i="3"/>
  <c r="B645" i="3"/>
  <c r="B653" i="3"/>
  <c r="B661" i="3"/>
  <c r="B666" i="3"/>
  <c r="B670" i="3"/>
  <c r="B674" i="3"/>
  <c r="B678" i="3"/>
  <c r="B682" i="3"/>
  <c r="B686" i="3"/>
  <c r="B690" i="3"/>
  <c r="B694" i="3"/>
  <c r="B698" i="3"/>
  <c r="B702" i="3"/>
  <c r="B706" i="3"/>
  <c r="B710" i="3"/>
  <c r="B714" i="3"/>
  <c r="B718" i="3"/>
  <c r="B722" i="3"/>
  <c r="B726" i="3"/>
  <c r="B730" i="3"/>
  <c r="B734" i="3"/>
  <c r="B738" i="3"/>
  <c r="B742" i="3"/>
  <c r="B746" i="3"/>
  <c r="B750" i="3"/>
  <c r="B754" i="3"/>
  <c r="B758" i="3"/>
  <c r="B762" i="3"/>
  <c r="B766" i="3"/>
  <c r="B770" i="3"/>
  <c r="B774" i="3"/>
  <c r="B778" i="3"/>
  <c r="B782" i="3"/>
  <c r="B786" i="3"/>
  <c r="B790" i="3"/>
  <c r="B794" i="3"/>
  <c r="B798" i="3"/>
  <c r="B802" i="3"/>
  <c r="B631" i="3"/>
  <c r="B639" i="3"/>
  <c r="B647" i="3"/>
  <c r="B655" i="3"/>
  <c r="B665" i="3"/>
  <c r="B669" i="3"/>
  <c r="B673" i="3"/>
  <c r="B677" i="3"/>
  <c r="B681" i="3"/>
  <c r="B685" i="3"/>
  <c r="B689" i="3"/>
  <c r="B693" i="3"/>
  <c r="B697" i="3"/>
  <c r="B701" i="3"/>
  <c r="B705" i="3"/>
  <c r="B709" i="3"/>
  <c r="B713" i="3"/>
  <c r="B717" i="3"/>
  <c r="B721" i="3"/>
  <c r="B725" i="3"/>
  <c r="B729" i="3"/>
  <c r="B733" i="3"/>
  <c r="B737" i="3"/>
  <c r="B741" i="3"/>
  <c r="B745" i="3"/>
  <c r="B749" i="3"/>
  <c r="B753" i="3"/>
  <c r="B757" i="3"/>
  <c r="B761" i="3"/>
  <c r="B765" i="3"/>
  <c r="B769" i="3"/>
  <c r="B773" i="3"/>
  <c r="B777" i="3"/>
  <c r="B625" i="3"/>
  <c r="B633" i="3"/>
  <c r="B641" i="3"/>
  <c r="B649" i="3"/>
  <c r="B657" i="3"/>
  <c r="B664" i="3"/>
  <c r="B668" i="3"/>
  <c r="B672" i="3"/>
  <c r="B676" i="3"/>
  <c r="B680" i="3"/>
  <c r="B684" i="3"/>
  <c r="B688" i="3"/>
  <c r="B692" i="3"/>
  <c r="B696" i="3"/>
  <c r="B700" i="3"/>
  <c r="B704" i="3"/>
  <c r="B708" i="3"/>
  <c r="B712" i="3"/>
  <c r="B716" i="3"/>
  <c r="B720" i="3"/>
  <c r="B724" i="3"/>
  <c r="B728" i="3"/>
  <c r="B732" i="3"/>
  <c r="B736" i="3"/>
  <c r="B740" i="3"/>
  <c r="B744" i="3"/>
  <c r="B748" i="3"/>
  <c r="B752" i="3"/>
  <c r="B756" i="3"/>
  <c r="B760" i="3"/>
  <c r="B764" i="3"/>
  <c r="B768" i="3"/>
  <c r="B772" i="3"/>
  <c r="B776" i="3"/>
  <c r="B780" i="3"/>
  <c r="B784" i="3"/>
  <c r="B788" i="3"/>
  <c r="B792" i="3"/>
  <c r="B796" i="3"/>
  <c r="B800" i="3"/>
  <c r="B804" i="3"/>
  <c r="B785" i="3"/>
  <c r="B793" i="3"/>
  <c r="B801" i="3"/>
  <c r="B807" i="3"/>
  <c r="B811" i="3"/>
  <c r="B815" i="3"/>
  <c r="B819" i="3"/>
  <c r="B823" i="3"/>
  <c r="B827" i="3"/>
  <c r="B831" i="3"/>
  <c r="B835" i="3"/>
  <c r="B839" i="3"/>
  <c r="B843" i="3"/>
  <c r="B847" i="3"/>
  <c r="B851" i="3"/>
  <c r="B855" i="3"/>
  <c r="B859" i="3"/>
  <c r="B863" i="3"/>
  <c r="B867" i="3"/>
  <c r="B871" i="3"/>
  <c r="B875" i="3"/>
  <c r="B879" i="3"/>
  <c r="B883" i="3"/>
  <c r="B887" i="3"/>
  <c r="B891" i="3"/>
  <c r="B895" i="3"/>
  <c r="B899" i="3"/>
  <c r="B903" i="3"/>
  <c r="B907" i="3"/>
  <c r="B911" i="3"/>
  <c r="B915" i="3"/>
  <c r="B919" i="3"/>
  <c r="B923" i="3"/>
  <c r="B927" i="3"/>
  <c r="B931" i="3"/>
  <c r="B935" i="3"/>
  <c r="B939" i="3"/>
  <c r="B943" i="3"/>
  <c r="B947" i="3"/>
  <c r="B951" i="3"/>
  <c r="B955" i="3"/>
  <c r="B959" i="3"/>
  <c r="B963" i="3"/>
  <c r="B967" i="3"/>
  <c r="B971" i="3"/>
  <c r="B975" i="3"/>
  <c r="B979" i="3"/>
  <c r="B983" i="3"/>
  <c r="B987" i="3"/>
  <c r="B991" i="3"/>
  <c r="B995" i="3"/>
  <c r="B999" i="3"/>
  <c r="B1003" i="3"/>
  <c r="B1007" i="3"/>
  <c r="B1011" i="3"/>
  <c r="B1015" i="3"/>
  <c r="B779" i="3"/>
  <c r="B787" i="3"/>
  <c r="B795" i="3"/>
  <c r="B803" i="3"/>
  <c r="B806" i="3"/>
  <c r="B810" i="3"/>
  <c r="B814" i="3"/>
  <c r="B818" i="3"/>
  <c r="B822" i="3"/>
  <c r="B826" i="3"/>
  <c r="B830" i="3"/>
  <c r="B834" i="3"/>
  <c r="B838" i="3"/>
  <c r="B842" i="3"/>
  <c r="B846" i="3"/>
  <c r="B850" i="3"/>
  <c r="B854" i="3"/>
  <c r="B858" i="3"/>
  <c r="B862" i="3"/>
  <c r="B866" i="3"/>
  <c r="B870" i="3"/>
  <c r="B874" i="3"/>
  <c r="B878" i="3"/>
  <c r="B882" i="3"/>
  <c r="B886" i="3"/>
  <c r="B890" i="3"/>
  <c r="B894" i="3"/>
  <c r="B898" i="3"/>
  <c r="B902" i="3"/>
  <c r="B906" i="3"/>
  <c r="B910" i="3"/>
  <c r="B914" i="3"/>
  <c r="B918" i="3"/>
  <c r="B922" i="3"/>
  <c r="B926" i="3"/>
  <c r="B930" i="3"/>
  <c r="B934" i="3"/>
  <c r="B938" i="3"/>
  <c r="B942" i="3"/>
  <c r="B946" i="3"/>
  <c r="B950" i="3"/>
  <c r="B954" i="3"/>
  <c r="B958" i="3"/>
  <c r="B962" i="3"/>
  <c r="B966" i="3"/>
  <c r="B970" i="3"/>
  <c r="B974" i="3"/>
  <c r="B978" i="3"/>
  <c r="B982" i="3"/>
  <c r="B986" i="3"/>
  <c r="B990" i="3"/>
  <c r="B994" i="3"/>
  <c r="B998" i="3"/>
  <c r="B1002" i="3"/>
  <c r="B1006" i="3"/>
  <c r="B1010" i="3"/>
  <c r="B1014" i="3"/>
  <c r="B1018" i="3"/>
  <c r="B1022" i="3"/>
  <c r="B1026" i="3"/>
  <c r="B1030" i="3"/>
  <c r="B1034" i="3"/>
  <c r="B1038" i="3"/>
  <c r="B1042" i="3"/>
  <c r="B1046" i="3"/>
  <c r="B1050" i="3"/>
  <c r="B1054" i="3"/>
  <c r="B1058" i="3"/>
  <c r="B1062" i="3"/>
  <c r="B781" i="3"/>
  <c r="B789" i="3"/>
  <c r="B797" i="3"/>
  <c r="B805" i="3"/>
  <c r="B809" i="3"/>
  <c r="B813" i="3"/>
  <c r="B817" i="3"/>
  <c r="B821" i="3"/>
  <c r="B825" i="3"/>
  <c r="B829" i="3"/>
  <c r="B833" i="3"/>
  <c r="B837" i="3"/>
  <c r="B841" i="3"/>
  <c r="B845" i="3"/>
  <c r="B849" i="3"/>
  <c r="B853" i="3"/>
  <c r="B857" i="3"/>
  <c r="B861" i="3"/>
  <c r="B865" i="3"/>
  <c r="B869" i="3"/>
  <c r="B873" i="3"/>
  <c r="B877" i="3"/>
  <c r="B881" i="3"/>
  <c r="B885" i="3"/>
  <c r="B889" i="3"/>
  <c r="B893" i="3"/>
  <c r="B897" i="3"/>
  <c r="B901" i="3"/>
  <c r="B905" i="3"/>
  <c r="B909" i="3"/>
  <c r="B913" i="3"/>
  <c r="B917" i="3"/>
  <c r="B921" i="3"/>
  <c r="B925" i="3"/>
  <c r="B929" i="3"/>
  <c r="B933" i="3"/>
  <c r="B937" i="3"/>
  <c r="B941" i="3"/>
  <c r="B945" i="3"/>
  <c r="B949" i="3"/>
  <c r="B953" i="3"/>
  <c r="B957" i="3"/>
  <c r="B961" i="3"/>
  <c r="B965" i="3"/>
  <c r="B969" i="3"/>
  <c r="B973" i="3"/>
  <c r="B977" i="3"/>
  <c r="B981" i="3"/>
  <c r="B985" i="3"/>
  <c r="B989" i="3"/>
  <c r="B993" i="3"/>
  <c r="B997" i="3"/>
  <c r="B1001" i="3"/>
  <c r="B1005" i="3"/>
  <c r="B1009" i="3"/>
  <c r="B1013" i="3"/>
  <c r="B783" i="3"/>
  <c r="B791" i="3"/>
  <c r="B799" i="3"/>
  <c r="B808" i="3"/>
  <c r="B812" i="3"/>
  <c r="B816" i="3"/>
  <c r="B820" i="3"/>
  <c r="B824" i="3"/>
  <c r="B828" i="3"/>
  <c r="B832" i="3"/>
  <c r="B836" i="3"/>
  <c r="B840" i="3"/>
  <c r="B844" i="3"/>
  <c r="B848" i="3"/>
  <c r="B852" i="3"/>
  <c r="B856" i="3"/>
  <c r="B860" i="3"/>
  <c r="B864" i="3"/>
  <c r="B868" i="3"/>
  <c r="B872" i="3"/>
  <c r="B876" i="3"/>
  <c r="B880" i="3"/>
  <c r="B884" i="3"/>
  <c r="B888" i="3"/>
  <c r="B892" i="3"/>
  <c r="B896" i="3"/>
  <c r="B900" i="3"/>
  <c r="B904" i="3"/>
  <c r="B908" i="3"/>
  <c r="B912" i="3"/>
  <c r="B916" i="3"/>
  <c r="B920" i="3"/>
  <c r="B924" i="3"/>
  <c r="B928" i="3"/>
  <c r="B932" i="3"/>
  <c r="B936" i="3"/>
  <c r="B940" i="3"/>
  <c r="B944" i="3"/>
  <c r="B948" i="3"/>
  <c r="B952" i="3"/>
  <c r="B956" i="3"/>
  <c r="B960" i="3"/>
  <c r="B964" i="3"/>
  <c r="B968" i="3"/>
  <c r="B972" i="3"/>
  <c r="B976" i="3"/>
  <c r="B980" i="3"/>
  <c r="B984" i="3"/>
  <c r="B988" i="3"/>
  <c r="B992" i="3"/>
  <c r="B996" i="3"/>
  <c r="B1000" i="3"/>
  <c r="B1004" i="3"/>
  <c r="B1008" i="3"/>
  <c r="B1012" i="3"/>
  <c r="B1016" i="3"/>
  <c r="B1020" i="3"/>
  <c r="B1024" i="3"/>
  <c r="B1028" i="3"/>
  <c r="B1032" i="3"/>
  <c r="B1036" i="3"/>
  <c r="B1040" i="3"/>
  <c r="B1044" i="3"/>
  <c r="B1048" i="3"/>
  <c r="B1052" i="3"/>
  <c r="B1056" i="3"/>
  <c r="B1060" i="3"/>
  <c r="B1023" i="3"/>
  <c r="B1031" i="3"/>
  <c r="B1039" i="3"/>
  <c r="B1063" i="3"/>
  <c r="B1070" i="3"/>
  <c r="B1082" i="3"/>
  <c r="B1086" i="3"/>
  <c r="B1090" i="3"/>
  <c r="B1094" i="3"/>
  <c r="B1025" i="3"/>
  <c r="B1033" i="3"/>
  <c r="B1041" i="3"/>
  <c r="B1049" i="3"/>
  <c r="B1057" i="3"/>
  <c r="B1065" i="3"/>
  <c r="B1069" i="3"/>
  <c r="B1073" i="3"/>
  <c r="B1077" i="3"/>
  <c r="B1081" i="3"/>
  <c r="B1085" i="3"/>
  <c r="B1089" i="3"/>
  <c r="B1093" i="3"/>
  <c r="B1051" i="3"/>
  <c r="B1072" i="3"/>
  <c r="B1092" i="3"/>
  <c r="B1017" i="3"/>
  <c r="B1019" i="3"/>
  <c r="B1027" i="3"/>
  <c r="B1035" i="3"/>
  <c r="B1043" i="3"/>
  <c r="B1059" i="3"/>
  <c r="B1064" i="3"/>
  <c r="B1068" i="3"/>
  <c r="B1076" i="3"/>
  <c r="B1080" i="3"/>
  <c r="B1084" i="3"/>
  <c r="B1088" i="3"/>
  <c r="B1021" i="3"/>
  <c r="B1029" i="3"/>
  <c r="B1037" i="3"/>
  <c r="B1045" i="3"/>
  <c r="B1053" i="3"/>
  <c r="B1061" i="3"/>
  <c r="B1067" i="3"/>
  <c r="B1071" i="3"/>
  <c r="B1075" i="3"/>
  <c r="B1079" i="3"/>
  <c r="B1083" i="3"/>
  <c r="B1087" i="3"/>
  <c r="B1091" i="3"/>
  <c r="B1095" i="3"/>
  <c r="B1047" i="3"/>
  <c r="B1055" i="3"/>
  <c r="B1066" i="3"/>
  <c r="B1074" i="3"/>
  <c r="B1078" i="3"/>
  <c r="B1096" i="3"/>
  <c r="B2" i="3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B3" i="2"/>
  <c r="B4" i="2"/>
  <c r="B5" i="2"/>
  <c r="B6" i="2"/>
  <c r="B7" i="2"/>
  <c r="B8" i="2"/>
  <c r="B9" i="2"/>
  <c r="B10" i="2"/>
  <c r="B11" i="2"/>
  <c r="B12" i="2"/>
  <c r="B13" i="2"/>
  <c r="B14" i="2"/>
  <c r="B15" i="2"/>
  <c r="B16" i="2"/>
  <c r="B17" i="2"/>
  <c r="B18" i="2"/>
  <c r="B19" i="2"/>
  <c r="B20" i="2"/>
  <c r="B21" i="2"/>
  <c r="B22" i="2"/>
  <c r="B23" i="2"/>
  <c r="B24" i="2"/>
  <c r="B25" i="2"/>
  <c r="B26" i="2"/>
  <c r="B27" i="2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73" i="2"/>
  <c r="A74" i="2"/>
  <c r="A75" i="2"/>
  <c r="A76" i="2"/>
  <c r="A77" i="2"/>
  <c r="A78" i="2"/>
  <c r="A79" i="2"/>
  <c r="A80" i="2"/>
  <c r="A81" i="2"/>
  <c r="A34" i="2"/>
  <c r="A35" i="2"/>
  <c r="A36" i="2"/>
  <c r="A37" i="2"/>
  <c r="A38" i="2"/>
  <c r="A39" i="2"/>
  <c r="A40" i="2"/>
  <c r="A41" i="2"/>
  <c r="A42" i="2"/>
  <c r="A43" i="2"/>
  <c r="A44" i="2"/>
  <c r="A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A82" i="2"/>
  <c r="A83" i="2"/>
  <c r="A84" i="2"/>
  <c r="A85" i="2"/>
  <c r="A86" i="2"/>
  <c r="A87" i="2"/>
  <c r="A88" i="2"/>
  <c r="A89" i="2"/>
  <c r="A90" i="2"/>
  <c r="A91" i="2"/>
  <c r="A92" i="2"/>
  <c r="A93" i="2"/>
  <c r="A94" i="2"/>
  <c r="A95" i="2"/>
  <c r="A96" i="2"/>
  <c r="A97" i="2"/>
  <c r="A98" i="2"/>
  <c r="A99" i="2"/>
  <c r="A100" i="2"/>
  <c r="A101" i="2"/>
  <c r="A102" i="2"/>
  <c r="A103" i="2"/>
  <c r="A104" i="2"/>
  <c r="A105" i="2"/>
  <c r="A106" i="2"/>
  <c r="A107" i="2"/>
  <c r="A108" i="2"/>
  <c r="A109" i="2"/>
  <c r="A110" i="2"/>
  <c r="A111" i="2"/>
  <c r="A112" i="2"/>
  <c r="A113" i="2"/>
  <c r="A114" i="2"/>
  <c r="A115" i="2"/>
  <c r="A116" i="2"/>
  <c r="A117" i="2"/>
  <c r="A118" i="2"/>
  <c r="A119" i="2"/>
  <c r="A120" i="2"/>
  <c r="A121" i="2"/>
  <c r="A122" i="2"/>
  <c r="A123" i="2"/>
  <c r="A124" i="2"/>
  <c r="A125" i="2"/>
  <c r="A126" i="2"/>
  <c r="A127" i="2"/>
  <c r="A128" i="2"/>
  <c r="A129" i="2"/>
  <c r="A130" i="2"/>
  <c r="A131" i="2"/>
  <c r="A132" i="2"/>
  <c r="A133" i="2"/>
  <c r="A134" i="2"/>
  <c r="A135" i="2"/>
  <c r="A136" i="2"/>
  <c r="A137" i="2"/>
  <c r="A138" i="2"/>
  <c r="A139" i="2"/>
  <c r="A140" i="2"/>
  <c r="A141" i="2"/>
  <c r="A142" i="2"/>
  <c r="A143" i="2"/>
  <c r="A144" i="2"/>
  <c r="A145" i="2"/>
  <c r="A146" i="2"/>
  <c r="A147" i="2"/>
  <c r="A148" i="2"/>
  <c r="A149" i="2"/>
  <c r="A150" i="2"/>
  <c r="A151" i="2"/>
  <c r="A152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A153" i="2"/>
  <c r="A154" i="2"/>
  <c r="A155" i="2"/>
  <c r="A156" i="2"/>
  <c r="A157" i="2"/>
  <c r="A158" i="2"/>
  <c r="A159" i="2"/>
  <c r="A160" i="2"/>
  <c r="A161" i="2"/>
  <c r="A162" i="2"/>
  <c r="A163" i="2"/>
  <c r="A164" i="2"/>
  <c r="A165" i="2"/>
  <c r="A166" i="2"/>
  <c r="A167" i="2"/>
  <c r="A168" i="2"/>
  <c r="A169" i="2"/>
  <c r="A170" i="2"/>
  <c r="A171" i="2"/>
  <c r="A172" i="2"/>
  <c r="A173" i="2"/>
  <c r="A174" i="2"/>
  <c r="A175" i="2"/>
  <c r="A176" i="2"/>
  <c r="A177" i="2"/>
  <c r="A178" i="2"/>
  <c r="A179" i="2"/>
  <c r="A180" i="2"/>
  <c r="A181" i="2"/>
  <c r="A182" i="2"/>
  <c r="A183" i="2"/>
  <c r="A184" i="2"/>
  <c r="A185" i="2"/>
  <c r="A186" i="2"/>
  <c r="A187" i="2"/>
  <c r="A188" i="2"/>
  <c r="A189" i="2"/>
  <c r="A190" i="2"/>
  <c r="A191" i="2"/>
  <c r="A192" i="2"/>
  <c r="A193" i="2"/>
  <c r="A194" i="2"/>
  <c r="A195" i="2"/>
  <c r="A196" i="2"/>
  <c r="A197" i="2"/>
  <c r="A198" i="2"/>
  <c r="A199" i="2"/>
  <c r="A200" i="2"/>
  <c r="A201" i="2"/>
  <c r="A202" i="2"/>
  <c r="A203" i="2"/>
  <c r="A204" i="2"/>
  <c r="A205" i="2"/>
  <c r="A206" i="2"/>
  <c r="A207" i="2"/>
  <c r="A208" i="2"/>
  <c r="A209" i="2"/>
  <c r="A210" i="2"/>
  <c r="A211" i="2"/>
  <c r="A212" i="2"/>
  <c r="A213" i="2"/>
  <c r="A214" i="2"/>
  <c r="A215" i="2"/>
  <c r="A216" i="2"/>
  <c r="A217" i="2"/>
  <c r="A218" i="2"/>
  <c r="A219" i="2"/>
  <c r="A220" i="2"/>
  <c r="A221" i="2"/>
  <c r="A222" i="2"/>
  <c r="A223" i="2"/>
  <c r="A224" i="2"/>
  <c r="A225" i="2"/>
  <c r="A226" i="2"/>
  <c r="A227" i="2"/>
  <c r="A228" i="2"/>
  <c r="A229" i="2"/>
  <c r="A230" i="2"/>
  <c r="A231" i="2"/>
  <c r="A232" i="2"/>
  <c r="A233" i="2"/>
  <c r="A234" i="2"/>
  <c r="A235" i="2"/>
  <c r="A236" i="2"/>
  <c r="A237" i="2"/>
  <c r="A238" i="2"/>
  <c r="A239" i="2"/>
  <c r="A240" i="2"/>
  <c r="A241" i="2"/>
  <c r="A242" i="2"/>
  <c r="A243" i="2"/>
  <c r="A244" i="2"/>
  <c r="A245" i="2"/>
  <c r="A246" i="2"/>
  <c r="A247" i="2"/>
  <c r="A248" i="2"/>
  <c r="A249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A250" i="2"/>
  <c r="A251" i="2"/>
  <c r="A252" i="2"/>
  <c r="A253" i="2"/>
  <c r="A254" i="2"/>
  <c r="A255" i="2"/>
  <c r="A256" i="2"/>
  <c r="A257" i="2"/>
  <c r="A258" i="2"/>
  <c r="A259" i="2"/>
  <c r="A260" i="2"/>
  <c r="A261" i="2"/>
  <c r="A262" i="2"/>
  <c r="A263" i="2"/>
  <c r="A264" i="2"/>
  <c r="A265" i="2"/>
  <c r="A266" i="2"/>
  <c r="A267" i="2"/>
  <c r="A268" i="2"/>
  <c r="A269" i="2"/>
  <c r="A270" i="2"/>
  <c r="A271" i="2"/>
  <c r="A272" i="2"/>
  <c r="A273" i="2"/>
  <c r="A274" i="2"/>
  <c r="A275" i="2"/>
  <c r="A276" i="2"/>
  <c r="A277" i="2"/>
  <c r="A278" i="2"/>
  <c r="A279" i="2"/>
  <c r="A280" i="2"/>
  <c r="A281" i="2"/>
  <c r="A282" i="2"/>
  <c r="A283" i="2"/>
  <c r="A284" i="2"/>
  <c r="A285" i="2"/>
  <c r="A286" i="2"/>
  <c r="A287" i="2"/>
  <c r="A288" i="2"/>
  <c r="A289" i="2"/>
  <c r="A290" i="2"/>
  <c r="A291" i="2"/>
  <c r="A292" i="2"/>
  <c r="A293" i="2"/>
  <c r="A294" i="2"/>
  <c r="A295" i="2"/>
  <c r="A296" i="2"/>
  <c r="A297" i="2"/>
  <c r="A298" i="2"/>
  <c r="A299" i="2"/>
  <c r="A300" i="2"/>
  <c r="A301" i="2"/>
  <c r="A302" i="2"/>
  <c r="A303" i="2"/>
  <c r="A304" i="2"/>
  <c r="A305" i="2"/>
  <c r="A306" i="2"/>
  <c r="A307" i="2"/>
  <c r="A308" i="2"/>
  <c r="A309" i="2"/>
  <c r="A310" i="2"/>
  <c r="A311" i="2"/>
  <c r="A312" i="2"/>
  <c r="A313" i="2"/>
  <c r="A314" i="2"/>
  <c r="A315" i="2"/>
  <c r="A316" i="2"/>
  <c r="A317" i="2"/>
  <c r="A318" i="2"/>
  <c r="A319" i="2"/>
  <c r="A320" i="2"/>
  <c r="A321" i="2"/>
  <c r="A322" i="2"/>
  <c r="A323" i="2"/>
  <c r="A324" i="2"/>
  <c r="A325" i="2"/>
  <c r="A326" i="2"/>
  <c r="A327" i="2"/>
  <c r="A328" i="2"/>
  <c r="A329" i="2"/>
  <c r="A330" i="2"/>
  <c r="A331" i="2"/>
  <c r="A332" i="2"/>
  <c r="A333" i="2"/>
  <c r="A334" i="2"/>
  <c r="A335" i="2"/>
  <c r="A336" i="2"/>
  <c r="A337" i="2"/>
  <c r="A338" i="2"/>
  <c r="A339" i="2"/>
  <c r="A340" i="2"/>
  <c r="A341" i="2"/>
  <c r="A342" i="2"/>
  <c r="A343" i="2"/>
  <c r="A344" i="2"/>
  <c r="A345" i="2"/>
  <c r="A346" i="2"/>
  <c r="A347" i="2"/>
  <c r="A348" i="2"/>
  <c r="A349" i="2"/>
  <c r="A350" i="2"/>
  <c r="A351" i="2"/>
  <c r="A352" i="2"/>
  <c r="A353" i="2"/>
  <c r="A354" i="2"/>
  <c r="A355" i="2"/>
  <c r="A356" i="2"/>
  <c r="A357" i="2"/>
  <c r="A358" i="2"/>
  <c r="A359" i="2"/>
  <c r="A360" i="2"/>
  <c r="A361" i="2"/>
  <c r="A362" i="2"/>
  <c r="A363" i="2"/>
  <c r="A364" i="2"/>
  <c r="A365" i="2"/>
  <c r="A366" i="2"/>
  <c r="B2" i="2"/>
  <c r="A2" i="2"/>
  <c r="A6" i="1"/>
  <c r="D5" i="3" l="1"/>
  <c r="E5" i="3"/>
  <c r="D6" i="3"/>
  <c r="E6" i="3"/>
  <c r="E7" i="3"/>
  <c r="D7" i="3"/>
  <c r="E3" i="3"/>
  <c r="D3" i="3"/>
  <c r="D4" i="3"/>
  <c r="E4" i="3"/>
  <c r="E2" i="3"/>
  <c r="D2" i="3"/>
  <c r="D3" i="2"/>
  <c r="E3" i="2"/>
  <c r="E2" i="2"/>
  <c r="D2" i="2"/>
  <c r="A7" i="1"/>
  <c r="A4" i="6" l="1"/>
  <c r="A2" i="6"/>
  <c r="A3" i="6"/>
  <c r="A7" i="6"/>
  <c r="A6" i="6"/>
  <c r="A5" i="6"/>
  <c r="D8" i="3"/>
  <c r="E8" i="3"/>
  <c r="D10" i="3"/>
  <c r="E9" i="3"/>
  <c r="E10" i="3"/>
  <c r="D9" i="3"/>
  <c r="A3" i="5"/>
  <c r="E4" i="2"/>
  <c r="D4" i="2"/>
  <c r="A2" i="5"/>
  <c r="A8" i="1"/>
  <c r="A8" i="6" l="1"/>
  <c r="A9" i="6"/>
  <c r="A10" i="6"/>
  <c r="D11" i="3"/>
  <c r="D13" i="3"/>
  <c r="D12" i="3"/>
  <c r="E12" i="3"/>
  <c r="E11" i="3"/>
  <c r="E13" i="3"/>
  <c r="A4" i="5"/>
  <c r="E5" i="2"/>
  <c r="D5" i="2"/>
  <c r="A9" i="1"/>
  <c r="A12" i="6" l="1"/>
  <c r="A11" i="6"/>
  <c r="A13" i="6"/>
  <c r="A5" i="5"/>
  <c r="E16" i="3"/>
  <c r="E15" i="3"/>
  <c r="D14" i="3"/>
  <c r="E14" i="3"/>
  <c r="D16" i="3"/>
  <c r="A16" i="6" s="1"/>
  <c r="D15" i="3"/>
  <c r="E6" i="2"/>
  <c r="D6" i="2"/>
  <c r="A10" i="1"/>
  <c r="A15" i="6" l="1"/>
  <c r="A14" i="6"/>
  <c r="D18" i="3"/>
  <c r="D17" i="3"/>
  <c r="E18" i="3"/>
  <c r="D19" i="3"/>
  <c r="E17" i="3"/>
  <c r="E19" i="3"/>
  <c r="A6" i="5"/>
  <c r="D7" i="2"/>
  <c r="E7" i="2"/>
  <c r="A11" i="1"/>
  <c r="A19" i="6" l="1"/>
  <c r="A17" i="6"/>
  <c r="A18" i="6"/>
  <c r="A7" i="5"/>
  <c r="A12" i="1"/>
  <c r="A13" i="1" l="1"/>
  <c r="A14" i="1" l="1"/>
  <c r="A15" i="1" l="1"/>
  <c r="A16" i="1" l="1"/>
  <c r="A17" i="1" l="1"/>
  <c r="A18" i="1" l="1"/>
  <c r="A19" i="1" l="1"/>
  <c r="A20" i="1" l="1"/>
  <c r="A21" i="1" l="1"/>
  <c r="A22" i="1" l="1"/>
  <c r="A23" i="1" l="1"/>
  <c r="A24" i="1" l="1"/>
  <c r="A25" i="1" l="1"/>
  <c r="A26" i="1" l="1"/>
  <c r="A27" i="1" l="1"/>
  <c r="A28" i="1" l="1"/>
  <c r="A29" i="1" l="1"/>
  <c r="A30" i="1" l="1"/>
  <c r="A31" i="1" l="1"/>
  <c r="A32" i="1" l="1"/>
  <c r="A33" i="1" l="1"/>
  <c r="A34" i="1" l="1"/>
  <c r="A35" i="1" l="1"/>
  <c r="A36" i="1" l="1"/>
  <c r="A37" i="1" l="1"/>
  <c r="A38" i="1" l="1"/>
  <c r="A39" i="1" l="1"/>
  <c r="A40" i="1" l="1"/>
  <c r="A41" i="1" l="1"/>
  <c r="A42" i="1" l="1"/>
  <c r="A43" i="1" l="1"/>
  <c r="A44" i="1" l="1"/>
  <c r="A45" i="1" l="1"/>
  <c r="A46" i="1" l="1"/>
  <c r="A47" i="1" l="1"/>
  <c r="A48" i="1" l="1"/>
  <c r="A49" i="1" l="1"/>
  <c r="A50" i="1" l="1"/>
  <c r="A51" i="1" l="1"/>
  <c r="A52" i="1" l="1"/>
  <c r="A53" i="1" l="1"/>
  <c r="A54" i="1" l="1"/>
  <c r="A55" i="1" l="1"/>
  <c r="A56" i="1" l="1"/>
  <c r="A57" i="1" l="1"/>
  <c r="A58" i="1" l="1"/>
  <c r="A59" i="1" l="1"/>
  <c r="A60" i="1" l="1"/>
  <c r="A61" i="1" l="1"/>
  <c r="A62" i="1" l="1"/>
  <c r="A63" i="1" l="1"/>
  <c r="A64" i="1" l="1"/>
  <c r="A65" i="1" l="1"/>
  <c r="A66" i="1" l="1"/>
  <c r="A67" i="1" l="1"/>
  <c r="A68" i="1" l="1"/>
  <c r="A69" i="1" l="1"/>
  <c r="A70" i="1" l="1"/>
  <c r="A71" i="1" l="1"/>
  <c r="A72" i="1" l="1"/>
  <c r="A73" i="1" l="1"/>
  <c r="A74" i="1" l="1"/>
  <c r="A75" i="1" l="1"/>
  <c r="A76" i="1" l="1"/>
  <c r="A77" i="1" l="1"/>
  <c r="A78" i="1" l="1"/>
  <c r="A79" i="1" l="1"/>
  <c r="A80" i="1" l="1"/>
  <c r="A81" i="1" l="1"/>
  <c r="A82" i="1" l="1"/>
  <c r="A83" i="1" l="1"/>
  <c r="A84" i="1" l="1"/>
  <c r="A85" i="1" l="1"/>
  <c r="A86" i="1" l="1"/>
  <c r="A87" i="1" l="1"/>
  <c r="A88" i="1" l="1"/>
  <c r="A89" i="1" l="1"/>
  <c r="A90" i="1" l="1"/>
  <c r="A91" i="1" l="1"/>
  <c r="A92" i="1" l="1"/>
  <c r="A93" i="1" l="1"/>
  <c r="A94" i="1" l="1"/>
  <c r="A95" i="1" l="1"/>
  <c r="A96" i="1" l="1"/>
  <c r="A97" i="1" l="1"/>
  <c r="A98" i="1" l="1"/>
  <c r="A99" i="1" l="1"/>
  <c r="A100" i="1" l="1"/>
  <c r="A101" i="1" l="1"/>
  <c r="A102" i="1" l="1"/>
  <c r="A103" i="1" l="1"/>
  <c r="A104" i="1" l="1"/>
  <c r="A105" i="1" l="1"/>
  <c r="A106" i="1" l="1"/>
  <c r="A107" i="1" l="1"/>
  <c r="A108" i="1" l="1"/>
  <c r="A109" i="1" l="1"/>
  <c r="A110" i="1" l="1"/>
  <c r="A111" i="1" l="1"/>
  <c r="A112" i="1" l="1"/>
  <c r="A113" i="1" l="1"/>
  <c r="A114" i="1" l="1"/>
  <c r="A115" i="1" l="1"/>
  <c r="A116" i="1" l="1"/>
  <c r="A117" i="1" l="1"/>
  <c r="A118" i="1" l="1"/>
  <c r="A119" i="1" l="1"/>
  <c r="A120" i="1" l="1"/>
  <c r="A121" i="1" l="1"/>
  <c r="A122" i="1" l="1"/>
  <c r="A123" i="1" l="1"/>
  <c r="A124" i="1" l="1"/>
  <c r="A125" i="1" l="1"/>
  <c r="A126" i="1" l="1"/>
  <c r="A127" i="1" l="1"/>
  <c r="A128" i="1" l="1"/>
  <c r="A129" i="1" l="1"/>
  <c r="A130" i="1" l="1"/>
  <c r="A131" i="1" l="1"/>
  <c r="A132" i="1" l="1"/>
  <c r="A133" i="1" l="1"/>
  <c r="A134" i="1" l="1"/>
  <c r="A135" i="1" l="1"/>
  <c r="A136" i="1" l="1"/>
  <c r="A137" i="1" l="1"/>
  <c r="A138" i="1" l="1"/>
  <c r="A139" i="1" l="1"/>
  <c r="A140" i="1" l="1"/>
  <c r="A141" i="1" l="1"/>
  <c r="A142" i="1" l="1"/>
  <c r="A143" i="1" l="1"/>
  <c r="A144" i="1" l="1"/>
  <c r="A145" i="1" l="1"/>
  <c r="A146" i="1" l="1"/>
  <c r="A147" i="1" l="1"/>
  <c r="A148" i="1" l="1"/>
  <c r="A149" i="1" l="1"/>
  <c r="A150" i="1" l="1"/>
  <c r="A151" i="1" l="1"/>
  <c r="A152" i="1" l="1"/>
  <c r="A153" i="1" l="1"/>
  <c r="A154" i="1" l="1"/>
  <c r="A155" i="1" l="1"/>
  <c r="A156" i="1" l="1"/>
  <c r="A157" i="1" l="1"/>
  <c r="A158" i="1" l="1"/>
  <c r="A159" i="1" l="1"/>
  <c r="A160" i="1" l="1"/>
  <c r="A161" i="1" l="1"/>
  <c r="A162" i="1" l="1"/>
  <c r="A163" i="1" l="1"/>
  <c r="A164" i="1" l="1"/>
  <c r="A165" i="1" l="1"/>
  <c r="A166" i="1" l="1"/>
  <c r="A167" i="1" l="1"/>
  <c r="A168" i="1" l="1"/>
  <c r="A169" i="1" l="1"/>
  <c r="A170" i="1" l="1"/>
  <c r="A171" i="1" l="1"/>
  <c r="A172" i="1" l="1"/>
  <c r="A173" i="1" l="1"/>
  <c r="A174" i="1" l="1"/>
  <c r="A175" i="1" l="1"/>
  <c r="A176" i="1" l="1"/>
  <c r="A177" i="1" l="1"/>
  <c r="A178" i="1" l="1"/>
  <c r="A179" i="1" l="1"/>
  <c r="A180" i="1" l="1"/>
  <c r="A181" i="1" l="1"/>
  <c r="A182" i="1" l="1"/>
  <c r="A183" i="1" l="1"/>
  <c r="A184" i="1" l="1"/>
  <c r="A185" i="1" l="1"/>
  <c r="A186" i="1" l="1"/>
  <c r="A187" i="1" l="1"/>
  <c r="A188" i="1" l="1"/>
  <c r="A189" i="1" l="1"/>
  <c r="A190" i="1" l="1"/>
  <c r="A191" i="1" l="1"/>
  <c r="A192" i="1" l="1"/>
  <c r="A193" i="1" l="1"/>
  <c r="A194" i="1" l="1"/>
  <c r="A195" i="1" l="1"/>
  <c r="A196" i="1" l="1"/>
  <c r="A197" i="1" l="1"/>
  <c r="A198" i="1" l="1"/>
  <c r="A199" i="1" l="1"/>
  <c r="A200" i="1" l="1"/>
  <c r="A201" i="1" l="1"/>
  <c r="A202" i="1" l="1"/>
  <c r="A203" i="1" l="1"/>
  <c r="A204" i="1" l="1"/>
  <c r="A205" i="1" l="1"/>
  <c r="A206" i="1" l="1"/>
  <c r="A207" i="1" l="1"/>
  <c r="A208" i="1" l="1"/>
  <c r="A209" i="1" l="1"/>
  <c r="A210" i="1" l="1"/>
  <c r="A211" i="1" l="1"/>
  <c r="A212" i="1" l="1"/>
  <c r="A213" i="1" l="1"/>
  <c r="A214" i="1" l="1"/>
  <c r="A215" i="1" l="1"/>
  <c r="A216" i="1" l="1"/>
  <c r="A217" i="1" l="1"/>
  <c r="A218" i="1" l="1"/>
  <c r="A219" i="1" l="1"/>
  <c r="A220" i="1" l="1"/>
  <c r="A221" i="1" l="1"/>
  <c r="A222" i="1" l="1"/>
  <c r="A223" i="1" l="1"/>
  <c r="A224" i="1" l="1"/>
  <c r="A225" i="1" l="1"/>
  <c r="A226" i="1" l="1"/>
  <c r="A227" i="1" l="1"/>
  <c r="A228" i="1" l="1"/>
  <c r="A229" i="1" l="1"/>
  <c r="A230" i="1" l="1"/>
  <c r="A231" i="1" l="1"/>
  <c r="A232" i="1" l="1"/>
  <c r="A233" i="1" l="1"/>
  <c r="A234" i="1" l="1"/>
  <c r="A235" i="1" l="1"/>
  <c r="A236" i="1" l="1"/>
  <c r="A237" i="1" l="1"/>
  <c r="A238" i="1" l="1"/>
  <c r="A239" i="1" l="1"/>
  <c r="A240" i="1" l="1"/>
  <c r="A241" i="1" l="1"/>
  <c r="A242" i="1" l="1"/>
  <c r="A243" i="1" l="1"/>
  <c r="A244" i="1" l="1"/>
  <c r="A245" i="1" l="1"/>
  <c r="A246" i="1" l="1"/>
  <c r="A247" i="1" l="1"/>
  <c r="A248" i="1" l="1"/>
  <c r="A249" i="1" l="1"/>
  <c r="A250" i="1" l="1"/>
  <c r="A251" i="1" l="1"/>
  <c r="A252" i="1" l="1"/>
  <c r="A253" i="1" l="1"/>
  <c r="A254" i="1" l="1"/>
  <c r="A255" i="1" l="1"/>
  <c r="A256" i="1" l="1"/>
  <c r="A257" i="1" l="1"/>
  <c r="A258" i="1" l="1"/>
  <c r="A259" i="1" l="1"/>
  <c r="A260" i="1" l="1"/>
  <c r="A261" i="1" l="1"/>
  <c r="A262" i="1" l="1"/>
  <c r="A263" i="1" l="1"/>
  <c r="A264" i="1" l="1"/>
  <c r="A265" i="1" l="1"/>
  <c r="A266" i="1" l="1"/>
  <c r="A267" i="1" l="1"/>
  <c r="A268" i="1" l="1"/>
  <c r="A269" i="1" l="1"/>
  <c r="A270" i="1" l="1"/>
  <c r="A271" i="1" l="1"/>
  <c r="A272" i="1" l="1"/>
  <c r="A273" i="1" l="1"/>
  <c r="A274" i="1" l="1"/>
  <c r="A275" i="1" l="1"/>
  <c r="A276" i="1" l="1"/>
  <c r="A277" i="1" l="1"/>
  <c r="A278" i="1" l="1"/>
  <c r="A279" i="1" l="1"/>
  <c r="A280" i="1" l="1"/>
  <c r="A281" i="1" l="1"/>
  <c r="A282" i="1" l="1"/>
  <c r="A283" i="1" l="1"/>
  <c r="A284" i="1" l="1"/>
  <c r="A285" i="1" l="1"/>
  <c r="A286" i="1" l="1"/>
  <c r="A287" i="1" l="1"/>
  <c r="A288" i="1" l="1"/>
  <c r="A289" i="1" l="1"/>
  <c r="A290" i="1" l="1"/>
  <c r="A291" i="1" l="1"/>
  <c r="A292" i="1" l="1"/>
  <c r="A293" i="1" l="1"/>
  <c r="A294" i="1" l="1"/>
  <c r="A295" i="1" l="1"/>
  <c r="A296" i="1" l="1"/>
  <c r="A297" i="1" l="1"/>
  <c r="A298" i="1" l="1"/>
  <c r="A299" i="1" l="1"/>
  <c r="A300" i="1" l="1"/>
  <c r="A301" i="1" l="1"/>
  <c r="A302" i="1" l="1"/>
  <c r="A303" i="1" l="1"/>
  <c r="A304" i="1" l="1"/>
  <c r="A305" i="1" l="1"/>
  <c r="A306" i="1" l="1"/>
  <c r="A307" i="1" l="1"/>
  <c r="A308" i="1" l="1"/>
  <c r="A309" i="1" l="1"/>
  <c r="A310" i="1" l="1"/>
  <c r="A311" i="1" l="1"/>
  <c r="A312" i="1" l="1"/>
  <c r="A313" i="1" l="1"/>
  <c r="A314" i="1" l="1"/>
  <c r="A315" i="1" l="1"/>
  <c r="A316" i="1" l="1"/>
  <c r="A317" i="1" l="1"/>
  <c r="A318" i="1" l="1"/>
  <c r="A319" i="1" l="1"/>
  <c r="A320" i="1" l="1"/>
  <c r="A321" i="1" l="1"/>
  <c r="A322" i="1" l="1"/>
  <c r="A323" i="1" l="1"/>
  <c r="A324" i="1" l="1"/>
  <c r="A325" i="1" l="1"/>
  <c r="A326" i="1" l="1"/>
  <c r="A327" i="1" l="1"/>
  <c r="A328" i="1" l="1"/>
  <c r="A329" i="1" l="1"/>
  <c r="A330" i="1" l="1"/>
  <c r="A331" i="1" l="1"/>
  <c r="A332" i="1" l="1"/>
  <c r="A333" i="1" l="1"/>
  <c r="A334" i="1" l="1"/>
  <c r="A335" i="1" l="1"/>
  <c r="A336" i="1" l="1"/>
  <c r="A337" i="1" l="1"/>
  <c r="A338" i="1" l="1"/>
  <c r="A339" i="1" l="1"/>
  <c r="A340" i="1" l="1"/>
  <c r="A341" i="1" l="1"/>
  <c r="A342" i="1" l="1"/>
  <c r="A343" i="1" l="1"/>
  <c r="A344" i="1" l="1"/>
  <c r="A345" i="1" l="1"/>
  <c r="A346" i="1" l="1"/>
  <c r="A347" i="1" l="1"/>
  <c r="A348" i="1" l="1"/>
  <c r="A349" i="1" l="1"/>
  <c r="A350" i="1" l="1"/>
  <c r="A351" i="1" l="1"/>
  <c r="A352" i="1" l="1"/>
  <c r="A353" i="1" l="1"/>
  <c r="A354" i="1" l="1"/>
  <c r="A355" i="1" l="1"/>
  <c r="A356" i="1" l="1"/>
  <c r="A357" i="1" l="1"/>
  <c r="A358" i="1" l="1"/>
  <c r="A359" i="1" l="1"/>
  <c r="A360" i="1" l="1"/>
  <c r="A361" i="1" l="1"/>
  <c r="A362" i="1" l="1"/>
  <c r="A363" i="1" l="1"/>
  <c r="A364" i="1" l="1"/>
  <c r="A365" i="1" l="1"/>
  <c r="A366" i="1" l="1"/>
  <c r="A367" i="1" l="1"/>
  <c r="A368" i="1" l="1"/>
  <c r="A369" i="1" l="1"/>
  <c r="A370" i="1" l="1"/>
  <c r="A371" i="1" l="1"/>
  <c r="A372" i="1" l="1"/>
  <c r="A373" i="1" l="1"/>
  <c r="A374" i="1" l="1"/>
  <c r="A375" i="1" l="1"/>
  <c r="A376" i="1" l="1"/>
  <c r="A377" i="1" l="1"/>
  <c r="A378" i="1" l="1"/>
  <c r="A379" i="1" l="1"/>
  <c r="A380" i="1" l="1"/>
  <c r="A381" i="1" l="1"/>
  <c r="E581" i="3" l="1"/>
  <c r="D865" i="3"/>
  <c r="E420" i="3"/>
  <c r="D597" i="3"/>
  <c r="E900" i="3"/>
  <c r="E396" i="3"/>
  <c r="E870" i="3"/>
  <c r="D70" i="3"/>
  <c r="E515" i="3"/>
  <c r="E907" i="3"/>
  <c r="D1065" i="3"/>
  <c r="E757" i="3"/>
  <c r="E65" i="3"/>
  <c r="D120" i="3"/>
  <c r="E577" i="3"/>
  <c r="D504" i="3"/>
  <c r="D158" i="3"/>
  <c r="E211" i="3"/>
  <c r="D963" i="3"/>
  <c r="D177" i="3"/>
  <c r="E203" i="3"/>
  <c r="D508" i="3"/>
  <c r="E559" i="3"/>
  <c r="E858" i="3"/>
  <c r="E835" i="3"/>
  <c r="D826" i="3"/>
  <c r="D837" i="3"/>
  <c r="D189" i="3"/>
  <c r="D918" i="3"/>
  <c r="D154" i="3"/>
  <c r="D756" i="3"/>
  <c r="E466" i="3"/>
  <c r="E372" i="3"/>
  <c r="E59" i="3"/>
  <c r="D418" i="3"/>
  <c r="D271" i="3"/>
  <c r="D985" i="3"/>
  <c r="E343" i="3"/>
  <c r="E673" i="3"/>
  <c r="E299" i="3"/>
  <c r="E988" i="3"/>
  <c r="D610" i="3"/>
  <c r="E492" i="3"/>
  <c r="D163" i="3"/>
  <c r="D949" i="3"/>
  <c r="D425" i="3"/>
  <c r="E597" i="3"/>
  <c r="D311" i="3"/>
  <c r="D776" i="3"/>
  <c r="E699" i="3"/>
  <c r="D928" i="3"/>
  <c r="E44" i="3"/>
  <c r="E792" i="3"/>
  <c r="D655" i="3"/>
  <c r="D312" i="3"/>
  <c r="D59" i="3"/>
  <c r="A59" i="6" s="1"/>
  <c r="D202" i="3"/>
  <c r="D415" i="3"/>
  <c r="E172" i="3"/>
  <c r="D46" i="3"/>
  <c r="E804" i="3"/>
  <c r="E523" i="3"/>
  <c r="D365" i="3"/>
  <c r="E274" i="3"/>
  <c r="D790" i="3"/>
  <c r="D48" i="3"/>
  <c r="E741" i="3"/>
  <c r="E49" i="3"/>
  <c r="D1036" i="3"/>
  <c r="E610" i="3"/>
  <c r="E1096" i="3"/>
  <c r="D711" i="3"/>
  <c r="E620" i="3"/>
  <c r="D1054" i="3"/>
  <c r="E88" i="3"/>
  <c r="E342" i="3"/>
  <c r="E794" i="3"/>
  <c r="D961" i="3"/>
  <c r="E209" i="3"/>
  <c r="E175" i="3"/>
  <c r="E587" i="3"/>
  <c r="E640" i="3"/>
  <c r="E1022" i="3"/>
  <c r="D255" i="3"/>
  <c r="E579" i="3"/>
  <c r="E920" i="3"/>
  <c r="E954" i="3"/>
  <c r="E931" i="3"/>
  <c r="D922" i="3"/>
  <c r="D933" i="3"/>
  <c r="D147" i="3"/>
  <c r="E476" i="3"/>
  <c r="E660" i="3"/>
  <c r="D1014" i="3"/>
  <c r="D720" i="3"/>
  <c r="E149" i="3"/>
  <c r="D434" i="3"/>
  <c r="D308" i="3"/>
  <c r="D339" i="3"/>
  <c r="E849" i="3"/>
  <c r="D555" i="3"/>
  <c r="D263" i="3"/>
  <c r="E261" i="3"/>
  <c r="D421" i="3"/>
  <c r="D134" i="3"/>
  <c r="D494" i="3"/>
  <c r="D732" i="3"/>
  <c r="E126" i="3"/>
  <c r="E419" i="3"/>
  <c r="D1017" i="3"/>
  <c r="D715" i="3"/>
  <c r="E1077" i="3"/>
  <c r="E321" i="3"/>
  <c r="E680" i="3"/>
  <c r="D615" i="3"/>
  <c r="E909" i="3"/>
  <c r="D908" i="3"/>
  <c r="D36" i="3"/>
  <c r="D441" i="3"/>
  <c r="E99" i="3"/>
  <c r="D871" i="3"/>
  <c r="D95" i="3"/>
  <c r="E31" i="3"/>
  <c r="D443" i="3"/>
  <c r="D280" i="3"/>
  <c r="D102" i="3"/>
  <c r="D676" i="3"/>
  <c r="D473" i="3"/>
  <c r="D839" i="3"/>
  <c r="D1024" i="3"/>
  <c r="D1075" i="3"/>
  <c r="E293" i="3"/>
  <c r="E935" i="3"/>
  <c r="E138" i="3"/>
  <c r="E543" i="3"/>
  <c r="D265" i="3"/>
  <c r="D207" i="3"/>
  <c r="E239" i="3"/>
  <c r="E707" i="3"/>
  <c r="E281" i="3"/>
  <c r="D1000" i="3"/>
  <c r="E766" i="3"/>
  <c r="D654" i="3"/>
  <c r="D320" i="3"/>
  <c r="E304" i="3"/>
  <c r="E977" i="3"/>
  <c r="E256" i="3"/>
  <c r="D275" i="3"/>
  <c r="D241" i="3"/>
  <c r="D913" i="3"/>
  <c r="D119" i="3"/>
  <c r="E588" i="3"/>
  <c r="D1022" i="3"/>
  <c r="A1022" i="6" s="1"/>
  <c r="E969" i="3"/>
  <c r="D556" i="3"/>
  <c r="E670" i="3"/>
  <c r="D904" i="3"/>
  <c r="D258" i="3"/>
  <c r="D600" i="3"/>
  <c r="E161" i="3"/>
  <c r="E485" i="3"/>
  <c r="D915" i="3"/>
  <c r="D131" i="3"/>
  <c r="D460" i="3"/>
  <c r="D644" i="3"/>
  <c r="D173" i="3"/>
  <c r="E77" i="3"/>
  <c r="D493" i="3"/>
  <c r="D914" i="3"/>
  <c r="E500" i="3"/>
  <c r="D424" i="3"/>
  <c r="E459" i="3"/>
  <c r="E1083" i="3"/>
  <c r="E336" i="3"/>
  <c r="D688" i="3"/>
  <c r="E439" i="3"/>
  <c r="D433" i="3"/>
  <c r="E80" i="3"/>
  <c r="E483" i="3"/>
  <c r="E1053" i="3"/>
  <c r="E264" i="3"/>
  <c r="D1076" i="3"/>
  <c r="E385" i="3"/>
  <c r="E744" i="3"/>
  <c r="D1096" i="3"/>
  <c r="A1096" i="6" s="1"/>
  <c r="E973" i="3"/>
  <c r="D972" i="3"/>
  <c r="E833" i="3"/>
  <c r="E538" i="3"/>
  <c r="E502" i="3"/>
  <c r="E733" i="3"/>
  <c r="E358" i="3"/>
  <c r="D639" i="3"/>
  <c r="E113" i="3"/>
  <c r="D63" i="3"/>
  <c r="D788" i="3"/>
  <c r="D912" i="3"/>
  <c r="E683" i="3"/>
  <c r="D295" i="3"/>
  <c r="E739" i="3"/>
  <c r="D480" i="3"/>
  <c r="E532" i="3"/>
  <c r="E810" i="3"/>
  <c r="D252" i="3"/>
  <c r="D582" i="3"/>
  <c r="E566" i="3"/>
  <c r="E447" i="3"/>
  <c r="E119" i="3"/>
  <c r="D833" i="3"/>
  <c r="E259" i="3"/>
  <c r="D185" i="3"/>
  <c r="D41" i="3"/>
  <c r="E247" i="3"/>
  <c r="D524" i="3"/>
  <c r="E200" i="3"/>
  <c r="D351" i="3"/>
  <c r="E441" i="3"/>
  <c r="E1073" i="3"/>
  <c r="D743" i="3"/>
  <c r="D360" i="3"/>
  <c r="E78" i="3"/>
  <c r="E956" i="3"/>
  <c r="D578" i="3"/>
  <c r="E695" i="3"/>
  <c r="E1087" i="3"/>
  <c r="E754" i="3"/>
  <c r="D395" i="3"/>
  <c r="E898" i="3"/>
  <c r="E593" i="3"/>
  <c r="D440" i="3"/>
  <c r="D174" i="3"/>
  <c r="D724" i="3"/>
  <c r="E40" i="3"/>
  <c r="D625" i="3"/>
  <c r="E181" i="3"/>
  <c r="E411" i="3"/>
  <c r="D390" i="3"/>
  <c r="E60" i="3"/>
  <c r="D423" i="3"/>
  <c r="D777" i="3"/>
  <c r="E902" i="3"/>
  <c r="E101" i="3"/>
  <c r="E939" i="3"/>
  <c r="E398" i="3"/>
  <c r="E629" i="3"/>
  <c r="E960" i="3"/>
  <c r="D1043" i="3"/>
  <c r="D366" i="3"/>
  <c r="D728" i="3"/>
  <c r="D957" i="3"/>
  <c r="E133" i="3"/>
  <c r="D245" i="3"/>
  <c r="D682" i="3"/>
  <c r="E45" i="3"/>
  <c r="E425" i="3"/>
  <c r="D447" i="3"/>
  <c r="D61" i="3"/>
  <c r="E855" i="3"/>
  <c r="E340" i="3"/>
  <c r="D341" i="3"/>
  <c r="E1040" i="3"/>
  <c r="E677" i="3"/>
  <c r="D973" i="3"/>
  <c r="E276" i="3"/>
  <c r="E546" i="3"/>
  <c r="E1045" i="3"/>
  <c r="D635" i="3"/>
  <c r="E782" i="3"/>
  <c r="E556" i="3"/>
  <c r="E937" i="3"/>
  <c r="D868" i="3"/>
  <c r="D322" i="3"/>
  <c r="E852" i="3"/>
  <c r="D472" i="3"/>
  <c r="D930" i="3"/>
  <c r="D518" i="3"/>
  <c r="E493" i="3"/>
  <c r="E104" i="3"/>
  <c r="E865" i="3"/>
  <c r="D571" i="3"/>
  <c r="E820" i="3"/>
  <c r="E814" i="3"/>
  <c r="E184" i="3"/>
  <c r="E432" i="3"/>
  <c r="E1011" i="3"/>
  <c r="D1002" i="3"/>
  <c r="D838" i="3"/>
  <c r="D389" i="3"/>
  <c r="E1086" i="3"/>
  <c r="D32" i="3"/>
  <c r="E725" i="3"/>
  <c r="E33" i="3"/>
  <c r="D349" i="3"/>
  <c r="E206" i="3"/>
  <c r="D662" i="3"/>
  <c r="D319" i="3"/>
  <c r="D614" i="3"/>
  <c r="D329" i="3"/>
  <c r="D767" i="3"/>
  <c r="D470" i="3"/>
  <c r="E437" i="3"/>
  <c r="D867" i="3"/>
  <c r="E150" i="3"/>
  <c r="E585" i="3"/>
  <c r="E1013" i="3"/>
  <c r="E647" i="3"/>
  <c r="E205" i="3"/>
  <c r="D892" i="3"/>
  <c r="E893" i="3"/>
  <c r="D599" i="3"/>
  <c r="D695" i="3"/>
  <c r="E594" i="3"/>
  <c r="D104" i="3"/>
  <c r="D452" i="3"/>
  <c r="E413" i="3"/>
  <c r="D124" i="3"/>
  <c r="D850" i="3"/>
  <c r="E436" i="3"/>
  <c r="E1047" i="3"/>
  <c r="D374" i="3"/>
  <c r="D598" i="3"/>
  <c r="D352" i="3"/>
  <c r="D1084" i="3"/>
  <c r="D371" i="3"/>
  <c r="D752" i="3"/>
  <c r="E130" i="3"/>
  <c r="E503" i="3"/>
  <c r="D497" i="3"/>
  <c r="D129" i="3"/>
  <c r="D409" i="3"/>
  <c r="E64" i="3"/>
  <c r="E535" i="3"/>
  <c r="E959" i="3"/>
  <c r="E1014" i="3"/>
  <c r="E796" i="3"/>
  <c r="D822" i="3"/>
  <c r="E665" i="3"/>
  <c r="D107" i="3"/>
  <c r="D1042" i="3"/>
  <c r="E608" i="3"/>
  <c r="E839" i="3"/>
  <c r="E25" i="3"/>
  <c r="E450" i="3"/>
  <c r="E724" i="3"/>
  <c r="E55" i="3"/>
  <c r="D300" i="3"/>
  <c r="E790" i="3"/>
  <c r="E1065" i="3"/>
  <c r="D23" i="3"/>
  <c r="D875" i="3"/>
  <c r="D81" i="3"/>
  <c r="E999" i="3"/>
  <c r="E676" i="3"/>
  <c r="D685" i="3"/>
  <c r="E837" i="3"/>
  <c r="E147" i="3"/>
  <c r="E529" i="3"/>
  <c r="D580" i="3"/>
  <c r="D819" i="3"/>
  <c r="E116" i="3"/>
  <c r="E497" i="3"/>
  <c r="E146" i="3"/>
  <c r="E403" i="3"/>
  <c r="D304" i="3"/>
  <c r="A304" i="6" s="1"/>
  <c r="E1037" i="3"/>
  <c r="E807" i="3"/>
  <c r="D356" i="3"/>
  <c r="D475" i="3"/>
  <c r="E636" i="3"/>
  <c r="D514" i="3"/>
  <c r="D771" i="3"/>
  <c r="E540" i="3"/>
  <c r="E921" i="3"/>
  <c r="E605" i="3"/>
  <c r="D611" i="3"/>
  <c r="D856" i="3"/>
  <c r="D552" i="3"/>
  <c r="D68" i="3"/>
  <c r="D262" i="3"/>
  <c r="E1090" i="3"/>
  <c r="E603" i="3"/>
  <c r="D461" i="3"/>
  <c r="E469" i="3"/>
  <c r="E145" i="3"/>
  <c r="E617" i="3"/>
  <c r="E283" i="3"/>
  <c r="D824" i="3"/>
  <c r="D579" i="3"/>
  <c r="A579" i="6" s="1"/>
  <c r="E573" i="3"/>
  <c r="D232" i="3"/>
  <c r="E889" i="3"/>
  <c r="E760" i="3"/>
  <c r="E748" i="3"/>
  <c r="D531" i="3"/>
  <c r="E129" i="3"/>
  <c r="D855" i="3"/>
  <c r="A855" i="6" s="1"/>
  <c r="D585" i="3"/>
  <c r="D249" i="3"/>
  <c r="E214" i="3"/>
  <c r="D813" i="3"/>
  <c r="E1070" i="3"/>
  <c r="E330" i="3"/>
  <c r="E908" i="3"/>
  <c r="D227" i="3"/>
  <c r="D505" i="3"/>
  <c r="D935" i="3"/>
  <c r="A935" i="6" s="1"/>
  <c r="D211" i="3"/>
  <c r="D1064" i="3"/>
  <c r="D355" i="3"/>
  <c r="D170" i="3"/>
  <c r="D778" i="3"/>
  <c r="D393" i="3"/>
  <c r="E105" i="3"/>
  <c r="D801" i="3"/>
  <c r="D180" i="3"/>
  <c r="E481" i="3"/>
  <c r="E528" i="3"/>
  <c r="D665" i="3"/>
  <c r="E1051" i="3"/>
  <c r="D274" i="3"/>
  <c r="A274" i="6" s="1"/>
  <c r="E408" i="3"/>
  <c r="E318" i="3"/>
  <c r="E95" i="3"/>
  <c r="E799" i="3"/>
  <c r="D630" i="3"/>
  <c r="E383" i="3"/>
  <c r="E329" i="3"/>
  <c r="E525" i="3"/>
  <c r="E121" i="3"/>
  <c r="D866" i="3"/>
  <c r="E452" i="3"/>
  <c r="E204" i="3"/>
  <c r="D967" i="3"/>
  <c r="E1057" i="3"/>
  <c r="D667" i="3"/>
  <c r="E35" i="3"/>
  <c r="D410" i="3"/>
  <c r="E783" i="3"/>
  <c r="D604" i="3"/>
  <c r="E718" i="3"/>
  <c r="D952" i="3"/>
  <c r="E233" i="3"/>
  <c r="D464" i="3"/>
  <c r="E313" i="3"/>
  <c r="D1044" i="3"/>
  <c r="D746" i="3"/>
  <c r="E537" i="3"/>
  <c r="E438" i="3"/>
  <c r="D99" i="3"/>
  <c r="E107" i="3"/>
  <c r="E520" i="3"/>
  <c r="E137" i="3"/>
  <c r="D946" i="3"/>
  <c r="E223" i="3"/>
  <c r="D192" i="3"/>
  <c r="D476" i="3"/>
  <c r="A476" i="6" s="1"/>
  <c r="D660" i="3"/>
  <c r="A660" i="6" s="1"/>
  <c r="D1074" i="3"/>
  <c r="D407" i="3"/>
  <c r="E886" i="3"/>
  <c r="E85" i="3"/>
  <c r="E531" i="3"/>
  <c r="E923" i="3"/>
  <c r="D309" i="3"/>
  <c r="E1008" i="3"/>
  <c r="E1064" i="3"/>
  <c r="D701" i="3"/>
  <c r="D358" i="3"/>
  <c r="A358" i="6" s="1"/>
  <c r="D1027" i="3"/>
  <c r="D313" i="3"/>
  <c r="E292" i="3"/>
  <c r="D751" i="3"/>
  <c r="D454" i="3"/>
  <c r="D52" i="3"/>
  <c r="D964" i="3"/>
  <c r="D733" i="3"/>
  <c r="A733" i="6" s="1"/>
  <c r="D326" i="3"/>
  <c r="D1085" i="3"/>
  <c r="D130" i="3"/>
  <c r="D487" i="3"/>
  <c r="E90" i="3"/>
  <c r="D640" i="3"/>
  <c r="A640" i="6" s="1"/>
  <c r="E435" i="3"/>
  <c r="E70" i="3"/>
  <c r="D559" i="3"/>
  <c r="A559" i="6" s="1"/>
  <c r="D510" i="3"/>
  <c r="D150" i="3"/>
  <c r="A150" i="6" s="1"/>
  <c r="D437" i="3"/>
  <c r="D534" i="3"/>
  <c r="D981" i="3"/>
  <c r="D970" i="3"/>
  <c r="E979" i="3"/>
  <c r="E533" i="3"/>
  <c r="D238" i="3"/>
  <c r="E511" i="3"/>
  <c r="E914" i="3"/>
  <c r="E545" i="3"/>
  <c r="E509" i="3"/>
  <c r="E76" i="3"/>
  <c r="D72" i="3"/>
  <c r="D484" i="3"/>
  <c r="D818" i="3"/>
  <c r="E278" i="3"/>
  <c r="E848" i="3"/>
  <c r="D1031" i="3"/>
  <c r="E379" i="3"/>
  <c r="D353" i="3"/>
  <c r="E753" i="3"/>
  <c r="D298" i="3"/>
  <c r="D1001" i="3"/>
  <c r="D287" i="3"/>
  <c r="D1032" i="3"/>
  <c r="D217" i="3"/>
  <c r="D723" i="3"/>
  <c r="E795" i="3"/>
  <c r="D772" i="3"/>
  <c r="E418" i="3"/>
  <c r="D388" i="3"/>
  <c r="E756" i="3"/>
  <c r="D236" i="3"/>
  <c r="E767" i="3"/>
  <c r="E155" i="3"/>
  <c r="E338" i="3"/>
  <c r="E479" i="3"/>
  <c r="D168" i="3"/>
  <c r="D432" i="3"/>
  <c r="A432" i="6" s="1"/>
  <c r="D995" i="3"/>
  <c r="E235" i="3"/>
  <c r="E591" i="3"/>
  <c r="D114" i="3"/>
  <c r="D471" i="3"/>
  <c r="E895" i="3"/>
  <c r="E950" i="3"/>
  <c r="E987" i="3"/>
  <c r="D373" i="3"/>
  <c r="E86" i="3"/>
  <c r="D122" i="3"/>
  <c r="D427" i="3"/>
  <c r="D884" i="3"/>
  <c r="D399" i="3"/>
  <c r="D799" i="3"/>
  <c r="D402" i="3"/>
  <c r="E345" i="3"/>
  <c r="D714" i="3"/>
  <c r="E400" i="3"/>
  <c r="E761" i="3"/>
  <c r="D1061" i="3"/>
  <c r="E474" i="3"/>
  <c r="D744" i="3"/>
  <c r="D909" i="3"/>
  <c r="A909" i="6" s="1"/>
  <c r="D237" i="3"/>
  <c r="E1092" i="3"/>
  <c r="E606" i="3"/>
  <c r="E873" i="3"/>
  <c r="D115" i="3"/>
  <c r="E234" i="3"/>
  <c r="E967" i="3"/>
  <c r="E158" i="3"/>
  <c r="D989" i="3"/>
  <c r="E562" i="3"/>
  <c r="D608" i="3"/>
  <c r="D251" i="3"/>
  <c r="E872" i="3"/>
  <c r="E378" i="3"/>
  <c r="E541" i="3"/>
  <c r="D200" i="3"/>
  <c r="A200" i="6" s="1"/>
  <c r="E857" i="3"/>
  <c r="D707" i="3"/>
  <c r="A707" i="6" s="1"/>
  <c r="D201" i="3"/>
  <c r="D1006" i="3"/>
  <c r="D139" i="3"/>
  <c r="E324" i="3"/>
  <c r="E823" i="3"/>
  <c r="D1012" i="3"/>
  <c r="E682" i="3"/>
  <c r="E402" i="3"/>
  <c r="E932" i="3"/>
  <c r="D523" i="3"/>
  <c r="A523" i="6" s="1"/>
  <c r="D213" i="3"/>
  <c r="E719" i="3"/>
  <c r="E399" i="3"/>
  <c r="D109" i="3"/>
  <c r="E869" i="3"/>
  <c r="E179" i="3"/>
  <c r="D612" i="3"/>
  <c r="E98" i="3"/>
  <c r="E672" i="3"/>
  <c r="D879" i="3"/>
  <c r="D60" i="3"/>
  <c r="E742" i="3"/>
  <c r="E1039" i="3"/>
  <c r="E555" i="3"/>
  <c r="E170" i="3"/>
  <c r="E320" i="3"/>
  <c r="E120" i="3"/>
  <c r="E685" i="3"/>
  <c r="E310" i="3"/>
  <c r="D1072" i="3"/>
  <c r="E752" i="3"/>
  <c r="D959" i="3"/>
  <c r="A959" i="6" s="1"/>
  <c r="E417" i="3"/>
  <c r="E758" i="3"/>
  <c r="D1086" i="3"/>
  <c r="A1086" i="6" s="1"/>
  <c r="D726" i="3"/>
  <c r="E344" i="3"/>
  <c r="D770" i="3"/>
  <c r="E72" i="3"/>
  <c r="D259" i="3"/>
  <c r="A259" i="6" s="1"/>
  <c r="E548" i="3"/>
  <c r="E498" i="3"/>
  <c r="D404" i="3"/>
  <c r="E772" i="3"/>
  <c r="E54" i="3"/>
  <c r="E81" i="3"/>
  <c r="D583" i="3"/>
  <c r="E877" i="3"/>
  <c r="D876" i="3"/>
  <c r="D190" i="3"/>
  <c r="E997" i="3"/>
  <c r="E569" i="3"/>
  <c r="D116" i="3"/>
  <c r="E800" i="3"/>
  <c r="D1007" i="3"/>
  <c r="D164" i="3"/>
  <c r="E465" i="3"/>
  <c r="D713" i="3"/>
  <c r="E1080" i="3"/>
  <c r="D21" i="3"/>
  <c r="D297" i="3"/>
  <c r="E240" i="3"/>
  <c r="E185" i="3"/>
  <c r="D994" i="3"/>
  <c r="D593" i="3"/>
  <c r="A593" i="6" s="1"/>
  <c r="E208" i="3"/>
  <c r="E1006" i="3"/>
  <c r="D953" i="3"/>
  <c r="D974" i="3"/>
  <c r="D854" i="3"/>
  <c r="E815" i="3"/>
  <c r="E1018" i="3"/>
  <c r="D795" i="3"/>
  <c r="A795" i="6" s="1"/>
  <c r="E448" i="3"/>
  <c r="D135" i="3"/>
  <c r="E830" i="3"/>
  <c r="D203" i="3"/>
  <c r="A203" i="6" s="1"/>
  <c r="E824" i="3"/>
  <c r="E232" i="3"/>
  <c r="E57" i="3"/>
  <c r="D708" i="3"/>
  <c r="E308" i="3"/>
  <c r="D31" i="3"/>
  <c r="A31" i="6" s="1"/>
  <c r="E692" i="3"/>
  <c r="E42" i="3"/>
  <c r="D197" i="3"/>
  <c r="E703" i="3"/>
  <c r="D383" i="3"/>
  <c r="A383" i="6" s="1"/>
  <c r="D188" i="3"/>
  <c r="D220" i="3"/>
  <c r="D206" i="3"/>
  <c r="E598" i="3"/>
  <c r="E415" i="3"/>
  <c r="D496" i="3"/>
  <c r="E1050" i="3"/>
  <c r="D194" i="3"/>
  <c r="D554" i="3"/>
  <c r="D784" i="3"/>
  <c r="E825" i="3"/>
  <c r="E167" i="3"/>
  <c r="E659" i="3"/>
  <c r="E981" i="3"/>
  <c r="E553" i="3"/>
  <c r="E243" i="3"/>
  <c r="D77" i="3"/>
  <c r="A77" i="6" s="1"/>
  <c r="E521" i="3"/>
  <c r="E106" i="3"/>
  <c r="E669" i="3"/>
  <c r="E294" i="3"/>
  <c r="E1085" i="3"/>
  <c r="D1090" i="3"/>
  <c r="E762" i="3"/>
  <c r="E323" i="3"/>
  <c r="E1012" i="3"/>
  <c r="E842" i="3"/>
  <c r="E819" i="3"/>
  <c r="D810" i="3"/>
  <c r="A810" i="6" s="1"/>
  <c r="D821" i="3"/>
  <c r="D317" i="3"/>
  <c r="E964" i="3"/>
  <c r="E1054" i="3"/>
  <c r="E287" i="3"/>
  <c r="E611" i="3"/>
  <c r="E952" i="3"/>
  <c r="E958" i="3"/>
  <c r="D905" i="3"/>
  <c r="E192" i="3"/>
  <c r="D589" i="3"/>
  <c r="D926" i="3"/>
  <c r="E194" i="3"/>
  <c r="E650" i="3"/>
  <c r="E286" i="3"/>
  <c r="D1041" i="3"/>
  <c r="E778" i="3"/>
  <c r="E333" i="3"/>
  <c r="E715" i="3"/>
  <c r="E655" i="3"/>
  <c r="D792" i="3"/>
  <c r="A792" i="6" s="1"/>
  <c r="E759" i="3"/>
  <c r="D791" i="3"/>
  <c r="E1020" i="3"/>
  <c r="E331" i="3"/>
  <c r="D305" i="3"/>
  <c r="E705" i="3"/>
  <c r="E375" i="3"/>
  <c r="E257" i="3"/>
  <c r="D993" i="3"/>
  <c r="D284" i="3"/>
  <c r="E63" i="3"/>
  <c r="E729" i="3"/>
  <c r="D886" i="3"/>
  <c r="E847" i="3"/>
  <c r="D805" i="3"/>
  <c r="D787" i="3"/>
  <c r="E826" i="3"/>
  <c r="E1048" i="3"/>
  <c r="D680" i="3"/>
  <c r="E165" i="3"/>
  <c r="D815" i="3"/>
  <c r="A815" i="6" s="1"/>
  <c r="D492" i="3"/>
  <c r="A492" i="6" s="1"/>
  <c r="D161" i="3"/>
  <c r="D947" i="3"/>
  <c r="E109" i="3"/>
  <c r="E965" i="3"/>
  <c r="E627" i="3"/>
  <c r="E151" i="3"/>
  <c r="D1083" i="3"/>
  <c r="A1083" i="6" s="1"/>
  <c r="D765" i="3"/>
  <c r="E443" i="3"/>
  <c r="E1067" i="3"/>
  <c r="E188" i="3"/>
  <c r="E582" i="3"/>
  <c r="D86" i="3"/>
  <c r="E993" i="3"/>
  <c r="D199" i="3"/>
  <c r="E942" i="3"/>
  <c r="D889" i="3"/>
  <c r="A889" i="6" s="1"/>
  <c r="D573" i="3"/>
  <c r="A573" i="6" s="1"/>
  <c r="D910" i="3"/>
  <c r="D283" i="3"/>
  <c r="A283" i="6" s="1"/>
  <c r="E634" i="3"/>
  <c r="E510" i="3"/>
  <c r="D105" i="3"/>
  <c r="A105" i="6" s="1"/>
  <c r="D478" i="3"/>
  <c r="D69" i="3"/>
  <c r="E171" i="3"/>
  <c r="E115" i="3"/>
  <c r="E962" i="3"/>
  <c r="D560" i="3"/>
  <c r="E526" i="3"/>
  <c r="E434" i="3"/>
  <c r="D324" i="3"/>
  <c r="A324" i="6" s="1"/>
  <c r="D47" i="3"/>
  <c r="E708" i="3"/>
  <c r="E475" i="3"/>
  <c r="D1047" i="3"/>
  <c r="A1047" i="6" s="1"/>
  <c r="D745" i="3"/>
  <c r="D53" i="3"/>
  <c r="E364" i="3"/>
  <c r="E793" i="3"/>
  <c r="E838" i="3"/>
  <c r="D110" i="3"/>
  <c r="D483" i="3"/>
  <c r="A483" i="6" s="1"/>
  <c r="E875" i="3"/>
  <c r="E334" i="3"/>
  <c r="E896" i="3"/>
  <c r="D1057" i="3"/>
  <c r="D302" i="3"/>
  <c r="E266" i="3"/>
  <c r="D664" i="3"/>
  <c r="D346" i="3"/>
  <c r="D893" i="3"/>
  <c r="A893" i="6" s="1"/>
  <c r="D221" i="3"/>
  <c r="E619" i="3"/>
  <c r="D257" i="3"/>
  <c r="E215" i="3"/>
  <c r="E301" i="3"/>
  <c r="E384" i="3"/>
  <c r="D431" i="3"/>
  <c r="E108" i="3"/>
  <c r="D1052" i="3"/>
  <c r="E626" i="3"/>
  <c r="D1048" i="3"/>
  <c r="D233" i="3"/>
  <c r="A233" i="6" s="1"/>
  <c r="D739" i="3"/>
  <c r="D533" i="3"/>
  <c r="A533" i="6" s="1"/>
  <c r="E853" i="3"/>
  <c r="E163" i="3"/>
  <c r="D596" i="3"/>
  <c r="D73" i="3"/>
  <c r="D519" i="3"/>
  <c r="E687" i="3"/>
  <c r="D367" i="3"/>
  <c r="E913" i="3"/>
  <c r="D619" i="3"/>
  <c r="D57" i="3"/>
  <c r="A57" i="6" s="1"/>
  <c r="E250" i="3"/>
  <c r="E222" i="3"/>
  <c r="D335" i="3"/>
  <c r="D1050" i="3"/>
  <c r="E527" i="3"/>
  <c r="D526" i="3"/>
  <c r="A526" i="6" s="1"/>
  <c r="E755" i="3"/>
  <c r="E743" i="3"/>
  <c r="E316" i="3"/>
  <c r="E38" i="3"/>
  <c r="E1059" i="3"/>
  <c r="D697" i="3"/>
  <c r="D94" i="3"/>
  <c r="E91" i="3"/>
  <c r="D649" i="3"/>
  <c r="D181" i="3"/>
  <c r="A181" i="6" s="1"/>
  <c r="E544" i="3"/>
  <c r="D340" i="3"/>
  <c r="A340" i="6" s="1"/>
  <c r="D30" i="3"/>
  <c r="E788" i="3"/>
  <c r="D507" i="3"/>
  <c r="E349" i="3"/>
  <c r="D79" i="3"/>
  <c r="D740" i="3"/>
  <c r="E381" i="3"/>
  <c r="D56" i="3"/>
  <c r="D657" i="3"/>
  <c r="E1029" i="3"/>
  <c r="D364" i="3"/>
  <c r="D1059" i="3"/>
  <c r="E684" i="3"/>
  <c r="D939" i="3"/>
  <c r="A939" i="6" s="1"/>
  <c r="D896" i="3"/>
  <c r="E667" i="3"/>
  <c r="E770" i="3"/>
  <c r="E1055" i="3"/>
  <c r="E410" i="3"/>
  <c r="E711" i="3"/>
  <c r="E567" i="3"/>
  <c r="E20" i="3"/>
  <c r="E730" i="3"/>
  <c r="E355" i="3"/>
  <c r="E1044" i="3"/>
  <c r="D624" i="3"/>
  <c r="E564" i="3"/>
  <c r="E154" i="3"/>
  <c r="D861" i="3"/>
  <c r="E190" i="3"/>
  <c r="D530" i="3"/>
  <c r="E1049" i="3"/>
  <c r="E268" i="3"/>
  <c r="E558" i="3"/>
  <c r="D1034" i="3"/>
  <c r="E584" i="3"/>
  <c r="E917" i="3"/>
  <c r="D228" i="3"/>
  <c r="E280" i="3"/>
  <c r="D735" i="3"/>
  <c r="D502" i="3"/>
  <c r="D576" i="3"/>
  <c r="D565" i="3"/>
  <c r="D550" i="3"/>
  <c r="D289" i="3"/>
  <c r="D703" i="3"/>
  <c r="D401" i="3"/>
  <c r="E177" i="3"/>
  <c r="E501" i="3"/>
  <c r="D931" i="3"/>
  <c r="A931" i="6" s="1"/>
  <c r="D145" i="3"/>
  <c r="D793" i="3"/>
  <c r="E694" i="3"/>
  <c r="E1075" i="3"/>
  <c r="D264" i="3"/>
  <c r="A264" i="6" s="1"/>
  <c r="D661" i="3"/>
  <c r="D741" i="3"/>
  <c r="A741" i="6" s="1"/>
  <c r="D67" i="3"/>
  <c r="D266" i="3"/>
  <c r="A266" i="6" s="1"/>
  <c r="D706" i="3"/>
  <c r="D594" i="3"/>
  <c r="E30" i="3"/>
  <c r="D498" i="3"/>
  <c r="E29" i="3"/>
  <c r="E657" i="3"/>
  <c r="E565" i="3"/>
  <c r="D172" i="3"/>
  <c r="A172" i="6" s="1"/>
  <c r="D466" i="3"/>
  <c r="A466" i="6" s="1"/>
  <c r="E356" i="3"/>
  <c r="E774" i="3"/>
  <c r="D742" i="3"/>
  <c r="E797" i="3"/>
  <c r="D54" i="3"/>
  <c r="A54" i="6" s="1"/>
  <c r="D1030" i="3"/>
  <c r="D547" i="3"/>
  <c r="D100" i="3"/>
  <c r="E801" i="3"/>
  <c r="D157" i="3"/>
  <c r="E1062" i="3"/>
  <c r="D628" i="3"/>
  <c r="D444" i="3"/>
  <c r="E182" i="3"/>
  <c r="D899" i="3"/>
  <c r="D138" i="3"/>
  <c r="A138" i="6" s="1"/>
  <c r="D361" i="3"/>
  <c r="E262" i="3"/>
  <c r="D1069" i="3"/>
  <c r="D191" i="3"/>
  <c r="D897" i="3"/>
  <c r="E26" i="3"/>
  <c r="D656" i="3"/>
  <c r="D234" i="3"/>
  <c r="A234" i="6" s="1"/>
  <c r="D246" i="3"/>
  <c r="E812" i="3"/>
  <c r="D542" i="3"/>
  <c r="E645" i="3"/>
  <c r="E984" i="3"/>
  <c r="E168" i="3"/>
  <c r="E416" i="3"/>
  <c r="E995" i="3"/>
  <c r="D986" i="3"/>
  <c r="D997" i="3"/>
  <c r="D553" i="3"/>
  <c r="A553" i="6" s="1"/>
  <c r="E430" i="3"/>
  <c r="E236" i="3"/>
  <c r="D477" i="3"/>
  <c r="D999" i="3"/>
  <c r="E322" i="3"/>
  <c r="D254" i="3"/>
  <c r="E463" i="3"/>
  <c r="D836" i="3"/>
  <c r="E662" i="3"/>
  <c r="E351" i="3"/>
  <c r="E263" i="3"/>
  <c r="E878" i="3"/>
  <c r="D825" i="3"/>
  <c r="D183" i="3"/>
  <c r="E496" i="3"/>
  <c r="D846" i="3"/>
  <c r="E570" i="3"/>
  <c r="E446" i="3"/>
  <c r="D64" i="3"/>
  <c r="A64" i="6" s="1"/>
  <c r="D414" i="3"/>
  <c r="E596" i="3"/>
  <c r="D178" i="3"/>
  <c r="D458" i="3"/>
  <c r="D38" i="3"/>
  <c r="D332" i="3"/>
  <c r="E457" i="3"/>
  <c r="E951" i="3"/>
  <c r="E639" i="3"/>
  <c r="E371" i="3"/>
  <c r="E1060" i="3"/>
  <c r="E317" i="3"/>
  <c r="D403" i="3"/>
  <c r="A403" i="6" s="1"/>
  <c r="E661" i="3"/>
  <c r="E976" i="3"/>
  <c r="D382" i="3"/>
  <c r="D782" i="3"/>
  <c r="D1049" i="3"/>
  <c r="A1049" i="6" s="1"/>
  <c r="E295" i="3"/>
  <c r="E926" i="3"/>
  <c r="D873" i="3"/>
  <c r="D557" i="3"/>
  <c r="D894" i="3"/>
  <c r="D267" i="3"/>
  <c r="E618" i="3"/>
  <c r="D453" i="3"/>
  <c r="E897" i="3"/>
  <c r="D603" i="3"/>
  <c r="A603" i="6" s="1"/>
  <c r="D457" i="3"/>
  <c r="A457" i="6" s="1"/>
  <c r="D495" i="3"/>
  <c r="E61" i="3"/>
  <c r="D823" i="3"/>
  <c r="E866" i="3"/>
  <c r="E445" i="3"/>
  <c r="D62" i="3"/>
  <c r="E643" i="3"/>
  <c r="D848" i="3"/>
  <c r="E1031" i="3"/>
  <c r="D363" i="3"/>
  <c r="D827" i="3"/>
  <c r="E141" i="3"/>
  <c r="D98" i="3"/>
  <c r="A98" i="6" s="1"/>
  <c r="D911" i="3"/>
  <c r="E704" i="3"/>
  <c r="E549" i="3"/>
  <c r="D506" i="3"/>
  <c r="D462" i="3"/>
  <c r="D27" i="3"/>
  <c r="D996" i="3"/>
  <c r="E666" i="3"/>
  <c r="E980" i="3"/>
  <c r="D218" i="3"/>
  <c r="D176" i="3"/>
  <c r="D549" i="3"/>
  <c r="D149" i="3"/>
  <c r="E576" i="3"/>
  <c r="D581" i="3"/>
  <c r="A581" i="6" s="1"/>
  <c r="D153" i="3"/>
  <c r="D925" i="3"/>
  <c r="D253" i="3"/>
  <c r="E622" i="3"/>
  <c r="D546" i="3"/>
  <c r="A546" i="6" s="1"/>
  <c r="E924" i="3"/>
  <c r="E346" i="3"/>
  <c r="E1094" i="3"/>
  <c r="E974" i="3"/>
  <c r="D921" i="3"/>
  <c r="A921" i="6" s="1"/>
  <c r="D384" i="3"/>
  <c r="A384" i="6" s="1"/>
  <c r="E368" i="3"/>
  <c r="E406" i="3"/>
  <c r="D820" i="3"/>
  <c r="A820" i="6" s="1"/>
  <c r="D646" i="3"/>
  <c r="E335" i="3"/>
  <c r="D247" i="3"/>
  <c r="A247" i="6" s="1"/>
  <c r="E284" i="3"/>
  <c r="D977" i="3"/>
  <c r="A977" i="6" s="1"/>
  <c r="E225" i="3"/>
  <c r="E191" i="3"/>
  <c r="E905" i="3"/>
  <c r="D248" i="3"/>
  <c r="E589" i="3"/>
  <c r="D595" i="3"/>
  <c r="D840" i="3"/>
  <c r="D536" i="3"/>
  <c r="D370" i="3"/>
  <c r="D342" i="3"/>
  <c r="A342" i="6" s="1"/>
  <c r="D699" i="3"/>
  <c r="E305" i="3"/>
  <c r="E664" i="3"/>
  <c r="D1088" i="3"/>
  <c r="D626" i="3"/>
  <c r="E791" i="3"/>
  <c r="D315" i="3"/>
  <c r="E674" i="3"/>
  <c r="E1035" i="3"/>
  <c r="E638" i="3"/>
  <c r="D750" i="3"/>
  <c r="E592" i="3"/>
  <c r="E303" i="3"/>
  <c r="E279" i="3"/>
  <c r="D1018" i="3"/>
  <c r="D75" i="3"/>
  <c r="E506" i="3"/>
  <c r="D764" i="3"/>
  <c r="E779" i="3"/>
  <c r="E451" i="3"/>
  <c r="D22" i="3"/>
  <c r="D316" i="3"/>
  <c r="D631" i="3"/>
  <c r="E1081" i="3"/>
  <c r="D39" i="3"/>
  <c r="D891" i="3"/>
  <c r="D155" i="3"/>
  <c r="D500" i="3"/>
  <c r="A500" i="6" s="1"/>
  <c r="D898" i="3"/>
  <c r="D561" i="3"/>
  <c r="D405" i="3"/>
  <c r="E818" i="3"/>
  <c r="D880" i="3"/>
  <c r="D859" i="3"/>
  <c r="D392" i="3"/>
  <c r="E48" i="3"/>
  <c r="D1033" i="3"/>
  <c r="E39" i="3"/>
  <c r="E249" i="3"/>
  <c r="D968" i="3"/>
  <c r="E734" i="3"/>
  <c r="E722" i="3"/>
  <c r="E390" i="3"/>
  <c r="E93" i="3"/>
  <c r="D51" i="3"/>
  <c r="D760" i="3"/>
  <c r="A760" i="6" s="1"/>
  <c r="D748" i="3"/>
  <c r="A748" i="6" s="1"/>
  <c r="E490" i="3"/>
  <c r="E1079" i="3"/>
  <c r="D806" i="3"/>
  <c r="E780" i="3"/>
  <c r="E998" i="3"/>
  <c r="E943" i="3"/>
  <c r="E519" i="3"/>
  <c r="E254" i="3"/>
  <c r="E751" i="3"/>
  <c r="E229" i="3"/>
  <c r="E560" i="3"/>
  <c r="D137" i="3"/>
  <c r="E27" i="3"/>
  <c r="E930" i="3"/>
  <c r="E561" i="3"/>
  <c r="D525" i="3"/>
  <c r="E92" i="3"/>
  <c r="E1005" i="3"/>
  <c r="D1004" i="3"/>
  <c r="D299" i="3"/>
  <c r="D769" i="3"/>
  <c r="D734" i="3"/>
  <c r="A734" i="6" s="1"/>
  <c r="E207" i="3"/>
  <c r="E248" i="3"/>
  <c r="D632" i="3"/>
  <c r="E840" i="3"/>
  <c r="D219" i="3"/>
  <c r="E938" i="3"/>
  <c r="E140" i="3"/>
  <c r="E887" i="3"/>
  <c r="D463" i="3"/>
  <c r="A463" i="6" s="1"/>
  <c r="E746" i="3"/>
  <c r="E307" i="3"/>
  <c r="E996" i="3"/>
  <c r="E473" i="3"/>
  <c r="E272" i="3"/>
  <c r="D637" i="3"/>
  <c r="E197" i="3"/>
  <c r="D485" i="3"/>
  <c r="A485" i="6" s="1"/>
  <c r="D607" i="3"/>
  <c r="E805" i="3"/>
  <c r="D1095" i="3"/>
  <c r="E407" i="3"/>
  <c r="E53" i="3"/>
  <c r="D128" i="3"/>
  <c r="D515" i="3"/>
  <c r="A515" i="6" s="1"/>
  <c r="E732" i="3"/>
  <c r="D987" i="3"/>
  <c r="E87" i="3"/>
  <c r="E678" i="3"/>
  <c r="D1008" i="3"/>
  <c r="A1008" i="6" s="1"/>
  <c r="E440" i="3"/>
  <c r="E386" i="3"/>
  <c r="D687" i="3"/>
  <c r="D669" i="3"/>
  <c r="A669" i="6" s="1"/>
  <c r="D381" i="3"/>
  <c r="A381" i="6" s="1"/>
  <c r="D40" i="3"/>
  <c r="A40" i="6" s="1"/>
  <c r="D681" i="3"/>
  <c r="E1019" i="3"/>
  <c r="E22" i="3"/>
  <c r="E300" i="3"/>
  <c r="D288" i="3"/>
  <c r="E727" i="3"/>
  <c r="D230" i="3"/>
  <c r="D652" i="3"/>
  <c r="D789" i="3"/>
  <c r="D783" i="3"/>
  <c r="A783" i="6" s="1"/>
  <c r="E968" i="3"/>
  <c r="E846" i="3"/>
  <c r="E781" i="3"/>
  <c r="D151" i="3"/>
  <c r="A151" i="6" s="1"/>
  <c r="D160" i="3"/>
  <c r="E1042" i="3"/>
  <c r="D92" i="3"/>
  <c r="E850" i="3"/>
  <c r="E122" i="3"/>
  <c r="D420" i="3"/>
  <c r="A420" i="6" s="1"/>
  <c r="E125" i="3"/>
  <c r="D1010" i="3"/>
  <c r="D609" i="3"/>
  <c r="E472" i="3"/>
  <c r="E599" i="3"/>
  <c r="E876" i="3"/>
  <c r="D755" i="3"/>
  <c r="A755" i="6" s="1"/>
  <c r="E642" i="3"/>
  <c r="D394" i="3"/>
  <c r="D44" i="3"/>
  <c r="A44" i="6" s="1"/>
  <c r="D712" i="3"/>
  <c r="D350" i="3"/>
  <c r="D1039" i="3"/>
  <c r="A1039" i="6" s="1"/>
  <c r="D45" i="3"/>
  <c r="A45" i="6" s="1"/>
  <c r="D479" i="3"/>
  <c r="D83" i="3"/>
  <c r="D377" i="3"/>
  <c r="E1063" i="3"/>
  <c r="E227" i="3"/>
  <c r="E698" i="3"/>
  <c r="E948" i="3"/>
  <c r="E906" i="3"/>
  <c r="E131" i="3"/>
  <c r="E883" i="3"/>
  <c r="D874" i="3"/>
  <c r="D885" i="3"/>
  <c r="E164" i="3"/>
  <c r="E428" i="3"/>
  <c r="D966" i="3"/>
  <c r="E745" i="3"/>
  <c r="D1029" i="3"/>
  <c r="E37" i="3"/>
  <c r="E458" i="3"/>
  <c r="D716" i="3"/>
  <c r="E110" i="3"/>
  <c r="E1021" i="3"/>
  <c r="D165" i="3"/>
  <c r="D945" i="3"/>
  <c r="E803" i="3"/>
  <c r="D413" i="3"/>
  <c r="A413" i="6" s="1"/>
  <c r="D951" i="3"/>
  <c r="D113" i="3"/>
  <c r="A113" i="6" s="1"/>
  <c r="D976" i="3"/>
  <c r="A976" i="6" s="1"/>
  <c r="E747" i="3"/>
  <c r="D693" i="3"/>
  <c r="D653" i="3"/>
  <c r="E583" i="3"/>
  <c r="E860" i="3"/>
  <c r="E270" i="3"/>
  <c r="D590" i="3"/>
  <c r="E1032" i="3"/>
  <c r="E910" i="3"/>
  <c r="D857" i="3"/>
  <c r="A857" i="6" s="1"/>
  <c r="D117" i="3"/>
  <c r="E370" i="3"/>
  <c r="D42" i="3"/>
  <c r="D511" i="3"/>
  <c r="A511" i="6" s="1"/>
  <c r="E903" i="3"/>
  <c r="E404" i="3"/>
  <c r="E1058" i="3"/>
  <c r="E789" i="3"/>
  <c r="E198" i="3"/>
  <c r="D1013" i="3"/>
  <c r="A1013" i="6" s="1"/>
  <c r="D569" i="3"/>
  <c r="A569" i="6" s="1"/>
  <c r="D736" i="3"/>
  <c r="E114" i="3"/>
  <c r="E487" i="3"/>
  <c r="D481" i="3"/>
  <c r="E128" i="3"/>
  <c r="E23" i="3"/>
  <c r="E389" i="3"/>
  <c r="E377" i="3"/>
  <c r="E1041" i="3"/>
  <c r="D948" i="3"/>
  <c r="D338" i="3"/>
  <c r="A338" i="6" s="1"/>
  <c r="E868" i="3"/>
  <c r="D336" i="3"/>
  <c r="D307" i="3"/>
  <c r="A307" i="6" s="1"/>
  <c r="E462" i="3"/>
  <c r="E787" i="3"/>
  <c r="E84" i="3"/>
  <c r="D430" i="3"/>
  <c r="A430" i="6" s="1"/>
  <c r="E160" i="3"/>
  <c r="E827" i="3"/>
  <c r="D435" i="3"/>
  <c r="A435" i="6" s="1"/>
  <c r="E123" i="3"/>
  <c r="E991" i="3"/>
  <c r="E373" i="3"/>
  <c r="E1033" i="3"/>
  <c r="D700" i="3"/>
  <c r="E442" i="3"/>
  <c r="E21" i="3"/>
  <c r="E961" i="3"/>
  <c r="E319" i="3"/>
  <c r="D231" i="3"/>
  <c r="D429" i="3"/>
  <c r="D803" i="3"/>
  <c r="E422" i="3"/>
  <c r="D195" i="3"/>
  <c r="D537" i="3"/>
  <c r="A537" i="6" s="1"/>
  <c r="E454" i="3"/>
  <c r="D90" i="3"/>
  <c r="A90" i="6" s="1"/>
  <c r="D903" i="3"/>
  <c r="D731" i="3"/>
  <c r="E1093" i="3"/>
  <c r="D34" i="3"/>
  <c r="E337" i="3"/>
  <c r="E696" i="3"/>
  <c r="D567" i="3"/>
  <c r="A567" i="6" s="1"/>
  <c r="E861" i="3"/>
  <c r="D860" i="3"/>
  <c r="E635" i="3"/>
  <c r="D1016" i="3"/>
  <c r="D268" i="3"/>
  <c r="E723" i="3"/>
  <c r="D140" i="3"/>
  <c r="A140" i="6" s="1"/>
  <c r="E507" i="3"/>
  <c r="D260" i="3"/>
  <c r="D1058" i="3"/>
  <c r="E624" i="3"/>
  <c r="D187" i="3"/>
  <c r="E994" i="3"/>
  <c r="D520" i="3"/>
  <c r="A520" i="6" s="1"/>
  <c r="E488" i="3"/>
  <c r="D142" i="3"/>
  <c r="E941" i="3"/>
  <c r="D940" i="3"/>
  <c r="E253" i="3"/>
  <c r="D705" i="3"/>
  <c r="D1094" i="3"/>
  <c r="D359" i="3"/>
  <c r="D670" i="3"/>
  <c r="A670" i="6" s="1"/>
  <c r="D242" i="3"/>
  <c r="D602" i="3"/>
  <c r="E228" i="3"/>
  <c r="E874" i="3"/>
  <c r="E717" i="3"/>
  <c r="E111" i="3"/>
  <c r="E273" i="3"/>
  <c r="D240" i="3"/>
  <c r="A240" i="6" s="1"/>
  <c r="E637" i="3"/>
  <c r="D261" i="3"/>
  <c r="A261" i="6" s="1"/>
  <c r="E688" i="3"/>
  <c r="D895" i="3"/>
  <c r="A895" i="6" s="1"/>
  <c r="D82" i="3"/>
  <c r="D344" i="3"/>
  <c r="D811" i="3"/>
  <c r="D35" i="3"/>
  <c r="A35" i="6" s="1"/>
  <c r="E989" i="3"/>
  <c r="D988" i="3"/>
  <c r="A988" i="6" s="1"/>
  <c r="D276" i="3"/>
  <c r="D753" i="3"/>
  <c r="A753" i="6" s="1"/>
  <c r="D718" i="3"/>
  <c r="E255" i="3"/>
  <c r="E68" i="3"/>
  <c r="E58" i="3"/>
  <c r="D76" i="3"/>
  <c r="A76" i="6" s="1"/>
  <c r="E834" i="3"/>
  <c r="D491" i="3"/>
  <c r="E1084" i="3"/>
  <c r="D717" i="3"/>
  <c r="A717" i="6" s="1"/>
  <c r="D310" i="3"/>
  <c r="E397" i="3"/>
  <c r="E47" i="3"/>
  <c r="D459" i="3"/>
  <c r="E697" i="3"/>
  <c r="D1019" i="3"/>
  <c r="D306" i="3"/>
  <c r="E139" i="3"/>
  <c r="E311" i="3"/>
  <c r="D1073" i="3"/>
  <c r="D798" i="3"/>
  <c r="D786" i="3"/>
  <c r="D1021" i="3"/>
  <c r="A1021" i="6" s="1"/>
  <c r="E992" i="3"/>
  <c r="D293" i="3"/>
  <c r="A293" i="6" s="1"/>
  <c r="E392" i="3"/>
  <c r="D774" i="3"/>
  <c r="A774" i="6" s="1"/>
  <c r="E220" i="3"/>
  <c r="D209" i="3"/>
  <c r="A209" i="6" s="1"/>
  <c r="D175" i="3"/>
  <c r="D881" i="3"/>
  <c r="E193" i="3"/>
  <c r="D224" i="3"/>
  <c r="D521" i="3"/>
  <c r="D74" i="3"/>
  <c r="D887" i="3"/>
  <c r="A887" i="6" s="1"/>
  <c r="E710" i="3"/>
  <c r="E1091" i="3"/>
  <c r="D678" i="3"/>
  <c r="D757" i="3"/>
  <c r="E296" i="3"/>
  <c r="D722" i="3"/>
  <c r="D285" i="3"/>
  <c r="E341" i="3"/>
  <c r="D328" i="3"/>
  <c r="D785" i="3"/>
  <c r="D642" i="3"/>
  <c r="A642" i="6" s="1"/>
  <c r="D816" i="3"/>
  <c r="D111" i="3"/>
  <c r="E306" i="3"/>
  <c r="D671" i="3"/>
  <c r="D438" i="3"/>
  <c r="E978" i="3"/>
  <c r="E609" i="3"/>
  <c r="D118" i="3"/>
  <c r="D882" i="3"/>
  <c r="D863" i="3"/>
  <c r="E990" i="3"/>
  <c r="D937" i="3"/>
  <c r="A937" i="6" s="1"/>
  <c r="D621" i="3"/>
  <c r="D958" i="3"/>
  <c r="E226" i="3"/>
  <c r="E648" i="3"/>
  <c r="D659" i="3"/>
  <c r="A659" i="6" s="1"/>
  <c r="D517" i="3"/>
  <c r="E195" i="3"/>
  <c r="D294" i="3"/>
  <c r="E571" i="3"/>
  <c r="D273" i="3"/>
  <c r="D900" i="3"/>
  <c r="A900" i="6" s="1"/>
  <c r="D286" i="3"/>
  <c r="A286" i="6" s="1"/>
  <c r="E387" i="3"/>
  <c r="D1063" i="3"/>
  <c r="A1063" i="6" s="1"/>
  <c r="D800" i="3"/>
  <c r="D84" i="3"/>
  <c r="E975" i="3"/>
  <c r="D419" i="3"/>
  <c r="A419" i="6" s="1"/>
  <c r="E811" i="3"/>
  <c r="E832" i="3"/>
  <c r="E363" i="3"/>
  <c r="D337" i="3"/>
  <c r="E737" i="3"/>
  <c r="D1045" i="3"/>
  <c r="A1045" i="6" s="1"/>
  <c r="D270" i="3"/>
  <c r="A270" i="6" s="1"/>
  <c r="D829" i="3"/>
  <c r="E230" i="3"/>
  <c r="D97" i="3"/>
  <c r="E1015" i="3"/>
  <c r="E486" i="3"/>
  <c r="E46" i="3"/>
  <c r="D450" i="3"/>
  <c r="A450" i="6" s="1"/>
  <c r="D171" i="3"/>
  <c r="D539" i="3"/>
  <c r="E470" i="3"/>
  <c r="E62" i="3"/>
  <c r="E983" i="3"/>
  <c r="E350" i="3"/>
  <c r="E912" i="3"/>
  <c r="D1077" i="3"/>
  <c r="A1077" i="6" s="1"/>
  <c r="D318" i="3"/>
  <c r="D396" i="3"/>
  <c r="A396" i="6" s="1"/>
  <c r="D588" i="3"/>
  <c r="E702" i="3"/>
  <c r="D936" i="3"/>
  <c r="E217" i="3"/>
  <c r="E216" i="3"/>
  <c r="E808" i="3"/>
  <c r="D186" i="3"/>
  <c r="E43" i="3"/>
  <c r="E238" i="3"/>
  <c r="E671" i="3"/>
  <c r="D387" i="3"/>
  <c r="A387" i="6" s="1"/>
  <c r="E291" i="3"/>
  <c r="E590" i="3"/>
  <c r="E604" i="3"/>
  <c r="D1038" i="3"/>
  <c r="E985" i="3"/>
  <c r="D572" i="3"/>
  <c r="E686" i="3"/>
  <c r="D920" i="3"/>
  <c r="E201" i="3"/>
  <c r="D616" i="3"/>
  <c r="E945" i="3"/>
  <c r="E241" i="3"/>
  <c r="D208" i="3"/>
  <c r="A208" i="6" s="1"/>
  <c r="E102" i="3"/>
  <c r="E720" i="3"/>
  <c r="D927" i="3"/>
  <c r="E157" i="3"/>
  <c r="D831" i="3"/>
  <c r="D761" i="3"/>
  <c r="A761" i="6" s="1"/>
  <c r="D1079" i="3"/>
  <c r="A1079" i="6" s="1"/>
  <c r="E380" i="3"/>
  <c r="E854" i="3"/>
  <c r="D126" i="3"/>
  <c r="A126" i="6" s="1"/>
  <c r="D499" i="3"/>
  <c r="E891" i="3"/>
  <c r="D58" i="3"/>
  <c r="E491" i="3"/>
  <c r="D290" i="3"/>
  <c r="E56" i="3"/>
  <c r="E701" i="3"/>
  <c r="D645" i="3"/>
  <c r="A645" i="6" s="1"/>
  <c r="D343" i="3"/>
  <c r="D1070" i="3"/>
  <c r="A1070" i="6" s="1"/>
  <c r="D689" i="3"/>
  <c r="E237" i="3"/>
  <c r="D924" i="3"/>
  <c r="A924" i="6" s="1"/>
  <c r="E925" i="3"/>
  <c r="D103" i="3"/>
  <c r="D1003" i="3"/>
  <c r="D412" i="3"/>
  <c r="E568" i="3"/>
  <c r="E901" i="3"/>
  <c r="D212" i="3"/>
  <c r="E453" i="3"/>
  <c r="D883" i="3"/>
  <c r="A883" i="6" s="1"/>
  <c r="E166" i="3"/>
  <c r="D428" i="3"/>
  <c r="A428" i="6" s="1"/>
  <c r="E1046" i="3"/>
  <c r="D141" i="3"/>
  <c r="E361" i="3"/>
  <c r="E1072" i="3"/>
  <c r="D282" i="3"/>
  <c r="D541" i="3"/>
  <c r="D737" i="3"/>
  <c r="A737" i="6" s="1"/>
  <c r="D391" i="3"/>
  <c r="D702" i="3"/>
  <c r="E551" i="3"/>
  <c r="E828" i="3"/>
  <c r="D558" i="3"/>
  <c r="A558" i="6" s="1"/>
  <c r="E1000" i="3"/>
  <c r="D193" i="3"/>
  <c r="D929" i="3"/>
  <c r="E735" i="3"/>
  <c r="E213" i="3"/>
  <c r="E297" i="3"/>
  <c r="E1007" i="3"/>
  <c r="E831" i="3"/>
  <c r="D870" i="3"/>
  <c r="A870" i="6" s="1"/>
  <c r="D704" i="3"/>
  <c r="A704" i="6" s="1"/>
  <c r="E455" i="3"/>
  <c r="D449" i="3"/>
  <c r="E96" i="3"/>
  <c r="E499" i="3"/>
  <c r="D156" i="3"/>
  <c r="D106" i="3"/>
  <c r="E817" i="3"/>
  <c r="E550" i="3"/>
  <c r="E516" i="3"/>
  <c r="D269" i="3"/>
  <c r="E775" i="3"/>
  <c r="E785" i="3"/>
  <c r="D677" i="3"/>
  <c r="E731" i="3"/>
  <c r="E1043" i="3"/>
  <c r="D960" i="3"/>
  <c r="A960" i="6" s="1"/>
  <c r="D123" i="3"/>
  <c r="E1030" i="3"/>
  <c r="D618" i="3"/>
  <c r="A618" i="6" s="1"/>
  <c r="E258" i="3"/>
  <c r="D226" i="3"/>
  <c r="A226" i="6" s="1"/>
  <c r="D586" i="3"/>
  <c r="E212" i="3"/>
  <c r="E986" i="3"/>
  <c r="E136" i="3"/>
  <c r="E517" i="3"/>
  <c r="E963" i="3"/>
  <c r="D954" i="3"/>
  <c r="A954" i="6" s="1"/>
  <c r="D965" i="3"/>
  <c r="D179" i="3"/>
  <c r="A179" i="6" s="1"/>
  <c r="E508" i="3"/>
  <c r="D345" i="3"/>
  <c r="E621" i="3"/>
  <c r="E514" i="3"/>
  <c r="D872" i="3"/>
  <c r="A872" i="6" s="1"/>
  <c r="D568" i="3"/>
  <c r="A568" i="6" s="1"/>
  <c r="D512" i="3"/>
  <c r="D781" i="3"/>
  <c r="D210" i="3"/>
  <c r="E536" i="3"/>
  <c r="D570" i="3"/>
  <c r="E196" i="3"/>
  <c r="D225" i="3"/>
  <c r="A225" i="6" s="1"/>
  <c r="D229" i="3"/>
  <c r="E352" i="3"/>
  <c r="D372" i="3"/>
  <c r="A372" i="6" s="1"/>
  <c r="E332" i="3"/>
  <c r="D780" i="3"/>
  <c r="E806" i="3"/>
  <c r="D451" i="3"/>
  <c r="A451" i="6" s="1"/>
  <c r="E843" i="3"/>
  <c r="D357" i="3"/>
  <c r="E1056" i="3"/>
  <c r="D1066" i="3"/>
  <c r="E693" i="3"/>
  <c r="D93" i="3"/>
  <c r="A93" i="6" s="1"/>
  <c r="E1010" i="3"/>
  <c r="D544" i="3"/>
  <c r="E97" i="3"/>
  <c r="E382" i="3"/>
  <c r="E859" i="3"/>
  <c r="D467" i="3"/>
  <c r="E822" i="3"/>
  <c r="D796" i="3"/>
  <c r="A796" i="6" s="1"/>
  <c r="E348" i="3"/>
  <c r="D37" i="3"/>
  <c r="A37" i="6" s="1"/>
  <c r="D729" i="3"/>
  <c r="E244" i="3"/>
  <c r="D606" i="3"/>
  <c r="A606" i="6" s="1"/>
  <c r="E298" i="3"/>
  <c r="E468" i="3"/>
  <c r="E359" i="3"/>
  <c r="D658" i="3"/>
  <c r="D832" i="3"/>
  <c r="A832" i="6" s="1"/>
  <c r="D347" i="3"/>
  <c r="E706" i="3"/>
  <c r="D214" i="3"/>
  <c r="A214" i="6" s="1"/>
  <c r="D636" i="3"/>
  <c r="A636" i="6" s="1"/>
  <c r="D1009" i="3"/>
  <c r="E646" i="3"/>
  <c r="D303" i="3"/>
  <c r="A303" i="6" s="1"/>
  <c r="E518" i="3"/>
  <c r="D1015" i="3"/>
  <c r="A1015" i="6" s="1"/>
  <c r="D291" i="3"/>
  <c r="A291" i="6" s="1"/>
  <c r="E144" i="3"/>
  <c r="D592" i="3"/>
  <c r="A592" i="6" s="1"/>
  <c r="E289" i="3"/>
  <c r="D256" i="3"/>
  <c r="A256" i="6" s="1"/>
  <c r="E841" i="3"/>
  <c r="E183" i="3"/>
  <c r="E522" i="3"/>
  <c r="D543" i="3"/>
  <c r="A543" i="6" s="1"/>
  <c r="E189" i="3"/>
  <c r="D1080" i="3"/>
  <c r="D348" i="3"/>
  <c r="A348" i="6" s="1"/>
  <c r="D101" i="3"/>
  <c r="A101" i="6" s="1"/>
  <c r="E668" i="3"/>
  <c r="D923" i="3"/>
  <c r="A923" i="6" s="1"/>
  <c r="D944" i="3"/>
  <c r="E1017" i="3"/>
  <c r="E625" i="3"/>
  <c r="D333" i="3"/>
  <c r="E24" i="3"/>
  <c r="D88" i="3"/>
  <c r="A88" i="6" s="1"/>
  <c r="E1069" i="3"/>
  <c r="D762" i="3"/>
  <c r="A762" i="6" s="1"/>
  <c r="D292" i="3"/>
  <c r="A292" i="6" s="1"/>
  <c r="D301" i="3"/>
  <c r="E1078" i="3"/>
  <c r="E69" i="3"/>
  <c r="E944" i="3"/>
  <c r="D278" i="3"/>
  <c r="A278" i="6" s="1"/>
  <c r="D385" i="3"/>
  <c r="A385" i="6" s="1"/>
  <c r="E633" i="3"/>
  <c r="D1055" i="3"/>
  <c r="D330" i="3"/>
  <c r="A330" i="6" s="1"/>
  <c r="D1005" i="3"/>
  <c r="A1005" i="6" s="1"/>
  <c r="E578" i="3"/>
  <c r="D1087" i="3"/>
  <c r="A1087" i="6" s="1"/>
  <c r="D679" i="3"/>
  <c r="D647" i="3"/>
  <c r="D144" i="3"/>
  <c r="E1026" i="3"/>
  <c r="E431" i="3"/>
  <c r="D398" i="3"/>
  <c r="D629" i="3"/>
  <c r="A629" i="6" s="1"/>
  <c r="D725" i="3"/>
  <c r="A725" i="6" s="1"/>
  <c r="D690" i="3"/>
  <c r="E302" i="3"/>
  <c r="E864" i="3"/>
  <c r="E1082" i="3"/>
  <c r="E395" i="3"/>
  <c r="D369" i="3"/>
  <c r="E653" i="3"/>
  <c r="E769" i="3"/>
  <c r="D314" i="3"/>
  <c r="E946" i="3"/>
  <c r="E484" i="3"/>
  <c r="D445" i="3"/>
  <c r="D852" i="3"/>
  <c r="A852" i="6" s="1"/>
  <c r="E464" i="3"/>
  <c r="D814" i="3"/>
  <c r="A814" i="6" s="1"/>
  <c r="E1034" i="3"/>
  <c r="E186" i="3"/>
  <c r="D601" i="3"/>
  <c r="D532" i="3"/>
  <c r="A532" i="6" s="1"/>
  <c r="D501" i="3"/>
  <c r="A501" i="6" s="1"/>
  <c r="D623" i="3"/>
  <c r="E821" i="3"/>
  <c r="D127" i="3"/>
  <c r="D564" i="3"/>
  <c r="A564" i="6" s="1"/>
  <c r="E36" i="3"/>
  <c r="E260" i="3"/>
  <c r="D1028" i="3"/>
  <c r="D666" i="3"/>
  <c r="D272" i="3"/>
  <c r="E277" i="3"/>
  <c r="E401" i="3"/>
  <c r="D323" i="3"/>
  <c r="A323" i="6" s="1"/>
  <c r="E494" i="3"/>
  <c r="E554" i="3"/>
  <c r="D617" i="3"/>
  <c r="A617" i="6" s="1"/>
  <c r="D830" i="3"/>
  <c r="E480" i="3"/>
  <c r="D167" i="3"/>
  <c r="D809" i="3"/>
  <c r="E862" i="3"/>
  <c r="D362" i="3"/>
  <c r="E103" i="3"/>
  <c r="D668" i="3"/>
  <c r="E409" i="3"/>
  <c r="E844" i="3"/>
  <c r="D574" i="3"/>
  <c r="D969" i="3"/>
  <c r="A969" i="6" s="1"/>
  <c r="D990" i="3"/>
  <c r="A990" i="6" s="1"/>
  <c r="D691" i="3"/>
  <c r="D566" i="3"/>
  <c r="E614" i="3"/>
  <c r="D488" i="3"/>
  <c r="E285" i="3"/>
  <c r="E709" i="3"/>
  <c r="E1076" i="3"/>
  <c r="D747" i="3"/>
  <c r="D50" i="3"/>
  <c r="E353" i="3"/>
  <c r="E712" i="3"/>
  <c r="D436" i="3"/>
  <c r="E477" i="3"/>
  <c r="E656" i="3"/>
  <c r="D587" i="3"/>
  <c r="A587" i="6" s="1"/>
  <c r="D216" i="3"/>
  <c r="A216" i="6" s="1"/>
  <c r="E557" i="3"/>
  <c r="D563" i="3"/>
  <c r="D808" i="3"/>
  <c r="A808" i="6" s="1"/>
  <c r="E267" i="3"/>
  <c r="E601" i="3"/>
  <c r="D184" i="3"/>
  <c r="A184" i="6" s="1"/>
  <c r="D448" i="3"/>
  <c r="A448" i="6" s="1"/>
  <c r="D1011" i="3"/>
  <c r="A1011" i="6" s="1"/>
  <c r="E251" i="3"/>
  <c r="E607" i="3"/>
  <c r="D368" i="3"/>
  <c r="D406" i="3"/>
  <c r="D411" i="3"/>
  <c r="A411" i="6" s="1"/>
  <c r="D486" i="3"/>
  <c r="E542" i="3"/>
  <c r="E652" i="3"/>
  <c r="E246" i="3"/>
  <c r="D845" i="3"/>
  <c r="E612" i="3"/>
  <c r="D516" i="3"/>
  <c r="A516" i="6" s="1"/>
  <c r="E1088" i="3"/>
  <c r="E1016" i="3"/>
  <c r="E530" i="3"/>
  <c r="E829" i="3"/>
  <c r="D828" i="3"/>
  <c r="D638" i="3"/>
  <c r="E750" i="3"/>
  <c r="D984" i="3"/>
  <c r="A984" i="6" s="1"/>
  <c r="E265" i="3"/>
  <c r="E691" i="3"/>
  <c r="E881" i="3"/>
  <c r="D215" i="3"/>
  <c r="E880" i="3"/>
  <c r="E1036" i="3"/>
  <c r="E347" i="3"/>
  <c r="D321" i="3"/>
  <c r="A321" i="6" s="1"/>
  <c r="E721" i="3"/>
  <c r="E391" i="3"/>
  <c r="D941" i="3"/>
  <c r="A941" i="6" s="1"/>
  <c r="D1068" i="3"/>
  <c r="D250" i="3"/>
  <c r="D222" i="3"/>
  <c r="D651" i="3"/>
  <c r="E495" i="3"/>
  <c r="D279" i="3"/>
  <c r="A279" i="6" s="1"/>
  <c r="D166" i="3"/>
  <c r="A166" i="6" s="1"/>
  <c r="E534" i="3"/>
  <c r="D575" i="3"/>
  <c r="D1046" i="3"/>
  <c r="E613" i="3"/>
  <c r="E768" i="3"/>
  <c r="D975" i="3"/>
  <c r="A975" i="6" s="1"/>
  <c r="D132" i="3"/>
  <c r="E433" i="3"/>
  <c r="D468" i="3"/>
  <c r="E66" i="3"/>
  <c r="E871" i="3"/>
  <c r="D844" i="3"/>
  <c r="E845" i="3"/>
  <c r="D551" i="3"/>
  <c r="D1092" i="3"/>
  <c r="D775" i="3"/>
  <c r="D643" i="3"/>
  <c r="A643" i="6" s="1"/>
  <c r="E1025" i="3"/>
  <c r="D474" i="3"/>
  <c r="A474" i="6" s="1"/>
  <c r="D244" i="3"/>
  <c r="E933" i="3"/>
  <c r="D634" i="3"/>
  <c r="A634" i="6" s="1"/>
  <c r="E600" i="3"/>
  <c r="E429" i="3"/>
  <c r="E1004" i="3"/>
  <c r="E689" i="3"/>
  <c r="E681" i="3"/>
  <c r="D1051" i="3"/>
  <c r="A1051" i="6" s="1"/>
  <c r="D55" i="3"/>
  <c r="A55" i="6" s="1"/>
  <c r="E641" i="3"/>
  <c r="D87" i="3"/>
  <c r="A87" i="6" s="1"/>
  <c r="E456" i="3"/>
  <c r="E169" i="3"/>
  <c r="D978" i="3"/>
  <c r="D577" i="3"/>
  <c r="A577" i="6" s="1"/>
  <c r="E365" i="3"/>
  <c r="D24" i="3"/>
  <c r="E489" i="3"/>
  <c r="D527" i="3"/>
  <c r="E74" i="3"/>
  <c r="E919" i="3"/>
  <c r="D545" i="3"/>
  <c r="A545" i="6" s="1"/>
  <c r="D509" i="3"/>
  <c r="A509" i="6" s="1"/>
  <c r="D562" i="3"/>
  <c r="E940" i="3"/>
  <c r="E362" i="3"/>
  <c r="D648" i="3"/>
  <c r="A648" i="6" s="1"/>
  <c r="E856" i="3"/>
  <c r="D235" i="3"/>
  <c r="A235" i="6" s="1"/>
  <c r="E890" i="3"/>
  <c r="E867" i="3"/>
  <c r="D858" i="3"/>
  <c r="D869" i="3"/>
  <c r="E148" i="3"/>
  <c r="E412" i="3"/>
  <c r="D950" i="3"/>
  <c r="E649" i="3"/>
  <c r="D932" i="3"/>
  <c r="A932" i="6" s="1"/>
  <c r="D386" i="3"/>
  <c r="A386" i="6" s="1"/>
  <c r="E916" i="3"/>
  <c r="E524" i="3"/>
  <c r="E231" i="3"/>
  <c r="E929" i="3"/>
  <c r="D354" i="3"/>
  <c r="E884" i="3"/>
  <c r="E970" i="3"/>
  <c r="E947" i="3"/>
  <c r="D938" i="3"/>
  <c r="A938" i="6" s="1"/>
  <c r="D112" i="3"/>
  <c r="E716" i="3"/>
  <c r="D971" i="3"/>
  <c r="E71" i="3"/>
  <c r="D758" i="3"/>
  <c r="A758" i="6" s="1"/>
  <c r="D49" i="3"/>
  <c r="E376" i="3"/>
  <c r="E52" i="3"/>
  <c r="D489" i="3"/>
  <c r="D919" i="3"/>
  <c r="E809" i="3"/>
  <c r="E471" i="3"/>
  <c r="D465" i="3"/>
  <c r="E112" i="3"/>
  <c r="E1061" i="3"/>
  <c r="D380" i="3"/>
  <c r="E700" i="3"/>
  <c r="D955" i="3"/>
  <c r="E388" i="3"/>
  <c r="D108" i="3"/>
  <c r="D834" i="3"/>
  <c r="A834" i="6" s="1"/>
  <c r="E740" i="3"/>
  <c r="E221" i="3"/>
  <c r="D673" i="3"/>
  <c r="A673" i="6" s="1"/>
  <c r="E1023" i="3"/>
  <c r="D327" i="3"/>
  <c r="E771" i="3"/>
  <c r="D198" i="3"/>
  <c r="E1038" i="3"/>
  <c r="E271" i="3"/>
  <c r="E595" i="3"/>
  <c r="E936" i="3"/>
  <c r="E117" i="3"/>
  <c r="E631" i="3"/>
  <c r="D847" i="3"/>
  <c r="A847" i="6" s="1"/>
  <c r="E173" i="3"/>
  <c r="D943" i="3"/>
  <c r="E736" i="3"/>
  <c r="D535" i="3"/>
  <c r="A535" i="6" s="1"/>
  <c r="D89" i="3"/>
  <c r="E911" i="3"/>
  <c r="D763" i="3"/>
  <c r="E369" i="3"/>
  <c r="E728" i="3"/>
  <c r="D864" i="3"/>
  <c r="A864" i="6" s="1"/>
  <c r="D1082" i="3"/>
  <c r="A1082" i="6" s="1"/>
  <c r="D379" i="3"/>
  <c r="A379" i="6" s="1"/>
  <c r="E738" i="3"/>
  <c r="E1071" i="3"/>
  <c r="E679" i="3"/>
  <c r="E504" i="3"/>
  <c r="D169" i="3"/>
  <c r="E153" i="3"/>
  <c r="D991" i="3"/>
  <c r="A991" i="6" s="1"/>
  <c r="D148" i="3"/>
  <c r="E449" i="3"/>
  <c r="D439" i="3"/>
  <c r="A439" i="6" s="1"/>
  <c r="E863" i="3"/>
  <c r="E918" i="3"/>
  <c r="D80" i="3"/>
  <c r="E955" i="3"/>
  <c r="D692" i="3"/>
  <c r="D983" i="3"/>
  <c r="E816" i="3"/>
  <c r="E972" i="3"/>
  <c r="E394" i="3"/>
  <c r="D1089" i="3"/>
  <c r="E327" i="3"/>
  <c r="D877" i="3"/>
  <c r="A877" i="6" s="1"/>
  <c r="D205" i="3"/>
  <c r="A205" i="6" s="1"/>
  <c r="E574" i="3"/>
  <c r="D25" i="3"/>
  <c r="E354" i="3"/>
  <c r="D719" i="3"/>
  <c r="D422" i="3"/>
  <c r="A422" i="6" s="1"/>
  <c r="D277" i="3"/>
  <c r="A277" i="6" s="1"/>
  <c r="E89" i="3"/>
  <c r="E575" i="3"/>
  <c r="E219" i="3"/>
  <c r="D979" i="3"/>
  <c r="D416" i="3"/>
  <c r="D152" i="3"/>
  <c r="E675" i="3"/>
  <c r="E663" i="3"/>
  <c r="E360" i="3"/>
  <c r="D33" i="3"/>
  <c r="D710" i="3"/>
  <c r="A710" i="6" s="1"/>
  <c r="E50" i="3"/>
  <c r="E328" i="3"/>
  <c r="D754" i="3"/>
  <c r="E366" i="3"/>
  <c r="E928" i="3"/>
  <c r="D1093" i="3"/>
  <c r="D334" i="3"/>
  <c r="A334" i="6" s="1"/>
  <c r="D696" i="3"/>
  <c r="A696" i="6" s="1"/>
  <c r="D28" i="3"/>
  <c r="D378" i="3"/>
  <c r="A378" i="6" s="1"/>
  <c r="E118" i="3"/>
  <c r="E882" i="3"/>
  <c r="E424" i="3"/>
  <c r="E143" i="3"/>
  <c r="E83" i="3"/>
  <c r="D85" i="3"/>
  <c r="A85" i="6" s="1"/>
  <c r="D641" i="3"/>
  <c r="D907" i="3"/>
  <c r="A907" i="6" s="1"/>
  <c r="E726" i="3"/>
  <c r="D694" i="3"/>
  <c r="D773" i="3"/>
  <c r="E34" i="3"/>
  <c r="E312" i="3"/>
  <c r="D738" i="3"/>
  <c r="D243" i="3"/>
  <c r="D613" i="3"/>
  <c r="D804" i="3"/>
  <c r="A804" i="6" s="1"/>
  <c r="D223" i="3"/>
  <c r="A223" i="6" s="1"/>
  <c r="D281" i="3"/>
  <c r="E547" i="3"/>
  <c r="E888" i="3"/>
  <c r="E894" i="3"/>
  <c r="D841" i="3"/>
  <c r="A841" i="6" s="1"/>
  <c r="E512" i="3"/>
  <c r="D862" i="3"/>
  <c r="A862" i="6" s="1"/>
  <c r="E586" i="3"/>
  <c r="D204" i="3"/>
  <c r="D794" i="3"/>
  <c r="A794" i="6" s="1"/>
  <c r="E326" i="3"/>
  <c r="E405" i="3"/>
  <c r="E152" i="3"/>
  <c r="E1002" i="3"/>
  <c r="E904" i="3"/>
  <c r="E563" i="3"/>
  <c r="D239" i="3"/>
  <c r="E966" i="3"/>
  <c r="D121" i="3"/>
  <c r="A121" i="6" s="1"/>
  <c r="E315" i="3"/>
  <c r="D1035" i="3"/>
  <c r="A1035" i="6" s="1"/>
  <c r="D902" i="3"/>
  <c r="A902" i="6" s="1"/>
  <c r="E421" i="3"/>
  <c r="D851" i="3"/>
  <c r="E134" i="3"/>
  <c r="E178" i="3"/>
  <c r="E777" i="3"/>
  <c r="E482" i="3"/>
  <c r="D807" i="3"/>
  <c r="D1060" i="3"/>
  <c r="D698" i="3"/>
  <c r="E245" i="3"/>
  <c r="E749" i="3"/>
  <c r="D400" i="3"/>
  <c r="E374" i="3"/>
  <c r="E357" i="3"/>
  <c r="E1066" i="3"/>
  <c r="D727" i="3"/>
  <c r="A727" i="6" s="1"/>
  <c r="E572" i="3"/>
  <c r="E953" i="3"/>
  <c r="D540" i="3"/>
  <c r="D888" i="3"/>
  <c r="D584" i="3"/>
  <c r="D136" i="3"/>
  <c r="E41" i="3"/>
  <c r="E218" i="3"/>
  <c r="E176" i="3"/>
  <c r="D817" i="3"/>
  <c r="E159" i="3"/>
  <c r="D456" i="3"/>
  <c r="E142" i="3"/>
  <c r="D20" i="3"/>
  <c r="A20" i="6" s="1"/>
  <c r="D26" i="3"/>
  <c r="D143" i="3"/>
  <c r="A143" i="6" s="1"/>
  <c r="D849" i="3"/>
  <c r="E275" i="3"/>
  <c r="D125" i="3"/>
  <c r="A125" i="6" s="1"/>
  <c r="E813" i="3"/>
  <c r="D812" i="3"/>
  <c r="D620" i="3"/>
  <c r="A620" i="6" s="1"/>
  <c r="E915" i="3"/>
  <c r="D906" i="3"/>
  <c r="A906" i="6" s="1"/>
  <c r="D917" i="3"/>
  <c r="A917" i="6" s="1"/>
  <c r="E127" i="3"/>
  <c r="E460" i="3"/>
  <c r="E644" i="3"/>
  <c r="D998" i="3"/>
  <c r="E478" i="3"/>
  <c r="E100" i="3"/>
  <c r="D446" i="3"/>
  <c r="D490" i="3"/>
  <c r="E1027" i="3"/>
  <c r="D749" i="3"/>
  <c r="A749" i="6" s="1"/>
  <c r="D1037" i="3"/>
  <c r="A1037" i="6" s="1"/>
  <c r="E630" i="3"/>
  <c r="E623" i="3"/>
  <c r="E922" i="3"/>
  <c r="E899" i="3"/>
  <c r="D890" i="3"/>
  <c r="A890" i="6" s="1"/>
  <c r="D901" i="3"/>
  <c r="E180" i="3"/>
  <c r="E444" i="3"/>
  <c r="E628" i="3"/>
  <c r="D982" i="3"/>
  <c r="E282" i="3"/>
  <c r="D397" i="3"/>
  <c r="E339" i="3"/>
  <c r="E1028" i="3"/>
  <c r="E393" i="3"/>
  <c r="E199" i="3"/>
  <c r="D1081" i="3"/>
  <c r="D1053" i="3"/>
  <c r="A1053" i="6" s="1"/>
  <c r="D802" i="3"/>
  <c r="E776" i="3"/>
  <c r="E67" i="3"/>
  <c r="D683" i="3"/>
  <c r="A683" i="6" s="1"/>
  <c r="D1025" i="3"/>
  <c r="E51" i="3"/>
  <c r="E288" i="3"/>
  <c r="D633" i="3"/>
  <c r="A633" i="6" s="1"/>
  <c r="D538" i="3"/>
  <c r="A538" i="6" s="1"/>
  <c r="E461" i="3"/>
  <c r="E124" i="3"/>
  <c r="D730" i="3"/>
  <c r="D1020" i="3"/>
  <c r="A1020" i="6" s="1"/>
  <c r="D408" i="3"/>
  <c r="A408" i="6" s="1"/>
  <c r="E1024" i="3"/>
  <c r="D325" i="3"/>
  <c r="E1003" i="3"/>
  <c r="D522" i="3"/>
  <c r="E242" i="3"/>
  <c r="D455" i="3"/>
  <c r="E879" i="3"/>
  <c r="E934" i="3"/>
  <c r="D96" i="3"/>
  <c r="A96" i="6" s="1"/>
  <c r="E971" i="3"/>
  <c r="E713" i="3"/>
  <c r="E426" i="3"/>
  <c r="D684" i="3"/>
  <c r="A684" i="6" s="1"/>
  <c r="D29" i="3"/>
  <c r="A29" i="6" s="1"/>
  <c r="D482" i="3"/>
  <c r="D962" i="3"/>
  <c r="A962" i="6" s="1"/>
  <c r="E784" i="3"/>
  <c r="D878" i="3"/>
  <c r="E602" i="3"/>
  <c r="E552" i="3"/>
  <c r="E885" i="3"/>
  <c r="D196" i="3"/>
  <c r="A196" i="6" s="1"/>
  <c r="D43" i="3"/>
  <c r="D980" i="3"/>
  <c r="E714" i="3"/>
  <c r="E427" i="3"/>
  <c r="D1078" i="3"/>
  <c r="A1078" i="6" s="1"/>
  <c r="E156" i="3"/>
  <c r="E224" i="3"/>
  <c r="E32" i="3"/>
  <c r="E94" i="3"/>
  <c r="D376" i="3"/>
  <c r="A376" i="6" s="1"/>
  <c r="D843" i="3"/>
  <c r="A843" i="6" s="1"/>
  <c r="D992" i="3"/>
  <c r="E763" i="3"/>
  <c r="D709" i="3"/>
  <c r="D674" i="3"/>
  <c r="E252" i="3"/>
  <c r="D1026" i="3"/>
  <c r="D797" i="3"/>
  <c r="A797" i="6" s="1"/>
  <c r="E325" i="3"/>
  <c r="D1056" i="3"/>
  <c r="E467" i="3"/>
  <c r="D417" i="3"/>
  <c r="E423" i="3"/>
  <c r="D91" i="3"/>
  <c r="A91" i="6" s="1"/>
  <c r="E1074" i="3"/>
  <c r="D672" i="3"/>
  <c r="D675" i="3"/>
  <c r="D663" i="3"/>
  <c r="D1071" i="3"/>
  <c r="E1001" i="3"/>
  <c r="D529" i="3"/>
  <c r="A529" i="6" s="1"/>
  <c r="E580" i="3"/>
  <c r="D162" i="3"/>
  <c r="D442" i="3"/>
  <c r="E1095" i="3"/>
  <c r="E75" i="3"/>
  <c r="E764" i="3"/>
  <c r="D78" i="3"/>
  <c r="A78" i="6" s="1"/>
  <c r="E290" i="3"/>
  <c r="E539" i="3"/>
  <c r="E851" i="3"/>
  <c r="D842" i="3"/>
  <c r="D853" i="3"/>
  <c r="A853" i="6" s="1"/>
  <c r="E132" i="3"/>
  <c r="D934" i="3"/>
  <c r="E414" i="3"/>
  <c r="D768" i="3"/>
  <c r="D513" i="3"/>
  <c r="D146" i="3"/>
  <c r="D426" i="3"/>
  <c r="A426" i="6" s="1"/>
  <c r="D1067" i="3"/>
  <c r="D66" i="3"/>
  <c r="E187" i="3"/>
  <c r="E658" i="3"/>
  <c r="E1052" i="3"/>
  <c r="D759" i="3"/>
  <c r="E1089" i="3"/>
  <c r="E957" i="3"/>
  <c r="D956" i="3"/>
  <c r="E269" i="3"/>
  <c r="D721" i="3"/>
  <c r="D375" i="3"/>
  <c r="D686" i="3"/>
  <c r="D133" i="3"/>
  <c r="A133" i="6" s="1"/>
  <c r="E1009" i="3"/>
  <c r="E651" i="3"/>
  <c r="E367" i="3"/>
  <c r="E836" i="3"/>
  <c r="E174" i="3"/>
  <c r="E82" i="3"/>
  <c r="D528" i="3"/>
  <c r="A528" i="6" s="1"/>
  <c r="D1062" i="3"/>
  <c r="D591" i="3"/>
  <c r="A591" i="6" s="1"/>
  <c r="D182" i="3"/>
  <c r="A182" i="6" s="1"/>
  <c r="D469" i="3"/>
  <c r="A469" i="6" s="1"/>
  <c r="E798" i="3"/>
  <c r="E786" i="3"/>
  <c r="E616" i="3"/>
  <c r="D942" i="3"/>
  <c r="E73" i="3"/>
  <c r="D71" i="3"/>
  <c r="A71" i="6" s="1"/>
  <c r="E202" i="3"/>
  <c r="E1068" i="3"/>
  <c r="D605" i="3"/>
  <c r="A605" i="6" s="1"/>
  <c r="D650" i="3"/>
  <c r="A650" i="6" s="1"/>
  <c r="E162" i="3"/>
  <c r="D548" i="3"/>
  <c r="A548" i="6" s="1"/>
  <c r="E949" i="3"/>
  <c r="E210" i="3"/>
  <c r="D331" i="3"/>
  <c r="A331" i="6" s="1"/>
  <c r="D1091" i="3"/>
  <c r="A1091" i="6" s="1"/>
  <c r="D296" i="3"/>
  <c r="A296" i="6" s="1"/>
  <c r="E135" i="3"/>
  <c r="D159" i="3"/>
  <c r="E314" i="3"/>
  <c r="E309" i="3"/>
  <c r="D622" i="3"/>
  <c r="A622" i="6" s="1"/>
  <c r="E892" i="3"/>
  <c r="D766" i="3"/>
  <c r="E513" i="3"/>
  <c r="D835" i="3"/>
  <c r="A835" i="6" s="1"/>
  <c r="E79" i="3"/>
  <c r="D1023" i="3"/>
  <c r="E982" i="3"/>
  <c r="E654" i="3"/>
  <c r="E690" i="3"/>
  <c r="E765" i="3"/>
  <c r="E802" i="3"/>
  <c r="D65" i="3"/>
  <c r="A65" i="6" s="1"/>
  <c r="D627" i="3"/>
  <c r="D503" i="3"/>
  <c r="A503" i="6" s="1"/>
  <c r="D916" i="3"/>
  <c r="D779" i="3"/>
  <c r="A779" i="6" s="1"/>
  <c r="E927" i="3"/>
  <c r="E615" i="3"/>
  <c r="E632" i="3"/>
  <c r="E505" i="3"/>
  <c r="E28" i="3"/>
  <c r="D1040" i="3"/>
  <c r="A1040" i="6" s="1"/>
  <c r="E773" i="3"/>
  <c r="E10" i="2"/>
  <c r="E354" i="2"/>
  <c r="E322" i="2"/>
  <c r="E290" i="2"/>
  <c r="E258" i="2"/>
  <c r="D226" i="2"/>
  <c r="D194" i="2"/>
  <c r="E163" i="2"/>
  <c r="D131" i="2"/>
  <c r="E98" i="2"/>
  <c r="D66" i="2"/>
  <c r="E34" i="2"/>
  <c r="D44" i="2"/>
  <c r="D37" i="2"/>
  <c r="E69" i="2"/>
  <c r="E100" i="2"/>
  <c r="E132" i="2"/>
  <c r="D164" i="2"/>
  <c r="E197" i="2"/>
  <c r="E229" i="2"/>
  <c r="D261" i="2"/>
  <c r="D293" i="2"/>
  <c r="D325" i="2"/>
  <c r="D357" i="2"/>
  <c r="E39" i="2"/>
  <c r="D71" i="2"/>
  <c r="D102" i="2"/>
  <c r="D134" i="2"/>
  <c r="E166" i="2"/>
  <c r="D199" i="2"/>
  <c r="D231" i="2"/>
  <c r="E263" i="2"/>
  <c r="E295" i="2"/>
  <c r="E327" i="2"/>
  <c r="E359" i="2"/>
  <c r="D356" i="2"/>
  <c r="D324" i="2"/>
  <c r="D292" i="2"/>
  <c r="D260" i="2"/>
  <c r="E228" i="2"/>
  <c r="E196" i="2"/>
  <c r="D165" i="2"/>
  <c r="E133" i="2"/>
  <c r="E101" i="2"/>
  <c r="E68" i="2"/>
  <c r="E22" i="2"/>
  <c r="E352" i="2"/>
  <c r="E320" i="2"/>
  <c r="E288" i="2"/>
  <c r="E256" i="2"/>
  <c r="D224" i="2"/>
  <c r="D192" i="2"/>
  <c r="E161" i="2"/>
  <c r="D129" i="2"/>
  <c r="E96" i="2"/>
  <c r="D64" i="2"/>
  <c r="D32" i="2"/>
  <c r="D34" i="2"/>
  <c r="E31" i="2"/>
  <c r="E63" i="2"/>
  <c r="D95" i="2"/>
  <c r="E126" i="2"/>
  <c r="D158" i="2"/>
  <c r="E191" i="2"/>
  <c r="E223" i="2"/>
  <c r="D255" i="2"/>
  <c r="D287" i="2"/>
  <c r="D319" i="2"/>
  <c r="D351" i="2"/>
  <c r="E33" i="2"/>
  <c r="D65" i="2"/>
  <c r="E97" i="2"/>
  <c r="D128" i="2"/>
  <c r="E160" i="2"/>
  <c r="D193" i="2"/>
  <c r="D225" i="2"/>
  <c r="E257" i="2"/>
  <c r="E289" i="2"/>
  <c r="E321" i="2"/>
  <c r="E353" i="2"/>
  <c r="D346" i="2"/>
  <c r="D314" i="2"/>
  <c r="D282" i="2"/>
  <c r="D250" i="2"/>
  <c r="E218" i="2"/>
  <c r="E186" i="2"/>
  <c r="D155" i="2"/>
  <c r="E123" i="2"/>
  <c r="D90" i="2"/>
  <c r="E58" i="2"/>
  <c r="E366" i="2"/>
  <c r="E334" i="2"/>
  <c r="E302" i="2"/>
  <c r="E270" i="2"/>
  <c r="D238" i="2"/>
  <c r="D206" i="2"/>
  <c r="E175" i="2"/>
  <c r="D143" i="2"/>
  <c r="D111" i="2"/>
  <c r="D78" i="2"/>
  <c r="D46" i="2"/>
  <c r="D14" i="2"/>
  <c r="E12" i="2"/>
  <c r="E17" i="2"/>
  <c r="E49" i="2"/>
  <c r="E81" i="2"/>
  <c r="E112" i="2"/>
  <c r="E144" i="2"/>
  <c r="E177" i="2"/>
  <c r="E209" i="2"/>
  <c r="E241" i="2"/>
  <c r="D273" i="2"/>
  <c r="D305" i="2"/>
  <c r="D337" i="2"/>
  <c r="E35" i="2"/>
  <c r="D67" i="2"/>
  <c r="E99" i="2"/>
  <c r="D130" i="2"/>
  <c r="E162" i="2"/>
  <c r="D195" i="2"/>
  <c r="D227" i="2"/>
  <c r="E259" i="2"/>
  <c r="E291" i="2"/>
  <c r="E323" i="2"/>
  <c r="E355" i="2"/>
  <c r="D344" i="2"/>
  <c r="D312" i="2"/>
  <c r="D280" i="2"/>
  <c r="E248" i="2"/>
  <c r="E216" i="2"/>
  <c r="E184" i="2"/>
  <c r="D153" i="2"/>
  <c r="E121" i="2"/>
  <c r="D88" i="2"/>
  <c r="E56" i="2"/>
  <c r="E356" i="2"/>
  <c r="E324" i="2"/>
  <c r="E292" i="2"/>
  <c r="E260" i="2"/>
  <c r="D228" i="2"/>
  <c r="D196" i="2"/>
  <c r="E165" i="2"/>
  <c r="D133" i="2"/>
  <c r="D101" i="2"/>
  <c r="D68" i="2"/>
  <c r="E36" i="2"/>
  <c r="D40" i="2"/>
  <c r="E27" i="2"/>
  <c r="E59" i="2"/>
  <c r="D91" i="2"/>
  <c r="E122" i="2"/>
  <c r="D154" i="2"/>
  <c r="E187" i="2"/>
  <c r="E219" i="2"/>
  <c r="D251" i="2"/>
  <c r="D283" i="2"/>
  <c r="D315" i="2"/>
  <c r="D347" i="2"/>
  <c r="D21" i="2"/>
  <c r="D53" i="2"/>
  <c r="E85" i="2"/>
  <c r="D116" i="2"/>
  <c r="D148" i="2"/>
  <c r="D181" i="2"/>
  <c r="D213" i="2"/>
  <c r="D245" i="2"/>
  <c r="E277" i="2"/>
  <c r="E309" i="2"/>
  <c r="E341" i="2"/>
  <c r="E346" i="2"/>
  <c r="E314" i="2"/>
  <c r="E282" i="2"/>
  <c r="E250" i="2"/>
  <c r="D218" i="2"/>
  <c r="D186" i="2"/>
  <c r="E155" i="2"/>
  <c r="D123" i="2"/>
  <c r="E90" i="2"/>
  <c r="D58" i="2"/>
  <c r="D26" i="2"/>
  <c r="E30" i="2"/>
  <c r="E13" i="2"/>
  <c r="E45" i="2"/>
  <c r="E77" i="2"/>
  <c r="E108" i="2"/>
  <c r="E140" i="2"/>
  <c r="D172" i="2"/>
  <c r="E205" i="2"/>
  <c r="E237" i="2"/>
  <c r="D269" i="2"/>
  <c r="D301" i="2"/>
  <c r="D333" i="2"/>
  <c r="D365" i="2"/>
  <c r="D15" i="2"/>
  <c r="D47" i="2"/>
  <c r="D79" i="2"/>
  <c r="D110" i="2"/>
  <c r="D142" i="2"/>
  <c r="E174" i="2"/>
  <c r="D207" i="2"/>
  <c r="D239" i="2"/>
  <c r="E271" i="2"/>
  <c r="E303" i="2"/>
  <c r="E335" i="2"/>
  <c r="D348" i="2"/>
  <c r="D316" i="2"/>
  <c r="D284" i="2"/>
  <c r="D252" i="2"/>
  <c r="E220" i="2"/>
  <c r="E188" i="2"/>
  <c r="D157" i="2"/>
  <c r="E125" i="2"/>
  <c r="D92" i="2"/>
  <c r="E60" i="2"/>
  <c r="E344" i="2"/>
  <c r="E312" i="2"/>
  <c r="E280" i="2"/>
  <c r="D248" i="2"/>
  <c r="D216" i="2"/>
  <c r="D184" i="2"/>
  <c r="E153" i="2"/>
  <c r="D121" i="2"/>
  <c r="E88" i="2"/>
  <c r="D56" i="2"/>
  <c r="D24" i="2"/>
  <c r="E20" i="2"/>
  <c r="D39" i="2"/>
  <c r="E71" i="2"/>
  <c r="E102" i="2"/>
  <c r="E134" i="2"/>
  <c r="D166" i="2"/>
  <c r="E199" i="2"/>
  <c r="E231" i="2"/>
  <c r="D263" i="2"/>
  <c r="A263" i="5" s="1"/>
  <c r="D295" i="2"/>
  <c r="D327" i="2"/>
  <c r="D359" i="2"/>
  <c r="D9" i="2"/>
  <c r="E41" i="2"/>
  <c r="D73" i="2"/>
  <c r="D104" i="2"/>
  <c r="D136" i="2"/>
  <c r="E168" i="2"/>
  <c r="D201" i="2"/>
  <c r="D233" i="2"/>
  <c r="E265" i="2"/>
  <c r="E297" i="2"/>
  <c r="E329" i="2"/>
  <c r="E361" i="2"/>
  <c r="D354" i="2"/>
  <c r="A354" i="5" s="1"/>
  <c r="D322" i="2"/>
  <c r="A322" i="5" s="1"/>
  <c r="D290" i="2"/>
  <c r="A290" i="5" s="1"/>
  <c r="D258" i="2"/>
  <c r="A258" i="5" s="1"/>
  <c r="E226" i="2"/>
  <c r="E194" i="2"/>
  <c r="D163" i="2"/>
  <c r="A163" i="5" s="1"/>
  <c r="E131" i="2"/>
  <c r="D98" i="2"/>
  <c r="A98" i="5" s="1"/>
  <c r="E66" i="2"/>
  <c r="E16" i="2"/>
  <c r="E342" i="2"/>
  <c r="E310" i="2"/>
  <c r="E278" i="2"/>
  <c r="D246" i="2"/>
  <c r="D214" i="2"/>
  <c r="D182" i="2"/>
  <c r="D151" i="2"/>
  <c r="D119" i="2"/>
  <c r="E86" i="2"/>
  <c r="D54" i="2"/>
  <c r="D22" i="2"/>
  <c r="E25" i="2"/>
  <c r="E57" i="2"/>
  <c r="D89" i="2"/>
  <c r="E120" i="2"/>
  <c r="E152" i="2"/>
  <c r="E185" i="2"/>
  <c r="E217" i="2"/>
  <c r="D249" i="2"/>
  <c r="D281" i="2"/>
  <c r="D313" i="2"/>
  <c r="D345" i="2"/>
  <c r="D27" i="2"/>
  <c r="D59" i="2"/>
  <c r="E91" i="2"/>
  <c r="D122" i="2"/>
  <c r="E154" i="2"/>
  <c r="D187" i="2"/>
  <c r="D219" i="2"/>
  <c r="E251" i="2"/>
  <c r="E283" i="2"/>
  <c r="E315" i="2"/>
  <c r="E347" i="2"/>
  <c r="D336" i="2"/>
  <c r="D304" i="2"/>
  <c r="D272" i="2"/>
  <c r="E240" i="2"/>
  <c r="E208" i="2"/>
  <c r="E176" i="2"/>
  <c r="E145" i="2"/>
  <c r="E113" i="2"/>
  <c r="E80" i="2"/>
  <c r="E48" i="2"/>
  <c r="E364" i="2"/>
  <c r="E332" i="2"/>
  <c r="E300" i="2"/>
  <c r="E268" i="2"/>
  <c r="D236" i="2"/>
  <c r="D204" i="2"/>
  <c r="E173" i="2"/>
  <c r="D141" i="2"/>
  <c r="D109" i="2"/>
  <c r="D76" i="2"/>
  <c r="E44" i="2"/>
  <c r="D12" i="2"/>
  <c r="A12" i="5" s="1"/>
  <c r="E19" i="2"/>
  <c r="E51" i="2"/>
  <c r="D83" i="2"/>
  <c r="E114" i="2"/>
  <c r="E146" i="2"/>
  <c r="E179" i="2"/>
  <c r="E211" i="2"/>
  <c r="E243" i="2"/>
  <c r="D275" i="2"/>
  <c r="D307" i="2"/>
  <c r="D339" i="2"/>
  <c r="D29" i="2"/>
  <c r="D61" i="2"/>
  <c r="E93" i="2"/>
  <c r="D124" i="2"/>
  <c r="E156" i="2"/>
  <c r="D189" i="2"/>
  <c r="D221" i="2"/>
  <c r="E253" i="2"/>
  <c r="E285" i="2"/>
  <c r="E317" i="2"/>
  <c r="E349" i="2"/>
  <c r="D99" i="2"/>
  <c r="D162" i="2"/>
  <c r="E227" i="2"/>
  <c r="D291" i="2"/>
  <c r="D355" i="2"/>
  <c r="D13" i="2"/>
  <c r="D77" i="2"/>
  <c r="D140" i="2"/>
  <c r="D205" i="2"/>
  <c r="E269" i="2"/>
  <c r="E333" i="2"/>
  <c r="E338" i="2"/>
  <c r="E306" i="2"/>
  <c r="E274" i="2"/>
  <c r="D242" i="2"/>
  <c r="D210" i="2"/>
  <c r="D178" i="2"/>
  <c r="D147" i="2"/>
  <c r="D115" i="2"/>
  <c r="E82" i="2"/>
  <c r="D50" i="2"/>
  <c r="D18" i="2"/>
  <c r="E18" i="2"/>
  <c r="E21" i="2"/>
  <c r="E53" i="2"/>
  <c r="D85" i="2"/>
  <c r="E116" i="2"/>
  <c r="E148" i="2"/>
  <c r="E181" i="2"/>
  <c r="E213" i="2"/>
  <c r="E245" i="2"/>
  <c r="D277" i="2"/>
  <c r="D309" i="2"/>
  <c r="D341" i="2"/>
  <c r="D23" i="2"/>
  <c r="D55" i="2"/>
  <c r="E87" i="2"/>
  <c r="D118" i="2"/>
  <c r="D150" i="2"/>
  <c r="D183" i="2"/>
  <c r="D215" i="2"/>
  <c r="D247" i="2"/>
  <c r="E279" i="2"/>
  <c r="E311" i="2"/>
  <c r="E343" i="2"/>
  <c r="D340" i="2"/>
  <c r="D308" i="2"/>
  <c r="D276" i="2"/>
  <c r="E244" i="2"/>
  <c r="E212" i="2"/>
  <c r="E180" i="2"/>
  <c r="E149" i="2"/>
  <c r="E117" i="2"/>
  <c r="D84" i="2"/>
  <c r="E52" i="2"/>
  <c r="E336" i="2"/>
  <c r="E304" i="2"/>
  <c r="E272" i="2"/>
  <c r="D240" i="2"/>
  <c r="D208" i="2"/>
  <c r="D176" i="2"/>
  <c r="D145" i="2"/>
  <c r="D113" i="2"/>
  <c r="D80" i="2"/>
  <c r="D48" i="2"/>
  <c r="D16" i="2"/>
  <c r="E8" i="2"/>
  <c r="E15" i="2"/>
  <c r="E47" i="2"/>
  <c r="E79" i="2"/>
  <c r="E110" i="2"/>
  <c r="E142" i="2"/>
  <c r="D174" i="2"/>
  <c r="E207" i="2"/>
  <c r="E239" i="2"/>
  <c r="D271" i="2"/>
  <c r="D303" i="2"/>
  <c r="D335" i="2"/>
  <c r="D17" i="2"/>
  <c r="D49" i="2"/>
  <c r="D81" i="2"/>
  <c r="D112" i="2"/>
  <c r="D144" i="2"/>
  <c r="D177" i="2"/>
  <c r="D209" i="2"/>
  <c r="D241" i="2"/>
  <c r="E273" i="2"/>
  <c r="E305" i="2"/>
  <c r="E337" i="2"/>
  <c r="D362" i="2"/>
  <c r="D330" i="2"/>
  <c r="D298" i="2"/>
  <c r="D266" i="2"/>
  <c r="E234" i="2"/>
  <c r="E202" i="2"/>
  <c r="D171" i="2"/>
  <c r="E139" i="2"/>
  <c r="E107" i="2"/>
  <c r="E74" i="2"/>
  <c r="D36" i="2"/>
  <c r="E350" i="2"/>
  <c r="E318" i="2"/>
  <c r="E286" i="2"/>
  <c r="E254" i="2"/>
  <c r="D222" i="2"/>
  <c r="D190" i="2"/>
  <c r="E159" i="2"/>
  <c r="D127" i="2"/>
  <c r="E94" i="2"/>
  <c r="D62" i="2"/>
  <c r="D30" i="2"/>
  <c r="D38" i="2"/>
  <c r="D33" i="2"/>
  <c r="E65" i="2"/>
  <c r="D97" i="2"/>
  <c r="E128" i="2"/>
  <c r="D160" i="2"/>
  <c r="E193" i="2"/>
  <c r="E225" i="2"/>
  <c r="D257" i="2"/>
  <c r="D289" i="2"/>
  <c r="D321" i="2"/>
  <c r="D353" i="2"/>
  <c r="D19" i="2"/>
  <c r="D51" i="2"/>
  <c r="E83" i="2"/>
  <c r="D114" i="2"/>
  <c r="D146" i="2"/>
  <c r="D179" i="2"/>
  <c r="D211" i="2"/>
  <c r="D243" i="2"/>
  <c r="E275" i="2"/>
  <c r="E307" i="2"/>
  <c r="E339" i="2"/>
  <c r="D360" i="2"/>
  <c r="D328" i="2"/>
  <c r="D296" i="2"/>
  <c r="D264" i="2"/>
  <c r="E232" i="2"/>
  <c r="E200" i="2"/>
  <c r="D169" i="2"/>
  <c r="E137" i="2"/>
  <c r="E105" i="2"/>
  <c r="E72" i="2"/>
  <c r="E32" i="2"/>
  <c r="E340" i="2"/>
  <c r="E308" i="2"/>
  <c r="E276" i="2"/>
  <c r="D244" i="2"/>
  <c r="A244" i="5" s="1"/>
  <c r="D212" i="2"/>
  <c r="A212" i="5" s="1"/>
  <c r="D180" i="2"/>
  <c r="A180" i="5" s="1"/>
  <c r="D149" i="2"/>
  <c r="A149" i="5" s="1"/>
  <c r="D117" i="2"/>
  <c r="A117" i="5" s="1"/>
  <c r="E84" i="2"/>
  <c r="D52" i="2"/>
  <c r="A52" i="5" s="1"/>
  <c r="D20" i="2"/>
  <c r="E14" i="2"/>
  <c r="E11" i="2"/>
  <c r="D43" i="2"/>
  <c r="E75" i="2"/>
  <c r="E106" i="2"/>
  <c r="E138" i="2"/>
  <c r="D170" i="2"/>
  <c r="E203" i="2"/>
  <c r="E235" i="2"/>
  <c r="D267" i="2"/>
  <c r="D299" i="2"/>
  <c r="D331" i="2"/>
  <c r="D363" i="2"/>
  <c r="E37" i="2"/>
  <c r="D69" i="2"/>
  <c r="D100" i="2"/>
  <c r="D132" i="2"/>
  <c r="E164" i="2"/>
  <c r="D197" i="2"/>
  <c r="D229" i="2"/>
  <c r="E261" i="2"/>
  <c r="E293" i="2"/>
  <c r="E325" i="2"/>
  <c r="E357" i="2"/>
  <c r="E362" i="2"/>
  <c r="E330" i="2"/>
  <c r="E298" i="2"/>
  <c r="E266" i="2"/>
  <c r="D234" i="2"/>
  <c r="D202" i="2"/>
  <c r="E171" i="2"/>
  <c r="D139" i="2"/>
  <c r="D107" i="2"/>
  <c r="D74" i="2"/>
  <c r="E42" i="2"/>
  <c r="D10" i="2"/>
  <c r="E29" i="2"/>
  <c r="E61" i="2"/>
  <c r="D93" i="2"/>
  <c r="E124" i="2"/>
  <c r="D156" i="2"/>
  <c r="E189" i="2"/>
  <c r="E221" i="2"/>
  <c r="D253" i="2"/>
  <c r="D285" i="2"/>
  <c r="D317" i="2"/>
  <c r="D349" i="2"/>
  <c r="D31" i="2"/>
  <c r="D63" i="2"/>
  <c r="E95" i="2"/>
  <c r="D126" i="2"/>
  <c r="E158" i="2"/>
  <c r="D191" i="2"/>
  <c r="D223" i="2"/>
  <c r="E255" i="2"/>
  <c r="E287" i="2"/>
  <c r="E319" i="2"/>
  <c r="E351" i="2"/>
  <c r="D364" i="2"/>
  <c r="A364" i="5" s="1"/>
  <c r="D332" i="2"/>
  <c r="A332" i="5" s="1"/>
  <c r="D300" i="2"/>
  <c r="A300" i="5" s="1"/>
  <c r="D268" i="2"/>
  <c r="A268" i="5" s="1"/>
  <c r="E236" i="2"/>
  <c r="E204" i="2"/>
  <c r="D173" i="2"/>
  <c r="A173" i="5" s="1"/>
  <c r="E141" i="2"/>
  <c r="E109" i="2"/>
  <c r="E76" i="2"/>
  <c r="D42" i="2"/>
  <c r="E360" i="2"/>
  <c r="E328" i="2"/>
  <c r="E296" i="2"/>
  <c r="E264" i="2"/>
  <c r="D232" i="2"/>
  <c r="D200" i="2"/>
  <c r="E169" i="2"/>
  <c r="D137" i="2"/>
  <c r="D105" i="2"/>
  <c r="D72" i="2"/>
  <c r="E40" i="2"/>
  <c r="D8" i="2"/>
  <c r="E23" i="2"/>
  <c r="E55" i="2"/>
  <c r="D87" i="2"/>
  <c r="E118" i="2"/>
  <c r="E150" i="2"/>
  <c r="E183" i="2"/>
  <c r="E215" i="2"/>
  <c r="E247" i="2"/>
  <c r="D279" i="2"/>
  <c r="D311" i="2"/>
  <c r="D343" i="2"/>
  <c r="D25" i="2"/>
  <c r="D57" i="2"/>
  <c r="E89" i="2"/>
  <c r="D120" i="2"/>
  <c r="D152" i="2"/>
  <c r="D185" i="2"/>
  <c r="D217" i="2"/>
  <c r="E249" i="2"/>
  <c r="E281" i="2"/>
  <c r="E313" i="2"/>
  <c r="E345" i="2"/>
  <c r="D338" i="2"/>
  <c r="A338" i="5" s="1"/>
  <c r="D306" i="2"/>
  <c r="A306" i="5" s="1"/>
  <c r="D274" i="2"/>
  <c r="E242" i="2"/>
  <c r="E210" i="2"/>
  <c r="E178" i="2"/>
  <c r="E147" i="2"/>
  <c r="E115" i="2"/>
  <c r="D82" i="2"/>
  <c r="A82" i="5" s="1"/>
  <c r="E50" i="2"/>
  <c r="E358" i="2"/>
  <c r="E326" i="2"/>
  <c r="E294" i="2"/>
  <c r="E262" i="2"/>
  <c r="D230" i="2"/>
  <c r="D198" i="2"/>
  <c r="E167" i="2"/>
  <c r="D135" i="2"/>
  <c r="D103" i="2"/>
  <c r="D70" i="2"/>
  <c r="E38" i="2"/>
  <c r="E24" i="2"/>
  <c r="E9" i="2"/>
  <c r="D41" i="2"/>
  <c r="E73" i="2"/>
  <c r="E104" i="2"/>
  <c r="E136" i="2"/>
  <c r="D168" i="2"/>
  <c r="E201" i="2"/>
  <c r="E233" i="2"/>
  <c r="D265" i="2"/>
  <c r="D297" i="2"/>
  <c r="D329" i="2"/>
  <c r="D361" i="2"/>
  <c r="D11" i="2"/>
  <c r="E43" i="2"/>
  <c r="D75" i="2"/>
  <c r="D106" i="2"/>
  <c r="D138" i="2"/>
  <c r="E170" i="2"/>
  <c r="D203" i="2"/>
  <c r="D235" i="2"/>
  <c r="E267" i="2"/>
  <c r="E299" i="2"/>
  <c r="E331" i="2"/>
  <c r="E363" i="2"/>
  <c r="D352" i="2"/>
  <c r="A352" i="5" s="1"/>
  <c r="D320" i="2"/>
  <c r="A320" i="5" s="1"/>
  <c r="D288" i="2"/>
  <c r="A288" i="5" s="1"/>
  <c r="D256" i="2"/>
  <c r="A256" i="5" s="1"/>
  <c r="E224" i="2"/>
  <c r="E192" i="2"/>
  <c r="D161" i="2"/>
  <c r="A161" i="5" s="1"/>
  <c r="E129" i="2"/>
  <c r="D96" i="2"/>
  <c r="A96" i="5" s="1"/>
  <c r="E64" i="2"/>
  <c r="E348" i="2"/>
  <c r="E316" i="2"/>
  <c r="E284" i="2"/>
  <c r="E252" i="2"/>
  <c r="D220" i="2"/>
  <c r="D188" i="2"/>
  <c r="E157" i="2"/>
  <c r="D125" i="2"/>
  <c r="E92" i="2"/>
  <c r="D60" i="2"/>
  <c r="D28" i="2"/>
  <c r="E28" i="2"/>
  <c r="D35" i="2"/>
  <c r="E67" i="2"/>
  <c r="E130" i="2"/>
  <c r="E195" i="2"/>
  <c r="D259" i="2"/>
  <c r="D323" i="2"/>
  <c r="D45" i="2"/>
  <c r="A45" i="5" s="1"/>
  <c r="D108" i="2"/>
  <c r="E172" i="2"/>
  <c r="D237" i="2"/>
  <c r="E301" i="2"/>
  <c r="E365" i="2"/>
  <c r="E46" i="2"/>
  <c r="E111" i="2"/>
  <c r="D175" i="2"/>
  <c r="E238" i="2"/>
  <c r="D318" i="2"/>
  <c r="E26" i="2"/>
  <c r="E103" i="2"/>
  <c r="D167" i="2"/>
  <c r="E230" i="2"/>
  <c r="D278" i="2"/>
  <c r="D334" i="2"/>
  <c r="E62" i="2"/>
  <c r="E127" i="2"/>
  <c r="E190" i="2"/>
  <c r="D262" i="2"/>
  <c r="D342" i="2"/>
  <c r="E54" i="2"/>
  <c r="E119" i="2"/>
  <c r="E182" i="2"/>
  <c r="E246" i="2"/>
  <c r="D294" i="2"/>
  <c r="A294" i="5" s="1"/>
  <c r="D350" i="2"/>
  <c r="A350" i="5" s="1"/>
  <c r="E78" i="2"/>
  <c r="E143" i="2"/>
  <c r="E206" i="2"/>
  <c r="D286" i="2"/>
  <c r="D366" i="2"/>
  <c r="A366" i="5" s="1"/>
  <c r="E70" i="2"/>
  <c r="E135" i="2"/>
  <c r="E198" i="2"/>
  <c r="D254" i="2"/>
  <c r="D310" i="2"/>
  <c r="D358" i="2"/>
  <c r="D94" i="2"/>
  <c r="A94" i="5" s="1"/>
  <c r="D159" i="2"/>
  <c r="E222" i="2"/>
  <c r="D302" i="2"/>
  <c r="A302" i="5" s="1"/>
  <c r="D86" i="2"/>
  <c r="E151" i="2"/>
  <c r="E214" i="2"/>
  <c r="D270" i="2"/>
  <c r="D326" i="2"/>
  <c r="A1092" i="6" l="1"/>
  <c r="A437" i="6"/>
  <c r="A665" i="6"/>
  <c r="A950" i="6"/>
  <c r="A627" i="6"/>
  <c r="A375" i="6"/>
  <c r="A759" i="6"/>
  <c r="A842" i="6"/>
  <c r="A672" i="6"/>
  <c r="A417" i="6"/>
  <c r="A400" i="6"/>
  <c r="A465" i="6"/>
  <c r="A869" i="6"/>
  <c r="A333" i="6"/>
  <c r="A1080" i="6"/>
  <c r="A345" i="6"/>
  <c r="A106" i="6"/>
  <c r="A541" i="6"/>
  <c r="A294" i="6"/>
  <c r="A958" i="6"/>
  <c r="A310" i="6"/>
  <c r="A344" i="6"/>
  <c r="A42" i="6"/>
  <c r="A823" i="6"/>
  <c r="A825" i="6"/>
  <c r="A997" i="6"/>
  <c r="A703" i="6"/>
  <c r="A1050" i="6"/>
  <c r="A481" i="6"/>
  <c r="A447" i="6"/>
  <c r="A364" i="6"/>
  <c r="A1062" i="6"/>
  <c r="A980" i="6"/>
  <c r="A878" i="6"/>
  <c r="A455" i="6"/>
  <c r="A730" i="6"/>
  <c r="A901" i="6"/>
  <c r="A446" i="6"/>
  <c r="A1060" i="6"/>
  <c r="A694" i="6"/>
  <c r="A1093" i="6"/>
  <c r="A416" i="6"/>
  <c r="A943" i="6"/>
  <c r="A527" i="6"/>
  <c r="A250" i="6"/>
  <c r="A368" i="6"/>
  <c r="A272" i="6"/>
  <c r="A301" i="6"/>
  <c r="A544" i="6"/>
  <c r="A780" i="6"/>
  <c r="A229" i="6"/>
  <c r="A141" i="6"/>
  <c r="A1094" i="6"/>
  <c r="A268" i="6"/>
  <c r="A316" i="6"/>
  <c r="A136" i="6"/>
  <c r="A916" i="6"/>
  <c r="A1056" i="6"/>
  <c r="A709" i="6"/>
  <c r="A766" i="6"/>
  <c r="A942" i="6"/>
  <c r="A956" i="6"/>
  <c r="A1067" i="6"/>
  <c r="A146" i="6"/>
  <c r="A849" i="6"/>
  <c r="A540" i="6"/>
  <c r="A807" i="6"/>
  <c r="A239" i="6"/>
  <c r="A204" i="6"/>
  <c r="A281" i="6"/>
  <c r="A243" i="6"/>
  <c r="A754" i="6"/>
  <c r="A33" i="6"/>
  <c r="A979" i="6"/>
  <c r="A719" i="6"/>
  <c r="A25" i="6"/>
  <c r="A80" i="6"/>
  <c r="A49" i="6"/>
  <c r="A858" i="6"/>
  <c r="A436" i="6"/>
  <c r="A566" i="6"/>
  <c r="A686" i="6"/>
  <c r="A674" i="6"/>
  <c r="A1081" i="6"/>
  <c r="A490" i="6"/>
  <c r="A998" i="6"/>
  <c r="A812" i="6"/>
  <c r="A26" i="6"/>
  <c r="A584" i="6"/>
  <c r="A698" i="6"/>
  <c r="A692" i="6"/>
  <c r="A198" i="6"/>
  <c r="A108" i="6"/>
  <c r="A562" i="6"/>
  <c r="A222" i="6"/>
  <c r="A215" i="6"/>
  <c r="A638" i="6"/>
  <c r="A406" i="6"/>
  <c r="A167" i="6"/>
  <c r="A830" i="6"/>
  <c r="A666" i="6"/>
  <c r="A445" i="6"/>
  <c r="A398" i="6"/>
  <c r="A647" i="6"/>
  <c r="A1055" i="6"/>
  <c r="A729" i="6"/>
  <c r="A965" i="6"/>
  <c r="A677" i="6"/>
  <c r="A343" i="6"/>
  <c r="A920" i="6"/>
  <c r="A588" i="6"/>
  <c r="A318" i="6"/>
  <c r="A171" i="6"/>
  <c r="A800" i="6"/>
  <c r="A438" i="6"/>
  <c r="A757" i="6"/>
  <c r="A521" i="6"/>
  <c r="A175" i="6"/>
  <c r="A1073" i="6"/>
  <c r="A459" i="6"/>
  <c r="A718" i="6"/>
  <c r="A276" i="6"/>
  <c r="A336" i="6"/>
  <c r="A299" i="6"/>
  <c r="A898" i="6"/>
  <c r="A699" i="6"/>
  <c r="A149" i="6"/>
  <c r="A768" i="6"/>
  <c r="A675" i="6"/>
  <c r="A978" i="6"/>
  <c r="A551" i="6"/>
  <c r="A747" i="6"/>
  <c r="A488" i="6"/>
  <c r="A570" i="6"/>
  <c r="A123" i="6"/>
  <c r="A722" i="6"/>
  <c r="A1019" i="6"/>
  <c r="A705" i="6"/>
  <c r="A951" i="6"/>
  <c r="A165" i="6"/>
  <c r="A1029" i="6"/>
  <c r="A479" i="6"/>
  <c r="A687" i="6"/>
  <c r="A987" i="6"/>
  <c r="A525" i="6"/>
  <c r="A137" i="6"/>
  <c r="A155" i="6"/>
  <c r="A1018" i="6"/>
  <c r="A848" i="6"/>
  <c r="A873" i="6"/>
  <c r="A782" i="6"/>
  <c r="A999" i="6"/>
  <c r="A742" i="6"/>
  <c r="A594" i="6"/>
  <c r="A145" i="6"/>
  <c r="A502" i="6"/>
  <c r="A739" i="6"/>
  <c r="A1057" i="6"/>
  <c r="A161" i="6"/>
  <c r="A680" i="6"/>
  <c r="A206" i="6"/>
  <c r="A159" i="6"/>
  <c r="A456" i="6"/>
  <c r="A613" i="6"/>
  <c r="A828" i="6"/>
  <c r="A668" i="6"/>
  <c r="A781" i="6"/>
  <c r="A84" i="6"/>
  <c r="A678" i="6"/>
  <c r="A626" i="6"/>
  <c r="A498" i="6"/>
  <c r="A86" i="6"/>
  <c r="A886" i="6"/>
  <c r="A1090" i="6"/>
  <c r="A116" i="6"/>
  <c r="A60" i="6"/>
  <c r="A608" i="6"/>
  <c r="A744" i="6"/>
  <c r="A99" i="6"/>
  <c r="A211" i="6"/>
  <c r="A702" i="6"/>
  <c r="A58" i="6"/>
  <c r="A499" i="6"/>
  <c r="A1058" i="6"/>
  <c r="A860" i="6"/>
  <c r="A903" i="6"/>
  <c r="A92" i="6"/>
  <c r="A38" i="6"/>
  <c r="A896" i="6"/>
  <c r="A619" i="6"/>
  <c r="A257" i="6"/>
  <c r="A799" i="6"/>
  <c r="A130" i="6"/>
  <c r="A585" i="6"/>
  <c r="A104" i="6"/>
  <c r="A695" i="6"/>
  <c r="A973" i="6"/>
  <c r="A833" i="6"/>
  <c r="A326" i="5"/>
  <c r="A24" i="6"/>
  <c r="A468" i="6"/>
  <c r="A42" i="5"/>
  <c r="A309" i="5"/>
  <c r="A442" i="6"/>
  <c r="A522" i="6"/>
  <c r="A397" i="6"/>
  <c r="A721" i="6"/>
  <c r="A1026" i="6"/>
  <c r="A43" i="6"/>
  <c r="A482" i="6"/>
  <c r="A1025" i="6"/>
  <c r="A380" i="6"/>
  <c r="A775" i="6"/>
  <c r="A486" i="6"/>
  <c r="A66" i="6"/>
  <c r="A992" i="6"/>
  <c r="A817" i="6"/>
  <c r="A983" i="6"/>
  <c r="A1046" i="6"/>
  <c r="A1048" i="6"/>
  <c r="A793" i="6"/>
  <c r="A1071" i="6"/>
  <c r="A244" i="6"/>
  <c r="A310" i="5"/>
  <c r="A217" i="5"/>
  <c r="A327" i="5"/>
  <c r="A663" i="6"/>
  <c r="A193" i="6"/>
  <c r="A337" i="6"/>
  <c r="A111" i="6"/>
  <c r="A254" i="5"/>
  <c r="A175" i="5"/>
  <c r="A185" i="5"/>
  <c r="A57" i="5"/>
  <c r="A341" i="5"/>
  <c r="A85" i="5"/>
  <c r="A295" i="5"/>
  <c r="A166" i="5"/>
  <c r="A39" i="5"/>
  <c r="A1023" i="6"/>
  <c r="A955" i="6"/>
  <c r="A919" i="6"/>
  <c r="A358" i="5"/>
  <c r="A318" i="5"/>
  <c r="A359" i="5"/>
  <c r="A934" i="6"/>
  <c r="A162" i="6"/>
  <c r="A641" i="6"/>
  <c r="A169" i="6"/>
  <c r="A89" i="6"/>
  <c r="A354" i="6"/>
  <c r="A844" i="6"/>
  <c r="A845" i="6"/>
  <c r="A601" i="6"/>
  <c r="A831" i="6"/>
  <c r="A803" i="6"/>
  <c r="A377" i="6"/>
  <c r="A39" i="6"/>
  <c r="A993" i="6"/>
  <c r="A313" i="6"/>
  <c r="A565" i="6"/>
  <c r="A513" i="6"/>
  <c r="A325" i="6"/>
  <c r="A982" i="6"/>
  <c r="A888" i="6"/>
  <c r="A851" i="6"/>
  <c r="A738" i="6"/>
  <c r="A1089" i="6"/>
  <c r="A148" i="6"/>
  <c r="A489" i="6"/>
  <c r="A971" i="6"/>
  <c r="A112" i="6"/>
  <c r="A132" i="6"/>
  <c r="A651" i="6"/>
  <c r="A50" i="6"/>
  <c r="A691" i="6"/>
  <c r="A362" i="6"/>
  <c r="A809" i="6"/>
  <c r="A1028" i="6"/>
  <c r="A127" i="6"/>
  <c r="A623" i="6"/>
  <c r="A314" i="6"/>
  <c r="A690" i="6"/>
  <c r="A144" i="6"/>
  <c r="A679" i="6"/>
  <c r="A467" i="6"/>
  <c r="A1066" i="6"/>
  <c r="A357" i="6"/>
  <c r="A586" i="6"/>
  <c r="A269" i="6"/>
  <c r="A449" i="6"/>
  <c r="A391" i="6"/>
  <c r="A212" i="6"/>
  <c r="A1003" i="6"/>
  <c r="A539" i="6"/>
  <c r="A97" i="6"/>
  <c r="A829" i="6"/>
  <c r="A273" i="6"/>
  <c r="A517" i="6"/>
  <c r="A863" i="6"/>
  <c r="A118" i="6"/>
  <c r="A671" i="6"/>
  <c r="A328" i="6"/>
  <c r="A285" i="6"/>
  <c r="A74" i="6"/>
  <c r="A224" i="6"/>
  <c r="A881" i="6"/>
  <c r="A798" i="6"/>
  <c r="A306" i="6"/>
  <c r="A602" i="6"/>
  <c r="A260" i="6"/>
  <c r="A34" i="6"/>
  <c r="A731" i="6"/>
  <c r="A429" i="6"/>
  <c r="A700" i="6"/>
  <c r="A948" i="6"/>
  <c r="A117" i="6"/>
  <c r="A590" i="6"/>
  <c r="A653" i="6"/>
  <c r="A945" i="6"/>
  <c r="A716" i="6"/>
  <c r="A885" i="6"/>
  <c r="A83" i="6"/>
  <c r="A350" i="6"/>
  <c r="A1010" i="6"/>
  <c r="A652" i="6"/>
  <c r="A128" i="6"/>
  <c r="A637" i="6"/>
  <c r="A219" i="6"/>
  <c r="A632" i="6"/>
  <c r="A769" i="6"/>
  <c r="A1004" i="6"/>
  <c r="A806" i="6"/>
  <c r="A968" i="6"/>
  <c r="A859" i="6"/>
  <c r="A561" i="6"/>
  <c r="A891" i="6"/>
  <c r="A764" i="6"/>
  <c r="A75" i="6"/>
  <c r="A1088" i="6"/>
  <c r="A536" i="6"/>
  <c r="A595" i="6"/>
  <c r="A248" i="6"/>
  <c r="A646" i="6"/>
  <c r="A253" i="6"/>
  <c r="A153" i="6"/>
  <c r="A549" i="6"/>
  <c r="A218" i="6"/>
  <c r="A27" i="6"/>
  <c r="A506" i="6"/>
  <c r="A827" i="6"/>
  <c r="A495" i="6"/>
  <c r="A453" i="6"/>
  <c r="A267" i="6"/>
  <c r="A557" i="6"/>
  <c r="A382" i="6"/>
  <c r="A332" i="6"/>
  <c r="A458" i="6"/>
  <c r="A477" i="6"/>
  <c r="A191" i="6"/>
  <c r="A628" i="6"/>
  <c r="A157" i="6"/>
  <c r="A100" i="6"/>
  <c r="A1030" i="6"/>
  <c r="A706" i="6"/>
  <c r="A67" i="6"/>
  <c r="A661" i="6"/>
  <c r="A550" i="6"/>
  <c r="A576" i="6"/>
  <c r="A735" i="6"/>
  <c r="A228" i="6"/>
  <c r="A624" i="6"/>
  <c r="A1059" i="6"/>
  <c r="A56" i="6"/>
  <c r="A740" i="6"/>
  <c r="A697" i="6"/>
  <c r="A73" i="6"/>
  <c r="A664" i="6"/>
  <c r="A302" i="6"/>
  <c r="A110" i="6"/>
  <c r="A53" i="6"/>
  <c r="A478" i="6"/>
  <c r="A765" i="6"/>
  <c r="A947" i="6"/>
  <c r="A787" i="6"/>
  <c r="A284" i="6"/>
  <c r="A791" i="6"/>
  <c r="A589" i="6"/>
  <c r="A905" i="6"/>
  <c r="A821" i="6"/>
  <c r="A784" i="6"/>
  <c r="A194" i="6"/>
  <c r="A496" i="6"/>
  <c r="A220" i="6"/>
  <c r="A197" i="6"/>
  <c r="A854" i="6"/>
  <c r="A953" i="6"/>
  <c r="A994" i="6"/>
  <c r="A21" i="6"/>
  <c r="A713" i="6"/>
  <c r="A164" i="6"/>
  <c r="A190" i="6"/>
  <c r="A770" i="6"/>
  <c r="A726" i="6"/>
  <c r="A1072" i="6"/>
  <c r="A879" i="6"/>
  <c r="A109" i="6"/>
  <c r="A1012" i="6"/>
  <c r="A1006" i="6"/>
  <c r="A251" i="6"/>
  <c r="A714" i="6"/>
  <c r="A402" i="6"/>
  <c r="A399" i="6"/>
  <c r="A427" i="6"/>
  <c r="A114" i="6"/>
  <c r="A236" i="6"/>
  <c r="A388" i="6"/>
  <c r="A772" i="6"/>
  <c r="A723" i="6"/>
  <c r="A1032" i="6"/>
  <c r="A1001" i="6"/>
  <c r="A818" i="6"/>
  <c r="A72" i="6"/>
  <c r="A238" i="6"/>
  <c r="A981" i="6"/>
  <c r="A510" i="6"/>
  <c r="A487" i="6"/>
  <c r="A1085" i="6"/>
  <c r="A52" i="6"/>
  <c r="A751" i="6"/>
  <c r="A309" i="6"/>
  <c r="A1074" i="6"/>
  <c r="A746" i="6"/>
  <c r="A866" i="6"/>
  <c r="A801" i="6"/>
  <c r="A393" i="6"/>
  <c r="A170" i="6"/>
  <c r="A1064" i="6"/>
  <c r="A227" i="6"/>
  <c r="A813" i="6"/>
  <c r="A249" i="6"/>
  <c r="A531" i="6"/>
  <c r="A232" i="6"/>
  <c r="A461" i="6"/>
  <c r="A68" i="6"/>
  <c r="A856" i="6"/>
  <c r="A514" i="6"/>
  <c r="A475" i="6"/>
  <c r="A580" i="6"/>
  <c r="A685" i="6"/>
  <c r="A875" i="6"/>
  <c r="A300" i="6"/>
  <c r="A107" i="6"/>
  <c r="A822" i="6"/>
  <c r="A409" i="6"/>
  <c r="A497" i="6"/>
  <c r="A371" i="6"/>
  <c r="A352" i="6"/>
  <c r="A374" i="6"/>
  <c r="A124" i="6"/>
  <c r="A452" i="6"/>
  <c r="A599" i="6"/>
  <c r="A892" i="6"/>
  <c r="A867" i="6"/>
  <c r="A470" i="6"/>
  <c r="A329" i="6"/>
  <c r="A319" i="6"/>
  <c r="A32" i="6"/>
  <c r="A389" i="6"/>
  <c r="A1002" i="6"/>
  <c r="A571" i="6"/>
  <c r="A518" i="6"/>
  <c r="A472" i="6"/>
  <c r="A322" i="6"/>
  <c r="A341" i="6"/>
  <c r="A245" i="6"/>
  <c r="A957" i="6"/>
  <c r="A366" i="6"/>
  <c r="A777" i="6"/>
  <c r="A625" i="6"/>
  <c r="A724" i="6"/>
  <c r="A440" i="6"/>
  <c r="A360" i="6"/>
  <c r="A351" i="6"/>
  <c r="A524" i="6"/>
  <c r="A41" i="6"/>
  <c r="A252" i="6"/>
  <c r="A788" i="6"/>
  <c r="A1076" i="6"/>
  <c r="A493" i="6"/>
  <c r="A173" i="6"/>
  <c r="A460" i="6"/>
  <c r="A915" i="6"/>
  <c r="A258" i="6"/>
  <c r="A913" i="6"/>
  <c r="A275" i="6"/>
  <c r="A320" i="6"/>
  <c r="A265" i="6"/>
  <c r="A1024" i="6"/>
  <c r="A473" i="6"/>
  <c r="A102" i="6"/>
  <c r="A443" i="6"/>
  <c r="A95" i="6"/>
  <c r="A36" i="6"/>
  <c r="A1017" i="6"/>
  <c r="A494" i="6"/>
  <c r="A421" i="6"/>
  <c r="A263" i="6"/>
  <c r="A308" i="6"/>
  <c r="A1014" i="6"/>
  <c r="A933" i="6"/>
  <c r="A255" i="6"/>
  <c r="A961" i="6"/>
  <c r="A1054" i="6"/>
  <c r="A711" i="6"/>
  <c r="A48" i="6"/>
  <c r="A46" i="6"/>
  <c r="A415" i="6"/>
  <c r="A655" i="6"/>
  <c r="A311" i="6"/>
  <c r="A425" i="6"/>
  <c r="A163" i="6"/>
  <c r="A610" i="6"/>
  <c r="A271" i="6"/>
  <c r="A154" i="6"/>
  <c r="A189" i="6"/>
  <c r="A826" i="6"/>
  <c r="A508" i="6"/>
  <c r="A177" i="6"/>
  <c r="A504" i="6"/>
  <c r="A120" i="6"/>
  <c r="A70" i="6"/>
  <c r="A597" i="6"/>
  <c r="A865" i="6"/>
  <c r="A802" i="6"/>
  <c r="A773" i="6"/>
  <c r="A28" i="6"/>
  <c r="A152" i="6"/>
  <c r="A763" i="6"/>
  <c r="A327" i="6"/>
  <c r="A575" i="6"/>
  <c r="A1068" i="6"/>
  <c r="A563" i="6"/>
  <c r="A574" i="6"/>
  <c r="A369" i="6"/>
  <c r="A944" i="6"/>
  <c r="A1009" i="6"/>
  <c r="A347" i="6"/>
  <c r="A658" i="6"/>
  <c r="A210" i="6"/>
  <c r="A512" i="6"/>
  <c r="A156" i="6"/>
  <c r="A929" i="6"/>
  <c r="A282" i="6"/>
  <c r="A412" i="6"/>
  <c r="A103" i="6"/>
  <c r="A689" i="6"/>
  <c r="A290" i="6"/>
  <c r="A927" i="6"/>
  <c r="A616" i="6"/>
  <c r="A572" i="6"/>
  <c r="A1038" i="6"/>
  <c r="A186" i="6"/>
  <c r="A936" i="6"/>
  <c r="A621" i="6"/>
  <c r="A882" i="6"/>
  <c r="A816" i="6"/>
  <c r="A785" i="6"/>
  <c r="A786" i="6"/>
  <c r="A491" i="6"/>
  <c r="A811" i="6"/>
  <c r="A82" i="6"/>
  <c r="A242" i="6"/>
  <c r="A359" i="6"/>
  <c r="A940" i="6"/>
  <c r="A142" i="6"/>
  <c r="A187" i="6"/>
  <c r="A1016" i="6"/>
  <c r="A195" i="6"/>
  <c r="A231" i="6"/>
  <c r="A736" i="6"/>
  <c r="A693" i="6"/>
  <c r="A966" i="6"/>
  <c r="A874" i="6"/>
  <c r="A712" i="6"/>
  <c r="A394" i="6"/>
  <c r="A609" i="6"/>
  <c r="A160" i="6"/>
  <c r="A789" i="6"/>
  <c r="A230" i="6"/>
  <c r="A288" i="6"/>
  <c r="A681" i="6"/>
  <c r="A1095" i="6"/>
  <c r="A607" i="6"/>
  <c r="A51" i="6"/>
  <c r="A1033" i="6"/>
  <c r="A392" i="6"/>
  <c r="A880" i="6"/>
  <c r="A405" i="6"/>
  <c r="A631" i="6"/>
  <c r="A22" i="6"/>
  <c r="A750" i="6"/>
  <c r="A315" i="6"/>
  <c r="A370" i="6"/>
  <c r="A840" i="6"/>
  <c r="A925" i="6"/>
  <c r="A176" i="6"/>
  <c r="A996" i="6"/>
  <c r="A462" i="6"/>
  <c r="A911" i="6"/>
  <c r="A363" i="6"/>
  <c r="A62" i="6"/>
  <c r="A894" i="6"/>
  <c r="A178" i="6"/>
  <c r="A414" i="6"/>
  <c r="A846" i="6"/>
  <c r="A183" i="6"/>
  <c r="A836" i="6"/>
  <c r="A254" i="6"/>
  <c r="A986" i="6"/>
  <c r="A542" i="6"/>
  <c r="A246" i="6"/>
  <c r="A656" i="6"/>
  <c r="A897" i="6"/>
  <c r="A1069" i="6"/>
  <c r="A361" i="6"/>
  <c r="A899" i="6"/>
  <c r="A444" i="6"/>
  <c r="A547" i="6"/>
  <c r="A401" i="6"/>
  <c r="A289" i="6"/>
  <c r="A1034" i="6"/>
  <c r="A530" i="6"/>
  <c r="A861" i="6"/>
  <c r="A657" i="6"/>
  <c r="A79" i="6"/>
  <c r="A507" i="6"/>
  <c r="A30" i="6"/>
  <c r="A649" i="6"/>
  <c r="A94" i="6"/>
  <c r="A335" i="6"/>
  <c r="A367" i="6"/>
  <c r="A519" i="6"/>
  <c r="A596" i="6"/>
  <c r="A1052" i="6"/>
  <c r="A431" i="6"/>
  <c r="A221" i="6"/>
  <c r="A346" i="6"/>
  <c r="A745" i="6"/>
  <c r="A47" i="6"/>
  <c r="A560" i="6"/>
  <c r="A69" i="6"/>
  <c r="A910" i="6"/>
  <c r="A199" i="6"/>
  <c r="A805" i="6"/>
  <c r="A305" i="6"/>
  <c r="A1041" i="6"/>
  <c r="A926" i="6"/>
  <c r="A317" i="6"/>
  <c r="A554" i="6"/>
  <c r="A188" i="6"/>
  <c r="A708" i="6"/>
  <c r="A135" i="6"/>
  <c r="A974" i="6"/>
  <c r="A297" i="6"/>
  <c r="A1007" i="6"/>
  <c r="A876" i="6"/>
  <c r="A583" i="6"/>
  <c r="A404" i="6"/>
  <c r="A612" i="6"/>
  <c r="A213" i="6"/>
  <c r="A139" i="6"/>
  <c r="A201" i="6"/>
  <c r="A989" i="6"/>
  <c r="A115" i="6"/>
  <c r="A237" i="6"/>
  <c r="A1061" i="6"/>
  <c r="A884" i="6"/>
  <c r="A122" i="6"/>
  <c r="A373" i="6"/>
  <c r="A471" i="6"/>
  <c r="A995" i="6"/>
  <c r="A168" i="6"/>
  <c r="A217" i="6"/>
  <c r="A287" i="6"/>
  <c r="A298" i="6"/>
  <c r="A353" i="6"/>
  <c r="A1031" i="6"/>
  <c r="A484" i="6"/>
  <c r="A970" i="6"/>
  <c r="A534" i="6"/>
  <c r="A326" i="6"/>
  <c r="A964" i="6"/>
  <c r="A454" i="6"/>
  <c r="A1027" i="6"/>
  <c r="A701" i="6"/>
  <c r="A407" i="6"/>
  <c r="A192" i="6"/>
  <c r="A946" i="6"/>
  <c r="A1044" i="6"/>
  <c r="A464" i="6"/>
  <c r="A952" i="6"/>
  <c r="A604" i="6"/>
  <c r="A410" i="6"/>
  <c r="A667" i="6"/>
  <c r="A967" i="6"/>
  <c r="A630" i="6"/>
  <c r="A180" i="6"/>
  <c r="A778" i="6"/>
  <c r="A355" i="6"/>
  <c r="A505" i="6"/>
  <c r="A824" i="6"/>
  <c r="A262" i="6"/>
  <c r="A552" i="6"/>
  <c r="A611" i="6"/>
  <c r="A771" i="6"/>
  <c r="A356" i="6"/>
  <c r="A819" i="6"/>
  <c r="A81" i="6"/>
  <c r="A23" i="6"/>
  <c r="A1042" i="6"/>
  <c r="A129" i="6"/>
  <c r="A752" i="6"/>
  <c r="A1084" i="6"/>
  <c r="A598" i="6"/>
  <c r="A850" i="6"/>
  <c r="A767" i="6"/>
  <c r="A614" i="6"/>
  <c r="A662" i="6"/>
  <c r="A349" i="6"/>
  <c r="A838" i="6"/>
  <c r="A930" i="6"/>
  <c r="A868" i="6"/>
  <c r="A635" i="6"/>
  <c r="A61" i="6"/>
  <c r="A682" i="6"/>
  <c r="A728" i="6"/>
  <c r="A1043" i="6"/>
  <c r="A423" i="6"/>
  <c r="A390" i="6"/>
  <c r="A174" i="6"/>
  <c r="A395" i="6"/>
  <c r="A578" i="6"/>
  <c r="A743" i="6"/>
  <c r="A185" i="6"/>
  <c r="A582" i="6"/>
  <c r="A480" i="6"/>
  <c r="A295" i="6"/>
  <c r="A912" i="6"/>
  <c r="A63" i="6"/>
  <c r="A639" i="6"/>
  <c r="A972" i="6"/>
  <c r="A433" i="6"/>
  <c r="A688" i="6"/>
  <c r="A424" i="6"/>
  <c r="A914" i="6"/>
  <c r="A644" i="6"/>
  <c r="A131" i="6"/>
  <c r="A600" i="6"/>
  <c r="A904" i="6"/>
  <c r="A556" i="6"/>
  <c r="A119" i="6"/>
  <c r="A241" i="6"/>
  <c r="A654" i="6"/>
  <c r="A1000" i="6"/>
  <c r="A207" i="6"/>
  <c r="A1075" i="6"/>
  <c r="A839" i="6"/>
  <c r="A676" i="6"/>
  <c r="A280" i="6"/>
  <c r="A871" i="6"/>
  <c r="A441" i="6"/>
  <c r="A908" i="6"/>
  <c r="A615" i="6"/>
  <c r="A715" i="6"/>
  <c r="A732" i="6"/>
  <c r="A134" i="6"/>
  <c r="A555" i="6"/>
  <c r="A339" i="6"/>
  <c r="A434" i="6"/>
  <c r="A720" i="6"/>
  <c r="A147" i="6"/>
  <c r="A922" i="6"/>
  <c r="A1036" i="6"/>
  <c r="A790" i="6"/>
  <c r="A365" i="6"/>
  <c r="A202" i="6"/>
  <c r="A312" i="6"/>
  <c r="A928" i="6"/>
  <c r="A776" i="6"/>
  <c r="A949" i="6"/>
  <c r="A985" i="6"/>
  <c r="A418" i="6"/>
  <c r="A756" i="6"/>
  <c r="A918" i="6"/>
  <c r="A837" i="6"/>
  <c r="A963" i="6"/>
  <c r="A158" i="6"/>
  <c r="A1065" i="6"/>
  <c r="A262" i="5"/>
  <c r="A334" i="5"/>
  <c r="A259" i="5"/>
  <c r="A329" i="5"/>
  <c r="A265" i="5"/>
  <c r="A343" i="5"/>
  <c r="A87" i="5"/>
  <c r="A105" i="5"/>
  <c r="A232" i="5"/>
  <c r="A146" i="5"/>
  <c r="A19" i="5"/>
  <c r="A16" i="5"/>
  <c r="A80" i="5"/>
  <c r="A208" i="5"/>
  <c r="A13" i="5"/>
  <c r="A22" i="5"/>
  <c r="A278" i="5"/>
  <c r="A167" i="5"/>
  <c r="A361" i="5"/>
  <c r="A297" i="5"/>
  <c r="A168" i="5"/>
  <c r="A41" i="5"/>
  <c r="A72" i="5"/>
  <c r="A200" i="5"/>
  <c r="A243" i="5"/>
  <c r="A114" i="5"/>
  <c r="A113" i="5"/>
  <c r="A240" i="5"/>
  <c r="A121" i="5"/>
  <c r="A248" i="5"/>
  <c r="A86" i="5"/>
  <c r="A323" i="5"/>
  <c r="A60" i="5"/>
  <c r="A125" i="5"/>
  <c r="A188" i="5"/>
  <c r="A191" i="5"/>
  <c r="A126" i="5"/>
  <c r="A63" i="5"/>
  <c r="A197" i="5"/>
  <c r="A132" i="5"/>
  <c r="A69" i="5"/>
  <c r="A289" i="5"/>
  <c r="A160" i="5"/>
  <c r="A33" i="5"/>
  <c r="A235" i="5"/>
  <c r="A106" i="5"/>
  <c r="A349" i="5"/>
  <c r="A93" i="5"/>
  <c r="A30" i="5"/>
  <c r="A209" i="5"/>
  <c r="A144" i="5"/>
  <c r="A81" i="5"/>
  <c r="A17" i="5"/>
  <c r="A303" i="5"/>
  <c r="A174" i="5"/>
  <c r="A205" i="5"/>
  <c r="A77" i="5"/>
  <c r="A187" i="5"/>
  <c r="A122" i="5"/>
  <c r="A59" i="5"/>
  <c r="A218" i="5"/>
  <c r="A270" i="5"/>
  <c r="A237" i="5"/>
  <c r="A108" i="5"/>
  <c r="A35" i="5"/>
  <c r="A220" i="5"/>
  <c r="A138" i="5"/>
  <c r="A11" i="5"/>
  <c r="A223" i="5"/>
  <c r="A31" i="5"/>
  <c r="A317" i="5"/>
  <c r="A253" i="5"/>
  <c r="A10" i="5"/>
  <c r="A20" i="5"/>
  <c r="A321" i="5"/>
  <c r="A257" i="5"/>
  <c r="A177" i="5"/>
  <c r="A49" i="5"/>
  <c r="A335" i="5"/>
  <c r="A291" i="5"/>
  <c r="A162" i="5"/>
  <c r="A219" i="5"/>
  <c r="A133" i="5"/>
  <c r="A107" i="5"/>
  <c r="A234" i="5"/>
  <c r="A342" i="5"/>
  <c r="A120" i="5"/>
  <c r="A159" i="5"/>
  <c r="A152" i="5"/>
  <c r="A25" i="5"/>
  <c r="A311" i="5"/>
  <c r="A8" i="5"/>
  <c r="A137" i="5"/>
  <c r="A285" i="5"/>
  <c r="A156" i="5"/>
  <c r="A211" i="5"/>
  <c r="A353" i="5"/>
  <c r="A97" i="5"/>
  <c r="A145" i="5"/>
  <c r="A277" i="5"/>
  <c r="A355" i="5"/>
  <c r="A99" i="5"/>
  <c r="A56" i="5"/>
  <c r="A184" i="5"/>
  <c r="A101" i="5"/>
  <c r="A228" i="5"/>
  <c r="A286" i="5"/>
  <c r="A203" i="5"/>
  <c r="A75" i="5"/>
  <c r="A274" i="5"/>
  <c r="A279" i="5"/>
  <c r="A74" i="5"/>
  <c r="A202" i="5"/>
  <c r="A229" i="5"/>
  <c r="A100" i="5"/>
  <c r="A179" i="5"/>
  <c r="A51" i="5"/>
  <c r="A36" i="5"/>
  <c r="A241" i="5"/>
  <c r="A112" i="5"/>
  <c r="A271" i="5"/>
  <c r="A48" i="5"/>
  <c r="A176" i="5"/>
  <c r="A140" i="5"/>
  <c r="A27" i="5"/>
  <c r="A216" i="5"/>
  <c r="A139" i="5"/>
  <c r="A58" i="5"/>
  <c r="A186" i="5"/>
  <c r="A34" i="5"/>
  <c r="A68" i="5"/>
  <c r="A196" i="5"/>
  <c r="A123" i="5"/>
  <c r="A18" i="5"/>
  <c r="A70" i="5"/>
  <c r="A135" i="5"/>
  <c r="A198" i="5"/>
  <c r="A331" i="5"/>
  <c r="A267" i="5"/>
  <c r="A264" i="5"/>
  <c r="A328" i="5"/>
  <c r="A222" i="5"/>
  <c r="A266" i="5"/>
  <c r="A330" i="5"/>
  <c r="A308" i="5"/>
  <c r="A247" i="5"/>
  <c r="A183" i="5"/>
  <c r="A118" i="5"/>
  <c r="A55" i="5"/>
  <c r="A50" i="5"/>
  <c r="A115" i="5"/>
  <c r="A178" i="5"/>
  <c r="A242" i="5"/>
  <c r="A189" i="5"/>
  <c r="A124" i="5"/>
  <c r="A61" i="5"/>
  <c r="A339" i="5"/>
  <c r="A275" i="5"/>
  <c r="A83" i="5"/>
  <c r="A109" i="5"/>
  <c r="A236" i="5"/>
  <c r="A272" i="5"/>
  <c r="A336" i="5"/>
  <c r="A345" i="5"/>
  <c r="A281" i="5"/>
  <c r="A89" i="5"/>
  <c r="A54" i="5"/>
  <c r="A119" i="5"/>
  <c r="A182" i="5"/>
  <c r="A246" i="5"/>
  <c r="A201" i="5"/>
  <c r="A136" i="5"/>
  <c r="A73" i="5"/>
  <c r="A9" i="5"/>
  <c r="A92" i="5"/>
  <c r="A157" i="5"/>
  <c r="A284" i="5"/>
  <c r="A348" i="5"/>
  <c r="A207" i="5"/>
  <c r="A142" i="5"/>
  <c r="A79" i="5"/>
  <c r="A15" i="5"/>
  <c r="A365" i="5"/>
  <c r="A301" i="5"/>
  <c r="A172" i="5"/>
  <c r="A26" i="5"/>
  <c r="A213" i="5"/>
  <c r="A148" i="5"/>
  <c r="A21" i="5"/>
  <c r="A347" i="5"/>
  <c r="A283" i="5"/>
  <c r="A154" i="5"/>
  <c r="A91" i="5"/>
  <c r="A312" i="5"/>
  <c r="A227" i="5"/>
  <c r="A305" i="5"/>
  <c r="A14" i="5"/>
  <c r="A78" i="5"/>
  <c r="A143" i="5"/>
  <c r="A206" i="5"/>
  <c r="A250" i="5"/>
  <c r="A314" i="5"/>
  <c r="A193" i="5"/>
  <c r="A128" i="5"/>
  <c r="A65" i="5"/>
  <c r="A351" i="5"/>
  <c r="A287" i="5"/>
  <c r="A158" i="5"/>
  <c r="A95" i="5"/>
  <c r="A32" i="5"/>
  <c r="A224" i="5"/>
  <c r="A260" i="5"/>
  <c r="A324" i="5"/>
  <c r="A231" i="5"/>
  <c r="A102" i="5"/>
  <c r="A357" i="5"/>
  <c r="A293" i="5"/>
  <c r="A164" i="5"/>
  <c r="A37" i="5"/>
  <c r="A226" i="5"/>
  <c r="A28" i="5"/>
  <c r="A103" i="5"/>
  <c r="A230" i="5"/>
  <c r="A363" i="5"/>
  <c r="A299" i="5"/>
  <c r="A170" i="5"/>
  <c r="A43" i="5"/>
  <c r="A169" i="5"/>
  <c r="A296" i="5"/>
  <c r="A360" i="5"/>
  <c r="A38" i="5"/>
  <c r="A62" i="5"/>
  <c r="A127" i="5"/>
  <c r="A190" i="5"/>
  <c r="A171" i="5"/>
  <c r="A298" i="5"/>
  <c r="A362" i="5"/>
  <c r="A84" i="5"/>
  <c r="A276" i="5"/>
  <c r="A340" i="5"/>
  <c r="A215" i="5"/>
  <c r="A150" i="5"/>
  <c r="A23" i="5"/>
  <c r="A147" i="5"/>
  <c r="A210" i="5"/>
  <c r="A221" i="5"/>
  <c r="A29" i="5"/>
  <c r="A307" i="5"/>
  <c r="A76" i="5"/>
  <c r="A141" i="5"/>
  <c r="A204" i="5"/>
  <c r="A304" i="5"/>
  <c r="A313" i="5"/>
  <c r="A249" i="5"/>
  <c r="A151" i="5"/>
  <c r="A214" i="5"/>
  <c r="A233" i="5"/>
  <c r="A104" i="5"/>
  <c r="A24" i="5"/>
  <c r="A252" i="5"/>
  <c r="A316" i="5"/>
  <c r="A239" i="5"/>
  <c r="A110" i="5"/>
  <c r="A47" i="5"/>
  <c r="A333" i="5"/>
  <c r="A269" i="5"/>
  <c r="A245" i="5"/>
  <c r="A181" i="5"/>
  <c r="A116" i="5"/>
  <c r="A53" i="5"/>
  <c r="A315" i="5"/>
  <c r="A251" i="5"/>
  <c r="A40" i="5"/>
  <c r="A88" i="5"/>
  <c r="A153" i="5"/>
  <c r="A280" i="5"/>
  <c r="A344" i="5"/>
  <c r="A195" i="5"/>
  <c r="A130" i="5"/>
  <c r="A67" i="5"/>
  <c r="A337" i="5"/>
  <c r="A273" i="5"/>
  <c r="A46" i="5"/>
  <c r="A111" i="5"/>
  <c r="A238" i="5"/>
  <c r="A90" i="5"/>
  <c r="A155" i="5"/>
  <c r="A282" i="5"/>
  <c r="A346" i="5"/>
  <c r="A225" i="5"/>
  <c r="A319" i="5"/>
  <c r="A255" i="5"/>
  <c r="A64" i="5"/>
  <c r="A129" i="5"/>
  <c r="A192" i="5"/>
  <c r="A165" i="5"/>
  <c r="A292" i="5"/>
  <c r="A356" i="5"/>
  <c r="A199" i="5"/>
  <c r="A134" i="5"/>
  <c r="A71" i="5"/>
  <c r="A325" i="5"/>
  <c r="A261" i="5"/>
  <c r="A44" i="5"/>
  <c r="A66" i="5"/>
  <c r="A131" i="5"/>
  <c r="A194" i="5"/>
</calcChain>
</file>

<file path=xl/sharedStrings.xml><?xml version="1.0" encoding="utf-8"?>
<sst xmlns="http://schemas.openxmlformats.org/spreadsheetml/2006/main" count="49" uniqueCount="36">
  <si>
    <t>Datum</t>
  </si>
  <si>
    <t>Regenval [0,1 mm]</t>
  </si>
  <si>
    <t>Stn</t>
  </si>
  <si>
    <t>Niveau</t>
  </si>
  <si>
    <t>Rd</t>
  </si>
  <si>
    <t>qRd</t>
  </si>
  <si>
    <t>Tijd</t>
  </si>
  <si>
    <t>P</t>
  </si>
  <si>
    <t>qP</t>
  </si>
  <si>
    <t>T</t>
  </si>
  <si>
    <t>Stations</t>
  </si>
  <si>
    <t>No.</t>
  </si>
  <si>
    <t>Naam</t>
  </si>
  <si>
    <t>Kwaliteit</t>
  </si>
  <si>
    <t>Code</t>
  </si>
  <si>
    <t xml:space="preserve">Ok </t>
  </si>
  <si>
    <t xml:space="preserve">ME </t>
  </si>
  <si>
    <t xml:space="preserve">MS </t>
  </si>
  <si>
    <t xml:space="preserve">Est </t>
  </si>
  <si>
    <t xml:space="preserve">Lacking </t>
  </si>
  <si>
    <t>Kwaliteitscodes</t>
  </si>
  <si>
    <t>Kwaliteitskenmerken</t>
  </si>
  <si>
    <t>Parameters</t>
  </si>
  <si>
    <t>Notatie</t>
  </si>
  <si>
    <t>Barometer</t>
  </si>
  <si>
    <t>Instrument</t>
  </si>
  <si>
    <t>Thermometer</t>
  </si>
  <si>
    <t>Regenmeter</t>
  </si>
  <si>
    <t>Barometerstand</t>
  </si>
  <si>
    <t>08.00</t>
  </si>
  <si>
    <t>12.00</t>
  </si>
  <si>
    <t>16.00</t>
  </si>
  <si>
    <t>Proeftuin Concordia</t>
  </si>
  <si>
    <t>Weerkundige waarnemingen Sint Eustatius</t>
  </si>
  <si>
    <t>Wilton</t>
  </si>
  <si>
    <t>Oranjestad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</si>
</sst>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64" formatCode="yyyy\.mm\.dd"/>
    <numFmt numFmtId="165" formatCode="General_0_0_0"/>
    <numFmt numFmtId="166" formatCode="000"/>
    <numFmt numFmtId="167" formatCode="0_0_0_0_("/>
    <numFmt numFmtId="168" formatCode="00_0_0_0"/>
    <numFmt numFmtId="169" formatCode="0_0_0_0;\-0_0_0_0;0_0_0_0;@_0_0_0"/>
    <numFmt numFmtId="170" formatCode="0.0_,_0"/>
    <numFmt numFmtId="171" formatCode="0_0_0_0_0_0_0_0;\-0_0_0_0_0_0_0_0;&quot;∙&quot;_,_0_0_0_0_0_0_0;@_0_0_0_0_0_0_0"/>
    <numFmt numFmtId="172" formatCode="0.0_,_0_0_0_0_0_0;\-0.0_,_0_0_0_0_0_0;&quot;∙&quot;_,_0_0_0_0_0_0_0;@_0_0_0_0_0_0_0"/>
  </numFmts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indexed="8"/>
      <name val="Calibri"/>
      <family val="2"/>
    </font>
    <font>
      <sz val="10"/>
      <color indexed="8"/>
      <name val="Courier New"/>
      <family val="3"/>
    </font>
    <font>
      <sz val="14"/>
      <color theme="1"/>
      <name val="Cambria"/>
      <family val="1"/>
      <scheme val="major"/>
    </font>
  </fonts>
  <fills count="6">
    <fill>
      <patternFill patternType="none"/>
    </fill>
    <fill>
      <patternFill patternType="gray125"/>
    </fill>
    <fill>
      <patternFill patternType="solid">
        <fgColor theme="8" tint="0.59996337778862885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3" tint="0.59996337778862885"/>
        <bgColor indexed="64"/>
      </patternFill>
    </fill>
  </fills>
  <borders count="1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42">
    <xf numFmtId="0" fontId="0" fillId="0" borderId="0" xfId="0"/>
    <xf numFmtId="164" fontId="0" fillId="2" borderId="0" xfId="0" applyNumberFormat="1" applyFill="1" applyAlignment="1">
      <alignment horizontal="left"/>
    </xf>
    <xf numFmtId="0" fontId="1" fillId="5" borderId="4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165" fontId="0" fillId="3" borderId="5" xfId="0" applyNumberFormat="1" applyFill="1" applyBorder="1" applyProtection="1">
      <protection locked="0"/>
    </xf>
    <xf numFmtId="165" fontId="0" fillId="3" borderId="0" xfId="0" applyNumberFormat="1" applyFill="1" applyBorder="1" applyProtection="1">
      <protection locked="0"/>
    </xf>
    <xf numFmtId="0" fontId="0" fillId="0" borderId="1" xfId="0" applyBorder="1"/>
    <xf numFmtId="0" fontId="0" fillId="0" borderId="1" xfId="0" applyBorder="1" applyAlignment="1">
      <alignment horizontal="center"/>
    </xf>
    <xf numFmtId="166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6" xfId="0" applyBorder="1"/>
    <xf numFmtId="167" fontId="0" fillId="0" borderId="6" xfId="0" applyNumberFormat="1" applyBorder="1"/>
    <xf numFmtId="166" fontId="0" fillId="0" borderId="6" xfId="0" applyNumberFormat="1" applyBorder="1" applyAlignment="1">
      <alignment horizontal="center"/>
    </xf>
    <xf numFmtId="0" fontId="2" fillId="0" borderId="7" xfId="0" applyFont="1" applyFill="1" applyBorder="1" applyAlignment="1">
      <alignment horizontal="center"/>
    </xf>
    <xf numFmtId="169" fontId="0" fillId="0" borderId="0" xfId="0" applyNumberFormat="1" applyAlignment="1">
      <alignment horizontal="right"/>
    </xf>
    <xf numFmtId="168" fontId="0" fillId="0" borderId="0" xfId="0" applyNumberFormat="1" applyAlignment="1"/>
    <xf numFmtId="0" fontId="3" fillId="0" borderId="0" xfId="0" applyFont="1"/>
    <xf numFmtId="0" fontId="1" fillId="0" borderId="1" xfId="0" applyFont="1" applyBorder="1" applyAlignment="1">
      <alignment horizontal="center"/>
    </xf>
    <xf numFmtId="170" fontId="0" fillId="3" borderId="5" xfId="0" applyNumberFormat="1" applyFill="1" applyBorder="1"/>
    <xf numFmtId="170" fontId="0" fillId="3" borderId="0" xfId="0" applyNumberFormat="1" applyFill="1" applyBorder="1"/>
    <xf numFmtId="0" fontId="0" fillId="0" borderId="0" xfId="0" applyAlignment="1">
      <alignment horizontal="center"/>
    </xf>
    <xf numFmtId="0" fontId="1" fillId="0" borderId="7" xfId="0" applyFont="1" applyBorder="1"/>
    <xf numFmtId="0" fontId="1" fillId="0" borderId="7" xfId="0" applyFont="1" applyBorder="1" applyAlignment="1">
      <alignment horizontal="center"/>
    </xf>
    <xf numFmtId="0" fontId="0" fillId="0" borderId="0" xfId="0" applyBorder="1"/>
    <xf numFmtId="0" fontId="0" fillId="0" borderId="6" xfId="0" applyFill="1" applyBorder="1"/>
    <xf numFmtId="168" fontId="0" fillId="0" borderId="0" xfId="0" applyNumberFormat="1" applyAlignment="1">
      <alignment horizontal="right"/>
    </xf>
    <xf numFmtId="0" fontId="1" fillId="5" borderId="9" xfId="0" applyFont="1" applyFill="1" applyBorder="1" applyAlignment="1">
      <alignment horizontal="center"/>
    </xf>
    <xf numFmtId="0" fontId="1" fillId="5" borderId="10" xfId="0" applyFont="1" applyFill="1" applyBorder="1" applyAlignment="1">
      <alignment horizontal="center" wrapText="1"/>
    </xf>
    <xf numFmtId="171" fontId="0" fillId="4" borderId="11" xfId="0" applyNumberFormat="1" applyFill="1" applyBorder="1" applyProtection="1">
      <protection locked="0"/>
    </xf>
    <xf numFmtId="172" fontId="0" fillId="4" borderId="11" xfId="0" applyNumberFormat="1" applyFill="1" applyBorder="1"/>
    <xf numFmtId="171" fontId="0" fillId="4" borderId="11" xfId="0" applyNumberFormat="1" applyFill="1" applyBorder="1" applyAlignment="1" applyProtection="1">
      <protection locked="0"/>
    </xf>
    <xf numFmtId="171" fontId="0" fillId="4" borderId="11" xfId="0" applyNumberFormat="1" applyFill="1" applyBorder="1" applyAlignment="1" applyProtection="1">
      <alignment horizontal="right"/>
      <protection locked="0"/>
    </xf>
    <xf numFmtId="0" fontId="1" fillId="0" borderId="8" xfId="0" applyFont="1" applyBorder="1" applyAlignment="1"/>
    <xf numFmtId="0" fontId="1" fillId="0" borderId="1" xfId="0" applyFont="1" applyBorder="1" applyAlignment="1"/>
    <xf numFmtId="0" fontId="1" fillId="5" borderId="3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left" vertical="center"/>
    </xf>
    <xf numFmtId="0" fontId="1" fillId="5" borderId="1" xfId="0" applyFont="1" applyFill="1" applyBorder="1" applyAlignment="1">
      <alignment horizontal="left" vertical="center"/>
    </xf>
    <xf numFmtId="0" fontId="4" fillId="0" borderId="0" xfId="0" applyFont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8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</cellXfs>
  <cellStyles count="1">
    <cellStyle name="Standaard" xfId="0" builtinId="0"/>
  </cellStyles>
  <dxfs count="1">
    <dxf>
      <font>
        <b/>
        <i val="0"/>
      </font>
      <fill>
        <patternFill>
          <bgColor theme="3" tint="0.59996337778862885"/>
        </patternFill>
      </fill>
      <border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2" defaultPivotStyle="PivotStyleLight16"/>
  <colors>
    <mruColors>
      <color rgb="FFFFFFCC"/>
      <color rgb="FFCCFF99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vbaProject.bin.rels><?xml version="1.0" encoding="UTF-8" standalone="yes"?>
<Relationships xmlns="http://schemas.openxmlformats.org/package/2006/relationships"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/>
  <dimension ref="A1:E381"/>
  <sheetViews>
    <sheetView tabSelected="1" workbookViewId="0">
      <pane xSplit="1" ySplit="4" topLeftCell="B354" activePane="bottomRight" state="frozen"/>
      <selection pane="topRight" activeCell="B1" sqref="B1"/>
      <selection pane="bottomLeft" activeCell="A5" sqref="A5"/>
      <selection pane="bottomRight" activeCell="B380" sqref="B380"/>
    </sheetView>
  </sheetViews>
  <sheetFormatPr defaultRowHeight="15" x14ac:dyDescent="0.25"/>
  <cols>
    <col min="1" max="1" width="10.140625" customWidth="1"/>
    <col min="5" max="5" width="17.7109375" customWidth="1"/>
  </cols>
  <sheetData>
    <row r="1" spans="1:5" ht="18" x14ac:dyDescent="0.25">
      <c r="A1" s="38" t="s">
        <v>33</v>
      </c>
      <c r="B1" s="38"/>
      <c r="C1" s="38"/>
      <c r="D1" s="38"/>
      <c r="E1" s="38"/>
    </row>
    <row r="3" spans="1:5" x14ac:dyDescent="0.25">
      <c r="A3" s="36" t="s">
        <v>0</v>
      </c>
      <c r="B3" s="34" t="s">
        <v>28</v>
      </c>
      <c r="C3" s="35"/>
      <c r="D3" s="35"/>
      <c r="E3" s="26" t="s">
        <v>1</v>
      </c>
    </row>
    <row r="4" spans="1:5" ht="30" x14ac:dyDescent="0.25">
      <c r="A4" s="37"/>
      <c r="B4" s="2" t="s">
        <v>29</v>
      </c>
      <c r="C4" s="3" t="s">
        <v>30</v>
      </c>
      <c r="D4" s="3" t="s">
        <v>31</v>
      </c>
      <c r="E4" s="27" t="s">
        <v>32</v>
      </c>
    </row>
    <row r="5" spans="1:5" x14ac:dyDescent="0.25">
      <c r="A5" s="1">
        <f ca="1">DATE(VALUE(MID(CELL("bestandsnaam"),FIND(".",CELL("bestandsnaam"))-4,4)),1,1)</f>
        <v>16438</v>
      </c>
      <c r="B5" s="4"/>
      <c r="C5" s="5"/>
      <c r="D5" s="5"/>
      <c r="E5" s="28">
        <v>0</v>
      </c>
    </row>
    <row r="6" spans="1:5" x14ac:dyDescent="0.25">
      <c r="A6" s="1">
        <f ca="1">IF(ISTEXT(A5),A4+1,IF(MONTH(A5+1)=MONTH(A5),A5+1,"Totaal"))</f>
        <v>16439</v>
      </c>
      <c r="B6" s="4"/>
      <c r="C6" s="5"/>
      <c r="D6" s="5"/>
      <c r="E6" s="30">
        <v>0</v>
      </c>
    </row>
    <row r="7" spans="1:5" x14ac:dyDescent="0.25">
      <c r="A7" s="1">
        <f t="shared" ref="A7:A70" ca="1" si="0">IF(ISTEXT(A6),A5+1,IF(MONTH(A6+1)=MONTH(A6),A6+1,"Totaal"))</f>
        <v>16440</v>
      </c>
      <c r="B7" s="4"/>
      <c r="C7" s="5"/>
      <c r="D7" s="5"/>
      <c r="E7" s="31">
        <v>16</v>
      </c>
    </row>
    <row r="8" spans="1:5" x14ac:dyDescent="0.25">
      <c r="A8" s="1">
        <f t="shared" ca="1" si="0"/>
        <v>16441</v>
      </c>
      <c r="B8" s="4"/>
      <c r="C8" s="5"/>
      <c r="D8" s="5"/>
      <c r="E8" s="28">
        <v>38</v>
      </c>
    </row>
    <row r="9" spans="1:5" x14ac:dyDescent="0.25">
      <c r="A9" s="1">
        <f t="shared" ca="1" si="0"/>
        <v>16442</v>
      </c>
      <c r="B9" s="4"/>
      <c r="C9" s="5"/>
      <c r="D9" s="5"/>
      <c r="E9" s="28">
        <v>106</v>
      </c>
    </row>
    <row r="10" spans="1:5" x14ac:dyDescent="0.25">
      <c r="A10" s="1">
        <f t="shared" ca="1" si="0"/>
        <v>16443</v>
      </c>
      <c r="B10" s="4"/>
      <c r="C10" s="5"/>
      <c r="D10" s="5"/>
      <c r="E10" s="28">
        <v>0</v>
      </c>
    </row>
    <row r="11" spans="1:5" x14ac:dyDescent="0.25">
      <c r="A11" s="1">
        <f t="shared" ca="1" si="0"/>
        <v>16444</v>
      </c>
      <c r="B11" s="4"/>
      <c r="C11" s="5"/>
      <c r="D11" s="5"/>
      <c r="E11" s="28">
        <v>81</v>
      </c>
    </row>
    <row r="12" spans="1:5" x14ac:dyDescent="0.25">
      <c r="A12" s="1">
        <f t="shared" ca="1" si="0"/>
        <v>16445</v>
      </c>
      <c r="B12" s="4"/>
      <c r="C12" s="5"/>
      <c r="D12" s="5"/>
      <c r="E12" s="28">
        <v>0</v>
      </c>
    </row>
    <row r="13" spans="1:5" x14ac:dyDescent="0.25">
      <c r="A13" s="1">
        <f t="shared" ca="1" si="0"/>
        <v>16446</v>
      </c>
      <c r="B13" s="4"/>
      <c r="C13" s="5"/>
      <c r="D13" s="5"/>
      <c r="E13" s="28">
        <v>0</v>
      </c>
    </row>
    <row r="14" spans="1:5" x14ac:dyDescent="0.25">
      <c r="A14" s="1">
        <f t="shared" ca="1" si="0"/>
        <v>16447</v>
      </c>
      <c r="B14" s="4"/>
      <c r="C14" s="5"/>
      <c r="D14" s="5"/>
      <c r="E14" s="28">
        <v>0</v>
      </c>
    </row>
    <row r="15" spans="1:5" x14ac:dyDescent="0.25">
      <c r="A15" s="1">
        <f t="shared" ca="1" si="0"/>
        <v>16448</v>
      </c>
      <c r="B15" s="4"/>
      <c r="C15" s="5"/>
      <c r="D15" s="5"/>
      <c r="E15" s="28">
        <v>380</v>
      </c>
    </row>
    <row r="16" spans="1:5" x14ac:dyDescent="0.25">
      <c r="A16" s="1">
        <f t="shared" ca="1" si="0"/>
        <v>16449</v>
      </c>
      <c r="B16" s="4"/>
      <c r="C16" s="5"/>
      <c r="D16" s="5"/>
      <c r="E16" s="28">
        <v>148</v>
      </c>
    </row>
    <row r="17" spans="1:5" x14ac:dyDescent="0.25">
      <c r="A17" s="1">
        <f t="shared" ca="1" si="0"/>
        <v>16450</v>
      </c>
      <c r="B17" s="4"/>
      <c r="C17" s="5"/>
      <c r="D17" s="5"/>
      <c r="E17" s="28">
        <v>0</v>
      </c>
    </row>
    <row r="18" spans="1:5" x14ac:dyDescent="0.25">
      <c r="A18" s="1">
        <f t="shared" ca="1" si="0"/>
        <v>16451</v>
      </c>
      <c r="B18" s="4"/>
      <c r="C18" s="5"/>
      <c r="D18" s="5"/>
      <c r="E18" s="28">
        <v>0</v>
      </c>
    </row>
    <row r="19" spans="1:5" x14ac:dyDescent="0.25">
      <c r="A19" s="1">
        <f t="shared" ca="1" si="0"/>
        <v>16452</v>
      </c>
      <c r="B19" s="4"/>
      <c r="C19" s="5"/>
      <c r="D19" s="5"/>
      <c r="E19" s="28">
        <v>0</v>
      </c>
    </row>
    <row r="20" spans="1:5" x14ac:dyDescent="0.25">
      <c r="A20" s="1">
        <f t="shared" ca="1" si="0"/>
        <v>16453</v>
      </c>
      <c r="B20" s="4"/>
      <c r="C20" s="5"/>
      <c r="D20" s="5"/>
      <c r="E20" s="28">
        <v>0</v>
      </c>
    </row>
    <row r="21" spans="1:5" x14ac:dyDescent="0.25">
      <c r="A21" s="1">
        <f t="shared" ca="1" si="0"/>
        <v>16454</v>
      </c>
      <c r="B21" s="4"/>
      <c r="C21" s="5"/>
      <c r="D21" s="5"/>
      <c r="E21" s="28">
        <v>19</v>
      </c>
    </row>
    <row r="22" spans="1:5" x14ac:dyDescent="0.25">
      <c r="A22" s="1">
        <f t="shared" ca="1" si="0"/>
        <v>16455</v>
      </c>
      <c r="B22" s="4"/>
      <c r="C22" s="5"/>
      <c r="D22" s="5"/>
      <c r="E22" s="28">
        <v>116</v>
      </c>
    </row>
    <row r="23" spans="1:5" x14ac:dyDescent="0.25">
      <c r="A23" s="1">
        <f t="shared" ca="1" si="0"/>
        <v>16456</v>
      </c>
      <c r="B23" s="4"/>
      <c r="C23" s="5"/>
      <c r="D23" s="5"/>
      <c r="E23" s="28">
        <v>0</v>
      </c>
    </row>
    <row r="24" spans="1:5" x14ac:dyDescent="0.25">
      <c r="A24" s="1">
        <f t="shared" ca="1" si="0"/>
        <v>16457</v>
      </c>
      <c r="B24" s="4"/>
      <c r="C24" s="5"/>
      <c r="D24" s="5"/>
      <c r="E24" s="28">
        <v>0</v>
      </c>
    </row>
    <row r="25" spans="1:5" x14ac:dyDescent="0.25">
      <c r="A25" s="1">
        <f t="shared" ca="1" si="0"/>
        <v>16458</v>
      </c>
      <c r="B25" s="4"/>
      <c r="C25" s="5"/>
      <c r="D25" s="5"/>
      <c r="E25" s="28">
        <v>0</v>
      </c>
    </row>
    <row r="26" spans="1:5" x14ac:dyDescent="0.25">
      <c r="A26" s="1">
        <f t="shared" ca="1" si="0"/>
        <v>16459</v>
      </c>
      <c r="B26" s="4"/>
      <c r="C26" s="5"/>
      <c r="D26" s="5"/>
      <c r="E26" s="28">
        <v>0</v>
      </c>
    </row>
    <row r="27" spans="1:5" x14ac:dyDescent="0.25">
      <c r="A27" s="1">
        <f t="shared" ca="1" si="0"/>
        <v>16460</v>
      </c>
      <c r="B27" s="4"/>
      <c r="C27" s="5"/>
      <c r="D27" s="5"/>
      <c r="E27" s="28">
        <v>0</v>
      </c>
    </row>
    <row r="28" spans="1:5" x14ac:dyDescent="0.25">
      <c r="A28" s="1">
        <f t="shared" ca="1" si="0"/>
        <v>16461</v>
      </c>
      <c r="B28" s="4"/>
      <c r="C28" s="5"/>
      <c r="D28" s="5"/>
      <c r="E28" s="28">
        <v>0</v>
      </c>
    </row>
    <row r="29" spans="1:5" x14ac:dyDescent="0.25">
      <c r="A29" s="1">
        <f t="shared" ca="1" si="0"/>
        <v>16462</v>
      </c>
      <c r="B29" s="4"/>
      <c r="C29" s="5"/>
      <c r="D29" s="5"/>
      <c r="E29" s="28">
        <v>0</v>
      </c>
    </row>
    <row r="30" spans="1:5" x14ac:dyDescent="0.25">
      <c r="A30" s="1">
        <f t="shared" ca="1" si="0"/>
        <v>16463</v>
      </c>
      <c r="B30" s="4"/>
      <c r="C30" s="5"/>
      <c r="D30" s="5"/>
      <c r="E30" s="28">
        <v>0</v>
      </c>
    </row>
    <row r="31" spans="1:5" x14ac:dyDescent="0.25">
      <c r="A31" s="1">
        <f t="shared" ca="1" si="0"/>
        <v>16464</v>
      </c>
      <c r="B31" s="4"/>
      <c r="C31" s="5"/>
      <c r="D31" s="5"/>
      <c r="E31" s="28">
        <v>0</v>
      </c>
    </row>
    <row r="32" spans="1:5" x14ac:dyDescent="0.25">
      <c r="A32" s="1">
        <f t="shared" ca="1" si="0"/>
        <v>16465</v>
      </c>
      <c r="B32" s="4"/>
      <c r="C32" s="5"/>
      <c r="D32" s="5"/>
      <c r="E32" s="28">
        <v>0</v>
      </c>
    </row>
    <row r="33" spans="1:5" x14ac:dyDescent="0.25">
      <c r="A33" s="1">
        <f t="shared" ca="1" si="0"/>
        <v>16466</v>
      </c>
      <c r="B33" s="4"/>
      <c r="C33" s="5"/>
      <c r="D33" s="5"/>
      <c r="E33" s="28">
        <v>0</v>
      </c>
    </row>
    <row r="34" spans="1:5" x14ac:dyDescent="0.25">
      <c r="A34" s="1">
        <f t="shared" ca="1" si="0"/>
        <v>16467</v>
      </c>
      <c r="B34" s="4"/>
      <c r="C34" s="5"/>
      <c r="D34" s="5"/>
      <c r="E34" s="28">
        <v>0</v>
      </c>
    </row>
    <row r="35" spans="1:5" x14ac:dyDescent="0.25">
      <c r="A35" s="1">
        <f t="shared" ca="1" si="0"/>
        <v>16468</v>
      </c>
      <c r="B35" s="4"/>
      <c r="C35" s="5"/>
      <c r="D35" s="5"/>
      <c r="E35" s="28">
        <v>0</v>
      </c>
    </row>
    <row r="36" spans="1:5" x14ac:dyDescent="0.25">
      <c r="A36" s="1" t="str">
        <f t="shared" ca="1" si="0"/>
        <v>Totaal</v>
      </c>
      <c r="B36" s="18" t="str">
        <f>IF(COUNT(B5:B35)&gt;0,AVERAGE(B5:B35),"")</f>
        <v/>
      </c>
      <c r="C36" s="19" t="str">
        <f t="shared" ref="C36:D36" si="1">IF(COUNT(C5:C35)&gt;0,AVERAGE(C5:C35),"")</f>
        <v/>
      </c>
      <c r="D36" s="19" t="str">
        <f t="shared" si="1"/>
        <v/>
      </c>
      <c r="E36" s="29">
        <f>SUM(E5:E35)/10</f>
        <v>90.4</v>
      </c>
    </row>
    <row r="37" spans="1:5" x14ac:dyDescent="0.25">
      <c r="A37" s="1">
        <f t="shared" ca="1" si="0"/>
        <v>16469</v>
      </c>
      <c r="B37" s="4"/>
      <c r="C37" s="5"/>
      <c r="D37" s="5"/>
      <c r="E37" s="28">
        <v>0</v>
      </c>
    </row>
    <row r="38" spans="1:5" x14ac:dyDescent="0.25">
      <c r="A38" s="1">
        <f t="shared" ca="1" si="0"/>
        <v>16470</v>
      </c>
      <c r="B38" s="4"/>
      <c r="C38" s="5"/>
      <c r="D38" s="5"/>
      <c r="E38" s="28">
        <v>0</v>
      </c>
    </row>
    <row r="39" spans="1:5" x14ac:dyDescent="0.25">
      <c r="A39" s="1">
        <f t="shared" ca="1" si="0"/>
        <v>16471</v>
      </c>
      <c r="B39" s="4"/>
      <c r="C39" s="5"/>
      <c r="D39" s="5"/>
      <c r="E39" s="28">
        <v>0</v>
      </c>
    </row>
    <row r="40" spans="1:5" x14ac:dyDescent="0.25">
      <c r="A40" s="1">
        <f t="shared" ca="1" si="0"/>
        <v>16472</v>
      </c>
      <c r="B40" s="4"/>
      <c r="C40" s="5"/>
      <c r="D40" s="5"/>
      <c r="E40" s="28">
        <v>0</v>
      </c>
    </row>
    <row r="41" spans="1:5" x14ac:dyDescent="0.25">
      <c r="A41" s="1">
        <f t="shared" ca="1" si="0"/>
        <v>16473</v>
      </c>
      <c r="B41" s="4"/>
      <c r="C41" s="5"/>
      <c r="D41" s="5"/>
      <c r="E41" s="28">
        <v>0</v>
      </c>
    </row>
    <row r="42" spans="1:5" x14ac:dyDescent="0.25">
      <c r="A42" s="1">
        <f t="shared" ca="1" si="0"/>
        <v>16474</v>
      </c>
      <c r="B42" s="4"/>
      <c r="C42" s="5"/>
      <c r="D42" s="5"/>
      <c r="E42" s="28">
        <v>18</v>
      </c>
    </row>
    <row r="43" spans="1:5" x14ac:dyDescent="0.25">
      <c r="A43" s="1">
        <f t="shared" ca="1" si="0"/>
        <v>16475</v>
      </c>
      <c r="B43" s="4"/>
      <c r="C43" s="5"/>
      <c r="D43" s="5"/>
      <c r="E43" s="28">
        <v>0</v>
      </c>
    </row>
    <row r="44" spans="1:5" x14ac:dyDescent="0.25">
      <c r="A44" s="1">
        <f t="shared" ca="1" si="0"/>
        <v>16476</v>
      </c>
      <c r="B44" s="4"/>
      <c r="C44" s="5"/>
      <c r="D44" s="5"/>
      <c r="E44" s="28">
        <v>0</v>
      </c>
    </row>
    <row r="45" spans="1:5" x14ac:dyDescent="0.25">
      <c r="A45" s="1">
        <f t="shared" ca="1" si="0"/>
        <v>16477</v>
      </c>
      <c r="B45" s="4"/>
      <c r="C45" s="5"/>
      <c r="D45" s="5"/>
      <c r="E45" s="28">
        <v>21</v>
      </c>
    </row>
    <row r="46" spans="1:5" x14ac:dyDescent="0.25">
      <c r="A46" s="1">
        <f t="shared" ca="1" si="0"/>
        <v>16478</v>
      </c>
      <c r="B46" s="4"/>
      <c r="C46" s="5"/>
      <c r="D46" s="5"/>
      <c r="E46" s="28">
        <v>0</v>
      </c>
    </row>
    <row r="47" spans="1:5" x14ac:dyDescent="0.25">
      <c r="A47" s="1">
        <f t="shared" ca="1" si="0"/>
        <v>16479</v>
      </c>
      <c r="B47" s="4"/>
      <c r="C47" s="5"/>
      <c r="D47" s="5"/>
      <c r="E47" s="28">
        <v>12</v>
      </c>
    </row>
    <row r="48" spans="1:5" x14ac:dyDescent="0.25">
      <c r="A48" s="1">
        <f t="shared" ca="1" si="0"/>
        <v>16480</v>
      </c>
      <c r="B48" s="4"/>
      <c r="C48" s="5"/>
      <c r="D48" s="5"/>
      <c r="E48" s="28">
        <v>0</v>
      </c>
    </row>
    <row r="49" spans="1:5" x14ac:dyDescent="0.25">
      <c r="A49" s="1">
        <f t="shared" ca="1" si="0"/>
        <v>16481</v>
      </c>
      <c r="B49" s="4"/>
      <c r="C49" s="5"/>
      <c r="D49" s="5"/>
      <c r="E49" s="28">
        <v>20</v>
      </c>
    </row>
    <row r="50" spans="1:5" x14ac:dyDescent="0.25">
      <c r="A50" s="1">
        <f t="shared" ca="1" si="0"/>
        <v>16482</v>
      </c>
      <c r="B50" s="4"/>
      <c r="C50" s="5"/>
      <c r="D50" s="5"/>
      <c r="E50" s="28">
        <v>7</v>
      </c>
    </row>
    <row r="51" spans="1:5" x14ac:dyDescent="0.25">
      <c r="A51" s="1">
        <f t="shared" ca="1" si="0"/>
        <v>16483</v>
      </c>
      <c r="B51" s="4"/>
      <c r="C51" s="5"/>
      <c r="D51" s="5"/>
      <c r="E51" s="28">
        <v>0</v>
      </c>
    </row>
    <row r="52" spans="1:5" x14ac:dyDescent="0.25">
      <c r="A52" s="1">
        <f t="shared" ca="1" si="0"/>
        <v>16484</v>
      </c>
      <c r="B52" s="4"/>
      <c r="C52" s="5"/>
      <c r="D52" s="5"/>
      <c r="E52" s="28">
        <v>0</v>
      </c>
    </row>
    <row r="53" spans="1:5" x14ac:dyDescent="0.25">
      <c r="A53" s="1">
        <f t="shared" ca="1" si="0"/>
        <v>16485</v>
      </c>
      <c r="B53" s="4"/>
      <c r="C53" s="5"/>
      <c r="D53" s="5"/>
      <c r="E53" s="28">
        <v>0</v>
      </c>
    </row>
    <row r="54" spans="1:5" x14ac:dyDescent="0.25">
      <c r="A54" s="1">
        <f t="shared" ca="1" si="0"/>
        <v>16486</v>
      </c>
      <c r="B54" s="4"/>
      <c r="C54" s="5"/>
      <c r="D54" s="5"/>
      <c r="E54" s="28">
        <v>0</v>
      </c>
    </row>
    <row r="55" spans="1:5" x14ac:dyDescent="0.25">
      <c r="A55" s="1">
        <f t="shared" ca="1" si="0"/>
        <v>16487</v>
      </c>
      <c r="B55" s="4"/>
      <c r="C55" s="5"/>
      <c r="D55" s="5"/>
      <c r="E55" s="28">
        <v>0</v>
      </c>
    </row>
    <row r="56" spans="1:5" x14ac:dyDescent="0.25">
      <c r="A56" s="1">
        <f t="shared" ca="1" si="0"/>
        <v>16488</v>
      </c>
      <c r="B56" s="4"/>
      <c r="C56" s="5"/>
      <c r="D56" s="5"/>
      <c r="E56" s="28">
        <v>0</v>
      </c>
    </row>
    <row r="57" spans="1:5" x14ac:dyDescent="0.25">
      <c r="A57" s="1">
        <f t="shared" ca="1" si="0"/>
        <v>16489</v>
      </c>
      <c r="B57" s="4"/>
      <c r="C57" s="5"/>
      <c r="D57" s="5"/>
      <c r="E57" s="28">
        <v>0</v>
      </c>
    </row>
    <row r="58" spans="1:5" x14ac:dyDescent="0.25">
      <c r="A58" s="1">
        <f t="shared" ca="1" si="0"/>
        <v>16490</v>
      </c>
      <c r="B58" s="4"/>
      <c r="C58" s="5"/>
      <c r="D58" s="5"/>
      <c r="E58" s="28">
        <v>0</v>
      </c>
    </row>
    <row r="59" spans="1:5" x14ac:dyDescent="0.25">
      <c r="A59" s="1">
        <f t="shared" ca="1" si="0"/>
        <v>16491</v>
      </c>
      <c r="B59" s="4"/>
      <c r="C59" s="5"/>
      <c r="D59" s="5"/>
      <c r="E59" s="28">
        <v>0</v>
      </c>
    </row>
    <row r="60" spans="1:5" x14ac:dyDescent="0.25">
      <c r="A60" s="1">
        <f t="shared" ca="1" si="0"/>
        <v>16492</v>
      </c>
      <c r="B60" s="4"/>
      <c r="C60" s="5"/>
      <c r="D60" s="5"/>
      <c r="E60" s="28">
        <v>0</v>
      </c>
    </row>
    <row r="61" spans="1:5" x14ac:dyDescent="0.25">
      <c r="A61" s="1">
        <f t="shared" ca="1" si="0"/>
        <v>16493</v>
      </c>
      <c r="B61" s="4"/>
      <c r="C61" s="5"/>
      <c r="D61" s="5"/>
      <c r="E61" s="28">
        <v>91</v>
      </c>
    </row>
    <row r="62" spans="1:5" x14ac:dyDescent="0.25">
      <c r="A62" s="1">
        <f t="shared" ca="1" si="0"/>
        <v>16494</v>
      </c>
      <c r="B62" s="4"/>
      <c r="C62" s="5"/>
      <c r="D62" s="5"/>
      <c r="E62" s="28">
        <v>6</v>
      </c>
    </row>
    <row r="63" spans="1:5" x14ac:dyDescent="0.25">
      <c r="A63" s="1">
        <f t="shared" ca="1" si="0"/>
        <v>16495</v>
      </c>
      <c r="B63" s="4"/>
      <c r="C63" s="5"/>
      <c r="D63" s="5"/>
      <c r="E63" s="28">
        <v>38</v>
      </c>
    </row>
    <row r="64" spans="1:5" x14ac:dyDescent="0.25">
      <c r="A64" s="1">
        <f t="shared" ca="1" si="0"/>
        <v>16496</v>
      </c>
      <c r="B64" s="4"/>
      <c r="C64" s="5"/>
      <c r="D64" s="5"/>
      <c r="E64" s="28">
        <v>8</v>
      </c>
    </row>
    <row r="65" spans="1:5" x14ac:dyDescent="0.25">
      <c r="A65" s="1" t="str">
        <f t="shared" ca="1" si="0"/>
        <v>Totaal</v>
      </c>
      <c r="B65" s="18" t="str">
        <f t="shared" ref="B65:D65" si="2">IF(COUNT(B37:B64)&gt;0,AVERAGE(B37:B64),"")</f>
        <v/>
      </c>
      <c r="C65" s="19" t="str">
        <f t="shared" si="2"/>
        <v/>
      </c>
      <c r="D65" s="19" t="str">
        <f t="shared" si="2"/>
        <v/>
      </c>
      <c r="E65" s="29">
        <f>SUM(E37:E64)/10</f>
        <v>22.1</v>
      </c>
    </row>
    <row r="66" spans="1:5" x14ac:dyDescent="0.25">
      <c r="A66" s="1">
        <f t="shared" ca="1" si="0"/>
        <v>16497</v>
      </c>
      <c r="B66" s="4"/>
      <c r="C66" s="5"/>
      <c r="D66" s="5"/>
      <c r="E66" s="28">
        <v>0</v>
      </c>
    </row>
    <row r="67" spans="1:5" x14ac:dyDescent="0.25">
      <c r="A67" s="1">
        <f t="shared" ca="1" si="0"/>
        <v>16498</v>
      </c>
      <c r="B67" s="4"/>
      <c r="C67" s="5"/>
      <c r="D67" s="5"/>
      <c r="E67" s="28">
        <v>0</v>
      </c>
    </row>
    <row r="68" spans="1:5" x14ac:dyDescent="0.25">
      <c r="A68" s="1">
        <f t="shared" ca="1" si="0"/>
        <v>16499</v>
      </c>
      <c r="B68" s="4"/>
      <c r="C68" s="5"/>
      <c r="D68" s="5"/>
      <c r="E68" s="28">
        <v>0</v>
      </c>
    </row>
    <row r="69" spans="1:5" x14ac:dyDescent="0.25">
      <c r="A69" s="1">
        <f t="shared" ca="1" si="0"/>
        <v>16500</v>
      </c>
      <c r="B69" s="4"/>
      <c r="C69" s="5"/>
      <c r="D69" s="5"/>
      <c r="E69" s="28">
        <v>0</v>
      </c>
    </row>
    <row r="70" spans="1:5" x14ac:dyDescent="0.25">
      <c r="A70" s="1">
        <f t="shared" ca="1" si="0"/>
        <v>16501</v>
      </c>
      <c r="B70" s="4"/>
      <c r="C70" s="5"/>
      <c r="D70" s="5"/>
      <c r="E70" s="28">
        <v>0</v>
      </c>
    </row>
    <row r="71" spans="1:5" x14ac:dyDescent="0.25">
      <c r="A71" s="1">
        <f t="shared" ref="A71:A134" ca="1" si="3">IF(ISTEXT(A70),A69+1,IF(MONTH(A70+1)=MONTH(A70),A70+1,"Totaal"))</f>
        <v>16502</v>
      </c>
      <c r="B71" s="4"/>
      <c r="C71" s="5"/>
      <c r="D71" s="5"/>
      <c r="E71" s="28">
        <v>0</v>
      </c>
    </row>
    <row r="72" spans="1:5" x14ac:dyDescent="0.25">
      <c r="A72" s="1">
        <f t="shared" ca="1" si="3"/>
        <v>16503</v>
      </c>
      <c r="B72" s="4"/>
      <c r="C72" s="5"/>
      <c r="D72" s="5"/>
      <c r="E72" s="28">
        <v>0</v>
      </c>
    </row>
    <row r="73" spans="1:5" x14ac:dyDescent="0.25">
      <c r="A73" s="1">
        <f t="shared" ca="1" si="3"/>
        <v>16504</v>
      </c>
      <c r="B73" s="4"/>
      <c r="C73" s="5"/>
      <c r="D73" s="5"/>
      <c r="E73" s="28">
        <v>12</v>
      </c>
    </row>
    <row r="74" spans="1:5" x14ac:dyDescent="0.25">
      <c r="A74" s="1">
        <f t="shared" ca="1" si="3"/>
        <v>16505</v>
      </c>
      <c r="B74" s="4"/>
      <c r="C74" s="5"/>
      <c r="D74" s="5"/>
      <c r="E74" s="28">
        <v>0</v>
      </c>
    </row>
    <row r="75" spans="1:5" x14ac:dyDescent="0.25">
      <c r="A75" s="1">
        <f t="shared" ca="1" si="3"/>
        <v>16506</v>
      </c>
      <c r="B75" s="4"/>
      <c r="C75" s="5"/>
      <c r="D75" s="5"/>
      <c r="E75" s="28">
        <v>0</v>
      </c>
    </row>
    <row r="76" spans="1:5" x14ac:dyDescent="0.25">
      <c r="A76" s="1">
        <f t="shared" ca="1" si="3"/>
        <v>16507</v>
      </c>
      <c r="B76" s="4"/>
      <c r="C76" s="5"/>
      <c r="D76" s="5"/>
      <c r="E76" s="28">
        <v>0</v>
      </c>
    </row>
    <row r="77" spans="1:5" x14ac:dyDescent="0.25">
      <c r="A77" s="1">
        <f t="shared" ca="1" si="3"/>
        <v>16508</v>
      </c>
      <c r="B77" s="4"/>
      <c r="C77" s="5"/>
      <c r="D77" s="5"/>
      <c r="E77" s="28">
        <v>0</v>
      </c>
    </row>
    <row r="78" spans="1:5" x14ac:dyDescent="0.25">
      <c r="A78" s="1">
        <f t="shared" ca="1" si="3"/>
        <v>16509</v>
      </c>
      <c r="B78" s="4"/>
      <c r="C78" s="5"/>
      <c r="D78" s="5"/>
      <c r="E78" s="28">
        <v>0</v>
      </c>
    </row>
    <row r="79" spans="1:5" x14ac:dyDescent="0.25">
      <c r="A79" s="1">
        <f t="shared" ca="1" si="3"/>
        <v>16510</v>
      </c>
      <c r="B79" s="4"/>
      <c r="C79" s="5"/>
      <c r="D79" s="5"/>
      <c r="E79" s="28">
        <v>0</v>
      </c>
    </row>
    <row r="80" spans="1:5" x14ac:dyDescent="0.25">
      <c r="A80" s="1">
        <f t="shared" ca="1" si="3"/>
        <v>16511</v>
      </c>
      <c r="B80" s="4"/>
      <c r="C80" s="5"/>
      <c r="D80" s="5"/>
      <c r="E80" s="28">
        <v>50</v>
      </c>
    </row>
    <row r="81" spans="1:5" x14ac:dyDescent="0.25">
      <c r="A81" s="1">
        <f t="shared" ca="1" si="3"/>
        <v>16512</v>
      </c>
      <c r="B81" s="4"/>
      <c r="C81" s="5"/>
      <c r="D81" s="5"/>
      <c r="E81" s="28">
        <v>0</v>
      </c>
    </row>
    <row r="82" spans="1:5" x14ac:dyDescent="0.25">
      <c r="A82" s="1">
        <f t="shared" ca="1" si="3"/>
        <v>16513</v>
      </c>
      <c r="B82" s="4"/>
      <c r="C82" s="5"/>
      <c r="D82" s="5"/>
      <c r="E82" s="28">
        <v>0</v>
      </c>
    </row>
    <row r="83" spans="1:5" x14ac:dyDescent="0.25">
      <c r="A83" s="1">
        <f t="shared" ca="1" si="3"/>
        <v>16514</v>
      </c>
      <c r="B83" s="4"/>
      <c r="C83" s="5"/>
      <c r="D83" s="5"/>
      <c r="E83" s="28">
        <v>0</v>
      </c>
    </row>
    <row r="84" spans="1:5" x14ac:dyDescent="0.25">
      <c r="A84" s="1">
        <f t="shared" ca="1" si="3"/>
        <v>16515</v>
      </c>
      <c r="B84" s="4"/>
      <c r="C84" s="5"/>
      <c r="D84" s="5"/>
      <c r="E84" s="28">
        <v>0</v>
      </c>
    </row>
    <row r="85" spans="1:5" x14ac:dyDescent="0.25">
      <c r="A85" s="1">
        <f t="shared" ca="1" si="3"/>
        <v>16516</v>
      </c>
      <c r="B85" s="4"/>
      <c r="C85" s="5"/>
      <c r="D85" s="5"/>
      <c r="E85" s="28">
        <v>0</v>
      </c>
    </row>
    <row r="86" spans="1:5" x14ac:dyDescent="0.25">
      <c r="A86" s="1">
        <f t="shared" ca="1" si="3"/>
        <v>16517</v>
      </c>
      <c r="B86" s="4"/>
      <c r="C86" s="5"/>
      <c r="D86" s="5"/>
      <c r="E86" s="28">
        <v>0</v>
      </c>
    </row>
    <row r="87" spans="1:5" x14ac:dyDescent="0.25">
      <c r="A87" s="1">
        <f t="shared" ca="1" si="3"/>
        <v>16518</v>
      </c>
      <c r="B87" s="4"/>
      <c r="C87" s="5"/>
      <c r="D87" s="5"/>
      <c r="E87" s="28">
        <v>0</v>
      </c>
    </row>
    <row r="88" spans="1:5" x14ac:dyDescent="0.25">
      <c r="A88" s="1">
        <f t="shared" ca="1" si="3"/>
        <v>16519</v>
      </c>
      <c r="B88" s="4"/>
      <c r="C88" s="5"/>
      <c r="D88" s="5"/>
      <c r="E88" s="28">
        <v>0</v>
      </c>
    </row>
    <row r="89" spans="1:5" x14ac:dyDescent="0.25">
      <c r="A89" s="1">
        <f t="shared" ca="1" si="3"/>
        <v>16520</v>
      </c>
      <c r="B89" s="4"/>
      <c r="C89" s="5"/>
      <c r="D89" s="5"/>
      <c r="E89" s="28">
        <v>0</v>
      </c>
    </row>
    <row r="90" spans="1:5" x14ac:dyDescent="0.25">
      <c r="A90" s="1">
        <f t="shared" ca="1" si="3"/>
        <v>16521</v>
      </c>
      <c r="B90" s="4"/>
      <c r="C90" s="5"/>
      <c r="D90" s="5"/>
      <c r="E90" s="28">
        <v>0</v>
      </c>
    </row>
    <row r="91" spans="1:5" x14ac:dyDescent="0.25">
      <c r="A91" s="1">
        <f t="shared" ca="1" si="3"/>
        <v>16522</v>
      </c>
      <c r="B91" s="4"/>
      <c r="C91" s="5"/>
      <c r="D91" s="5"/>
      <c r="E91" s="28">
        <v>0</v>
      </c>
    </row>
    <row r="92" spans="1:5" x14ac:dyDescent="0.25">
      <c r="A92" s="1">
        <f t="shared" ca="1" si="3"/>
        <v>16523</v>
      </c>
      <c r="B92" s="4"/>
      <c r="C92" s="5"/>
      <c r="D92" s="5"/>
      <c r="E92" s="28">
        <v>70</v>
      </c>
    </row>
    <row r="93" spans="1:5" x14ac:dyDescent="0.25">
      <c r="A93" s="1">
        <f t="shared" ca="1" si="3"/>
        <v>16524</v>
      </c>
      <c r="B93" s="4"/>
      <c r="C93" s="5"/>
      <c r="D93" s="5"/>
      <c r="E93" s="28">
        <v>0</v>
      </c>
    </row>
    <row r="94" spans="1:5" x14ac:dyDescent="0.25">
      <c r="A94" s="1">
        <f t="shared" ca="1" si="3"/>
        <v>16525</v>
      </c>
      <c r="B94" s="4"/>
      <c r="C94" s="5"/>
      <c r="D94" s="5"/>
      <c r="E94" s="28">
        <v>0</v>
      </c>
    </row>
    <row r="95" spans="1:5" x14ac:dyDescent="0.25">
      <c r="A95" s="1">
        <f t="shared" ca="1" si="3"/>
        <v>16526</v>
      </c>
      <c r="B95" s="4"/>
      <c r="C95" s="5"/>
      <c r="D95" s="5"/>
      <c r="E95" s="28">
        <v>0</v>
      </c>
    </row>
    <row r="96" spans="1:5" x14ac:dyDescent="0.25">
      <c r="A96" s="1">
        <f t="shared" ca="1" si="3"/>
        <v>16527</v>
      </c>
      <c r="B96" s="4"/>
      <c r="C96" s="5"/>
      <c r="D96" s="5"/>
      <c r="E96" s="28">
        <v>0</v>
      </c>
    </row>
    <row r="97" spans="1:5" x14ac:dyDescent="0.25">
      <c r="A97" s="1" t="str">
        <f t="shared" ca="1" si="3"/>
        <v>Totaal</v>
      </c>
      <c r="B97" s="18" t="str">
        <f>IF(COUNT(B66:B96)&gt;0,AVERAGE(B66:B96),"")</f>
        <v/>
      </c>
      <c r="C97" s="19" t="str">
        <f t="shared" ref="C97" si="4">IF(COUNT(C66:C96)&gt;0,AVERAGE(C66:C96),"")</f>
        <v/>
      </c>
      <c r="D97" s="19" t="str">
        <f t="shared" ref="D97" si="5">IF(COUNT(D66:D96)&gt;0,AVERAGE(D66:D96),"")</f>
        <v/>
      </c>
      <c r="E97" s="29">
        <f>SUM(E66:E96)/10</f>
        <v>13.2</v>
      </c>
    </row>
    <row r="98" spans="1:5" x14ac:dyDescent="0.25">
      <c r="A98" s="1">
        <f t="shared" ca="1" si="3"/>
        <v>16528</v>
      </c>
      <c r="B98" s="4"/>
      <c r="C98" s="5"/>
      <c r="D98" s="5"/>
      <c r="E98" s="28">
        <v>20</v>
      </c>
    </row>
    <row r="99" spans="1:5" x14ac:dyDescent="0.25">
      <c r="A99" s="1">
        <f t="shared" ca="1" si="3"/>
        <v>16529</v>
      </c>
      <c r="B99" s="4"/>
      <c r="C99" s="5"/>
      <c r="D99" s="5"/>
      <c r="E99" s="28">
        <v>30</v>
      </c>
    </row>
    <row r="100" spans="1:5" x14ac:dyDescent="0.25">
      <c r="A100" s="1">
        <f t="shared" ca="1" si="3"/>
        <v>16530</v>
      </c>
      <c r="B100" s="4"/>
      <c r="C100" s="5"/>
      <c r="D100" s="5"/>
      <c r="E100" s="28">
        <v>0</v>
      </c>
    </row>
    <row r="101" spans="1:5" x14ac:dyDescent="0.25">
      <c r="A101" s="1">
        <f t="shared" ca="1" si="3"/>
        <v>16531</v>
      </c>
      <c r="B101" s="4"/>
      <c r="C101" s="5"/>
      <c r="D101" s="5"/>
      <c r="E101" s="28">
        <v>0</v>
      </c>
    </row>
    <row r="102" spans="1:5" x14ac:dyDescent="0.25">
      <c r="A102" s="1">
        <f t="shared" ca="1" si="3"/>
        <v>16532</v>
      </c>
      <c r="B102" s="4"/>
      <c r="C102" s="5"/>
      <c r="D102" s="5"/>
      <c r="E102" s="28">
        <v>0</v>
      </c>
    </row>
    <row r="103" spans="1:5" x14ac:dyDescent="0.25">
      <c r="A103" s="1">
        <f t="shared" ca="1" si="3"/>
        <v>16533</v>
      </c>
      <c r="B103" s="4"/>
      <c r="C103" s="5"/>
      <c r="D103" s="5"/>
      <c r="E103" s="28">
        <v>0</v>
      </c>
    </row>
    <row r="104" spans="1:5" x14ac:dyDescent="0.25">
      <c r="A104" s="1">
        <f t="shared" ca="1" si="3"/>
        <v>16534</v>
      </c>
      <c r="B104" s="4"/>
      <c r="C104" s="5"/>
      <c r="D104" s="5"/>
      <c r="E104" s="28">
        <v>0</v>
      </c>
    </row>
    <row r="105" spans="1:5" x14ac:dyDescent="0.25">
      <c r="A105" s="1">
        <f t="shared" ca="1" si="3"/>
        <v>16535</v>
      </c>
      <c r="B105" s="4"/>
      <c r="C105" s="5"/>
      <c r="D105" s="5"/>
      <c r="E105" s="28">
        <v>0</v>
      </c>
    </row>
    <row r="106" spans="1:5" x14ac:dyDescent="0.25">
      <c r="A106" s="1">
        <f t="shared" ca="1" si="3"/>
        <v>16536</v>
      </c>
      <c r="B106" s="4"/>
      <c r="C106" s="5"/>
      <c r="D106" s="5"/>
      <c r="E106" s="28">
        <v>0</v>
      </c>
    </row>
    <row r="107" spans="1:5" x14ac:dyDescent="0.25">
      <c r="A107" s="1">
        <f t="shared" ca="1" si="3"/>
        <v>16537</v>
      </c>
      <c r="B107" s="4"/>
      <c r="C107" s="5"/>
      <c r="D107" s="5"/>
      <c r="E107" s="28">
        <v>0</v>
      </c>
    </row>
    <row r="108" spans="1:5" x14ac:dyDescent="0.25">
      <c r="A108" s="1">
        <f t="shared" ca="1" si="3"/>
        <v>16538</v>
      </c>
      <c r="B108" s="4"/>
      <c r="C108" s="5"/>
      <c r="D108" s="5"/>
      <c r="E108" s="28">
        <v>41</v>
      </c>
    </row>
    <row r="109" spans="1:5" x14ac:dyDescent="0.25">
      <c r="A109" s="1">
        <f t="shared" ca="1" si="3"/>
        <v>16539</v>
      </c>
      <c r="B109" s="4"/>
      <c r="C109" s="5"/>
      <c r="D109" s="5"/>
      <c r="E109" s="28">
        <v>4</v>
      </c>
    </row>
    <row r="110" spans="1:5" x14ac:dyDescent="0.25">
      <c r="A110" s="1">
        <f t="shared" ca="1" si="3"/>
        <v>16540</v>
      </c>
      <c r="B110" s="4"/>
      <c r="C110" s="5"/>
      <c r="D110" s="5"/>
      <c r="E110" s="28">
        <v>0</v>
      </c>
    </row>
    <row r="111" spans="1:5" x14ac:dyDescent="0.25">
      <c r="A111" s="1">
        <f t="shared" ca="1" si="3"/>
        <v>16541</v>
      </c>
      <c r="B111" s="4"/>
      <c r="C111" s="5"/>
      <c r="D111" s="5"/>
      <c r="E111" s="28">
        <v>42</v>
      </c>
    </row>
    <row r="112" spans="1:5" x14ac:dyDescent="0.25">
      <c r="A112" s="1">
        <f t="shared" ca="1" si="3"/>
        <v>16542</v>
      </c>
      <c r="B112" s="4"/>
      <c r="C112" s="5"/>
      <c r="D112" s="5"/>
      <c r="E112" s="28">
        <v>74</v>
      </c>
    </row>
    <row r="113" spans="1:5" x14ac:dyDescent="0.25">
      <c r="A113" s="1">
        <f t="shared" ca="1" si="3"/>
        <v>16543</v>
      </c>
      <c r="B113" s="4"/>
      <c r="C113" s="5"/>
      <c r="D113" s="5"/>
      <c r="E113" s="28">
        <v>22</v>
      </c>
    </row>
    <row r="114" spans="1:5" x14ac:dyDescent="0.25">
      <c r="A114" s="1">
        <f t="shared" ca="1" si="3"/>
        <v>16544</v>
      </c>
      <c r="B114" s="4"/>
      <c r="C114" s="5"/>
      <c r="D114" s="5"/>
      <c r="E114" s="28">
        <v>0</v>
      </c>
    </row>
    <row r="115" spans="1:5" x14ac:dyDescent="0.25">
      <c r="A115" s="1">
        <f t="shared" ca="1" si="3"/>
        <v>16545</v>
      </c>
      <c r="B115" s="4"/>
      <c r="C115" s="5"/>
      <c r="D115" s="5"/>
      <c r="E115" s="28">
        <v>0</v>
      </c>
    </row>
    <row r="116" spans="1:5" x14ac:dyDescent="0.25">
      <c r="A116" s="1">
        <f t="shared" ca="1" si="3"/>
        <v>16546</v>
      </c>
      <c r="B116" s="4"/>
      <c r="C116" s="5"/>
      <c r="D116" s="5"/>
      <c r="E116" s="28">
        <v>0</v>
      </c>
    </row>
    <row r="117" spans="1:5" x14ac:dyDescent="0.25">
      <c r="A117" s="1">
        <f t="shared" ca="1" si="3"/>
        <v>16547</v>
      </c>
      <c r="B117" s="4"/>
      <c r="C117" s="5"/>
      <c r="D117" s="5"/>
      <c r="E117" s="28">
        <v>0</v>
      </c>
    </row>
    <row r="118" spans="1:5" x14ac:dyDescent="0.25">
      <c r="A118" s="1">
        <f t="shared" ca="1" si="3"/>
        <v>16548</v>
      </c>
      <c r="B118" s="4"/>
      <c r="C118" s="5"/>
      <c r="D118" s="5"/>
      <c r="E118" s="28">
        <v>0</v>
      </c>
    </row>
    <row r="119" spans="1:5" x14ac:dyDescent="0.25">
      <c r="A119" s="1">
        <f t="shared" ca="1" si="3"/>
        <v>16549</v>
      </c>
      <c r="B119" s="4"/>
      <c r="C119" s="5"/>
      <c r="D119" s="5"/>
      <c r="E119" s="28">
        <v>0</v>
      </c>
    </row>
    <row r="120" spans="1:5" x14ac:dyDescent="0.25">
      <c r="A120" s="1">
        <f t="shared" ca="1" si="3"/>
        <v>16550</v>
      </c>
      <c r="B120" s="4"/>
      <c r="C120" s="5"/>
      <c r="D120" s="5"/>
      <c r="E120" s="28">
        <v>58</v>
      </c>
    </row>
    <row r="121" spans="1:5" x14ac:dyDescent="0.25">
      <c r="A121" s="1">
        <f t="shared" ca="1" si="3"/>
        <v>16551</v>
      </c>
      <c r="B121" s="4"/>
      <c r="C121" s="5"/>
      <c r="D121" s="5"/>
      <c r="E121" s="28">
        <v>0</v>
      </c>
    </row>
    <row r="122" spans="1:5" x14ac:dyDescent="0.25">
      <c r="A122" s="1">
        <f t="shared" ca="1" si="3"/>
        <v>16552</v>
      </c>
      <c r="B122" s="4"/>
      <c r="C122" s="5"/>
      <c r="D122" s="5"/>
      <c r="E122" s="28">
        <v>0</v>
      </c>
    </row>
    <row r="123" spans="1:5" x14ac:dyDescent="0.25">
      <c r="A123" s="1">
        <f t="shared" ca="1" si="3"/>
        <v>16553</v>
      </c>
      <c r="B123" s="4"/>
      <c r="C123" s="5"/>
      <c r="D123" s="5"/>
      <c r="E123" s="28">
        <v>0</v>
      </c>
    </row>
    <row r="124" spans="1:5" x14ac:dyDescent="0.25">
      <c r="A124" s="1">
        <f t="shared" ca="1" si="3"/>
        <v>16554</v>
      </c>
      <c r="B124" s="4"/>
      <c r="C124" s="5"/>
      <c r="D124" s="5"/>
      <c r="E124" s="28">
        <v>0</v>
      </c>
    </row>
    <row r="125" spans="1:5" x14ac:dyDescent="0.25">
      <c r="A125" s="1">
        <f t="shared" ca="1" si="3"/>
        <v>16555</v>
      </c>
      <c r="B125" s="4"/>
      <c r="C125" s="5"/>
      <c r="D125" s="5"/>
      <c r="E125" s="28">
        <v>0</v>
      </c>
    </row>
    <row r="126" spans="1:5" x14ac:dyDescent="0.25">
      <c r="A126" s="1">
        <f t="shared" ca="1" si="3"/>
        <v>16556</v>
      </c>
      <c r="B126" s="4"/>
      <c r="C126" s="5"/>
      <c r="D126" s="5"/>
      <c r="E126" s="28">
        <v>0</v>
      </c>
    </row>
    <row r="127" spans="1:5" x14ac:dyDescent="0.25">
      <c r="A127" s="1">
        <f t="shared" ca="1" si="3"/>
        <v>16557</v>
      </c>
      <c r="B127" s="4"/>
      <c r="C127" s="5"/>
      <c r="D127" s="5"/>
      <c r="E127" s="28">
        <v>0</v>
      </c>
    </row>
    <row r="128" spans="1:5" x14ac:dyDescent="0.25">
      <c r="A128" s="1" t="str">
        <f t="shared" ca="1" si="3"/>
        <v>Totaal</v>
      </c>
      <c r="B128" s="18" t="str">
        <f t="shared" ref="B128:D128" si="6">IF(COUNT(B98:B127)&gt;0,AVERAGE(B98:B127),"")</f>
        <v/>
      </c>
      <c r="C128" s="19" t="str">
        <f t="shared" si="6"/>
        <v/>
      </c>
      <c r="D128" s="19" t="str">
        <f t="shared" si="6"/>
        <v/>
      </c>
      <c r="E128" s="29">
        <f>SUM(E98:E127)/10</f>
        <v>29.1</v>
      </c>
    </row>
    <row r="129" spans="1:5" x14ac:dyDescent="0.25">
      <c r="A129" s="1">
        <f t="shared" ca="1" si="3"/>
        <v>16558</v>
      </c>
      <c r="B129" s="4"/>
      <c r="C129" s="5"/>
      <c r="D129" s="5"/>
      <c r="E129" s="28">
        <v>0</v>
      </c>
    </row>
    <row r="130" spans="1:5" x14ac:dyDescent="0.25">
      <c r="A130" s="1">
        <f t="shared" ca="1" si="3"/>
        <v>16559</v>
      </c>
      <c r="B130" s="4"/>
      <c r="C130" s="5"/>
      <c r="D130" s="5"/>
      <c r="E130" s="28">
        <v>0</v>
      </c>
    </row>
    <row r="131" spans="1:5" x14ac:dyDescent="0.25">
      <c r="A131" s="1">
        <f t="shared" ca="1" si="3"/>
        <v>16560</v>
      </c>
      <c r="B131" s="4"/>
      <c r="C131" s="5"/>
      <c r="D131" s="5"/>
      <c r="E131" s="28">
        <v>0</v>
      </c>
    </row>
    <row r="132" spans="1:5" x14ac:dyDescent="0.25">
      <c r="A132" s="1">
        <f t="shared" ca="1" si="3"/>
        <v>16561</v>
      </c>
      <c r="B132" s="4"/>
      <c r="C132" s="5"/>
      <c r="D132" s="5"/>
      <c r="E132" s="28">
        <v>0</v>
      </c>
    </row>
    <row r="133" spans="1:5" x14ac:dyDescent="0.25">
      <c r="A133" s="1">
        <f t="shared" ca="1" si="3"/>
        <v>16562</v>
      </c>
      <c r="B133" s="4"/>
      <c r="C133" s="5"/>
      <c r="D133" s="5"/>
      <c r="E133" s="28">
        <v>0</v>
      </c>
    </row>
    <row r="134" spans="1:5" x14ac:dyDescent="0.25">
      <c r="A134" s="1">
        <f t="shared" ca="1" si="3"/>
        <v>16563</v>
      </c>
      <c r="B134" s="4"/>
      <c r="C134" s="5"/>
      <c r="D134" s="5"/>
      <c r="E134" s="28">
        <v>0</v>
      </c>
    </row>
    <row r="135" spans="1:5" x14ac:dyDescent="0.25">
      <c r="A135" s="1">
        <f t="shared" ref="A135:A198" ca="1" si="7">IF(ISTEXT(A134),A133+1,IF(MONTH(A134+1)=MONTH(A134),A134+1,"Totaal"))</f>
        <v>16564</v>
      </c>
      <c r="B135" s="4"/>
      <c r="C135" s="5"/>
      <c r="D135" s="5"/>
      <c r="E135" s="28">
        <v>0</v>
      </c>
    </row>
    <row r="136" spans="1:5" x14ac:dyDescent="0.25">
      <c r="A136" s="1">
        <f t="shared" ca="1" si="7"/>
        <v>16565</v>
      </c>
      <c r="B136" s="4"/>
      <c r="C136" s="5"/>
      <c r="D136" s="5"/>
      <c r="E136" s="28">
        <v>40</v>
      </c>
    </row>
    <row r="137" spans="1:5" x14ac:dyDescent="0.25">
      <c r="A137" s="1">
        <f t="shared" ca="1" si="7"/>
        <v>16566</v>
      </c>
      <c r="B137" s="4"/>
      <c r="C137" s="5"/>
      <c r="D137" s="5"/>
      <c r="E137" s="28">
        <v>0</v>
      </c>
    </row>
    <row r="138" spans="1:5" x14ac:dyDescent="0.25">
      <c r="A138" s="1">
        <f t="shared" ca="1" si="7"/>
        <v>16567</v>
      </c>
      <c r="B138" s="4"/>
      <c r="C138" s="5"/>
      <c r="D138" s="5"/>
      <c r="E138" s="28">
        <v>0</v>
      </c>
    </row>
    <row r="139" spans="1:5" x14ac:dyDescent="0.25">
      <c r="A139" s="1">
        <f t="shared" ca="1" si="7"/>
        <v>16568</v>
      </c>
      <c r="B139" s="4"/>
      <c r="C139" s="5"/>
      <c r="D139" s="5"/>
      <c r="E139" s="28">
        <v>200</v>
      </c>
    </row>
    <row r="140" spans="1:5" x14ac:dyDescent="0.25">
      <c r="A140" s="1">
        <f t="shared" ca="1" si="7"/>
        <v>16569</v>
      </c>
      <c r="B140" s="4"/>
      <c r="C140" s="5"/>
      <c r="D140" s="5"/>
      <c r="E140" s="28">
        <v>450</v>
      </c>
    </row>
    <row r="141" spans="1:5" x14ac:dyDescent="0.25">
      <c r="A141" s="1">
        <f t="shared" ca="1" si="7"/>
        <v>16570</v>
      </c>
      <c r="B141" s="4"/>
      <c r="C141" s="5"/>
      <c r="D141" s="5"/>
      <c r="E141" s="28">
        <v>62</v>
      </c>
    </row>
    <row r="142" spans="1:5" x14ac:dyDescent="0.25">
      <c r="A142" s="1">
        <f t="shared" ca="1" si="7"/>
        <v>16571</v>
      </c>
      <c r="B142" s="4"/>
      <c r="C142" s="5"/>
      <c r="D142" s="5"/>
      <c r="E142" s="28">
        <v>0</v>
      </c>
    </row>
    <row r="143" spans="1:5" x14ac:dyDescent="0.25">
      <c r="A143" s="1">
        <f t="shared" ca="1" si="7"/>
        <v>16572</v>
      </c>
      <c r="B143" s="4"/>
      <c r="C143" s="5"/>
      <c r="D143" s="5"/>
      <c r="E143" s="28">
        <v>0</v>
      </c>
    </row>
    <row r="144" spans="1:5" x14ac:dyDescent="0.25">
      <c r="A144" s="1">
        <f t="shared" ca="1" si="7"/>
        <v>16573</v>
      </c>
      <c r="B144" s="4"/>
      <c r="C144" s="5"/>
      <c r="D144" s="5"/>
      <c r="E144" s="28">
        <v>0</v>
      </c>
    </row>
    <row r="145" spans="1:5" x14ac:dyDescent="0.25">
      <c r="A145" s="1">
        <f t="shared" ca="1" si="7"/>
        <v>16574</v>
      </c>
      <c r="B145" s="4"/>
      <c r="C145" s="5"/>
      <c r="D145" s="5"/>
      <c r="E145" s="28">
        <v>26</v>
      </c>
    </row>
    <row r="146" spans="1:5" x14ac:dyDescent="0.25">
      <c r="A146" s="1">
        <f t="shared" ca="1" si="7"/>
        <v>16575</v>
      </c>
      <c r="B146" s="4"/>
      <c r="C146" s="5"/>
      <c r="D146" s="5"/>
      <c r="E146" s="28">
        <v>13</v>
      </c>
    </row>
    <row r="147" spans="1:5" x14ac:dyDescent="0.25">
      <c r="A147" s="1">
        <f t="shared" ca="1" si="7"/>
        <v>16576</v>
      </c>
      <c r="B147" s="4"/>
      <c r="C147" s="5"/>
      <c r="D147" s="5"/>
      <c r="E147" s="28">
        <v>0</v>
      </c>
    </row>
    <row r="148" spans="1:5" x14ac:dyDescent="0.25">
      <c r="A148" s="1">
        <f t="shared" ca="1" si="7"/>
        <v>16577</v>
      </c>
      <c r="B148" s="4"/>
      <c r="C148" s="5"/>
      <c r="D148" s="5"/>
      <c r="E148" s="28">
        <v>0</v>
      </c>
    </row>
    <row r="149" spans="1:5" x14ac:dyDescent="0.25">
      <c r="A149" s="1">
        <f t="shared" ca="1" si="7"/>
        <v>16578</v>
      </c>
      <c r="B149" s="4"/>
      <c r="C149" s="5"/>
      <c r="D149" s="5"/>
      <c r="E149" s="28">
        <v>248</v>
      </c>
    </row>
    <row r="150" spans="1:5" x14ac:dyDescent="0.25">
      <c r="A150" s="1">
        <f t="shared" ca="1" si="7"/>
        <v>16579</v>
      </c>
      <c r="B150" s="4"/>
      <c r="C150" s="5"/>
      <c r="D150" s="5"/>
      <c r="E150" s="28">
        <v>0</v>
      </c>
    </row>
    <row r="151" spans="1:5" x14ac:dyDescent="0.25">
      <c r="A151" s="1">
        <f t="shared" ca="1" si="7"/>
        <v>16580</v>
      </c>
      <c r="B151" s="4"/>
      <c r="C151" s="5"/>
      <c r="D151" s="5"/>
      <c r="E151" s="28">
        <v>0</v>
      </c>
    </row>
    <row r="152" spans="1:5" x14ac:dyDescent="0.25">
      <c r="A152" s="1">
        <f t="shared" ca="1" si="7"/>
        <v>16581</v>
      </c>
      <c r="B152" s="4"/>
      <c r="C152" s="5"/>
      <c r="D152" s="5"/>
      <c r="E152" s="28">
        <v>0</v>
      </c>
    </row>
    <row r="153" spans="1:5" x14ac:dyDescent="0.25">
      <c r="A153" s="1">
        <f t="shared" ca="1" si="7"/>
        <v>16582</v>
      </c>
      <c r="B153" s="4"/>
      <c r="C153" s="5"/>
      <c r="D153" s="5"/>
      <c r="E153" s="28">
        <v>0</v>
      </c>
    </row>
    <row r="154" spans="1:5" x14ac:dyDescent="0.25">
      <c r="A154" s="1">
        <f t="shared" ca="1" si="7"/>
        <v>16583</v>
      </c>
      <c r="B154" s="4"/>
      <c r="C154" s="5"/>
      <c r="D154" s="5"/>
      <c r="E154" s="28">
        <v>0</v>
      </c>
    </row>
    <row r="155" spans="1:5" x14ac:dyDescent="0.25">
      <c r="A155" s="1">
        <f t="shared" ca="1" si="7"/>
        <v>16584</v>
      </c>
      <c r="B155" s="4"/>
      <c r="C155" s="5"/>
      <c r="D155" s="5"/>
      <c r="E155" s="28">
        <v>0</v>
      </c>
    </row>
    <row r="156" spans="1:5" x14ac:dyDescent="0.25">
      <c r="A156" s="1">
        <f t="shared" ca="1" si="7"/>
        <v>16585</v>
      </c>
      <c r="B156" s="4"/>
      <c r="C156" s="5"/>
      <c r="D156" s="5"/>
      <c r="E156" s="28">
        <v>54</v>
      </c>
    </row>
    <row r="157" spans="1:5" x14ac:dyDescent="0.25">
      <c r="A157" s="1">
        <f t="shared" ca="1" si="7"/>
        <v>16586</v>
      </c>
      <c r="B157" s="4"/>
      <c r="C157" s="5"/>
      <c r="D157" s="5"/>
      <c r="E157" s="28">
        <v>55</v>
      </c>
    </row>
    <row r="158" spans="1:5" x14ac:dyDescent="0.25">
      <c r="A158" s="1">
        <f t="shared" ca="1" si="7"/>
        <v>16587</v>
      </c>
      <c r="B158" s="4"/>
      <c r="C158" s="5"/>
      <c r="D158" s="5"/>
      <c r="E158" s="28">
        <v>0</v>
      </c>
    </row>
    <row r="159" spans="1:5" x14ac:dyDescent="0.25">
      <c r="A159" s="1">
        <f t="shared" ca="1" si="7"/>
        <v>16588</v>
      </c>
      <c r="B159" s="4"/>
      <c r="C159" s="5"/>
      <c r="D159" s="5"/>
      <c r="E159" s="28">
        <v>0</v>
      </c>
    </row>
    <row r="160" spans="1:5" x14ac:dyDescent="0.25">
      <c r="A160" s="1" t="str">
        <f t="shared" ca="1" si="7"/>
        <v>Totaal</v>
      </c>
      <c r="B160" s="18" t="str">
        <f>IF(COUNT(B129:B159)&gt;0,AVERAGE(B129:B159),"")</f>
        <v/>
      </c>
      <c r="C160" s="19" t="str">
        <f t="shared" ref="C160" si="8">IF(COUNT(C129:C159)&gt;0,AVERAGE(C129:C159),"")</f>
        <v/>
      </c>
      <c r="D160" s="19" t="str">
        <f t="shared" ref="D160" si="9">IF(COUNT(D129:D159)&gt;0,AVERAGE(D129:D159),"")</f>
        <v/>
      </c>
      <c r="E160" s="29">
        <f>SUM(E129:E159)/10</f>
        <v>114.8</v>
      </c>
    </row>
    <row r="161" spans="1:5" x14ac:dyDescent="0.25">
      <c r="A161" s="1">
        <f t="shared" ca="1" si="7"/>
        <v>16589</v>
      </c>
      <c r="B161" s="4"/>
      <c r="C161" s="5"/>
      <c r="D161" s="5"/>
      <c r="E161" s="28">
        <v>0</v>
      </c>
    </row>
    <row r="162" spans="1:5" x14ac:dyDescent="0.25">
      <c r="A162" s="1">
        <f t="shared" ca="1" si="7"/>
        <v>16590</v>
      </c>
      <c r="B162" s="4"/>
      <c r="C162" s="5"/>
      <c r="D162" s="5"/>
      <c r="E162" s="28">
        <v>0</v>
      </c>
    </row>
    <row r="163" spans="1:5" x14ac:dyDescent="0.25">
      <c r="A163" s="1">
        <f t="shared" ca="1" si="7"/>
        <v>16591</v>
      </c>
      <c r="B163" s="4"/>
      <c r="C163" s="5"/>
      <c r="D163" s="5"/>
      <c r="E163" s="28">
        <v>0</v>
      </c>
    </row>
    <row r="164" spans="1:5" x14ac:dyDescent="0.25">
      <c r="A164" s="1">
        <f t="shared" ca="1" si="7"/>
        <v>16592</v>
      </c>
      <c r="B164" s="4"/>
      <c r="C164" s="5"/>
      <c r="D164" s="5"/>
      <c r="E164" s="28">
        <v>36</v>
      </c>
    </row>
    <row r="165" spans="1:5" x14ac:dyDescent="0.25">
      <c r="A165" s="1">
        <f t="shared" ca="1" si="7"/>
        <v>16593</v>
      </c>
      <c r="B165" s="4"/>
      <c r="C165" s="5"/>
      <c r="D165" s="5"/>
      <c r="E165" s="28">
        <v>0</v>
      </c>
    </row>
    <row r="166" spans="1:5" x14ac:dyDescent="0.25">
      <c r="A166" s="1">
        <f t="shared" ca="1" si="7"/>
        <v>16594</v>
      </c>
      <c r="B166" s="4"/>
      <c r="C166" s="5"/>
      <c r="D166" s="5"/>
      <c r="E166" s="28">
        <v>0</v>
      </c>
    </row>
    <row r="167" spans="1:5" x14ac:dyDescent="0.25">
      <c r="A167" s="1">
        <f t="shared" ca="1" si="7"/>
        <v>16595</v>
      </c>
      <c r="B167" s="4"/>
      <c r="C167" s="5"/>
      <c r="D167" s="5"/>
      <c r="E167" s="28">
        <v>0</v>
      </c>
    </row>
    <row r="168" spans="1:5" x14ac:dyDescent="0.25">
      <c r="A168" s="1">
        <f t="shared" ca="1" si="7"/>
        <v>16596</v>
      </c>
      <c r="B168" s="4"/>
      <c r="C168" s="5"/>
      <c r="D168" s="5"/>
      <c r="E168" s="28">
        <v>0</v>
      </c>
    </row>
    <row r="169" spans="1:5" x14ac:dyDescent="0.25">
      <c r="A169" s="1">
        <f t="shared" ca="1" si="7"/>
        <v>16597</v>
      </c>
      <c r="B169" s="4"/>
      <c r="C169" s="5"/>
      <c r="D169" s="5"/>
      <c r="E169" s="28">
        <v>0</v>
      </c>
    </row>
    <row r="170" spans="1:5" x14ac:dyDescent="0.25">
      <c r="A170" s="1">
        <f t="shared" ca="1" si="7"/>
        <v>16598</v>
      </c>
      <c r="B170" s="4"/>
      <c r="C170" s="5"/>
      <c r="D170" s="5"/>
      <c r="E170" s="28">
        <v>0</v>
      </c>
    </row>
    <row r="171" spans="1:5" x14ac:dyDescent="0.25">
      <c r="A171" s="1">
        <f t="shared" ca="1" si="7"/>
        <v>16599</v>
      </c>
      <c r="B171" s="4"/>
      <c r="C171" s="5"/>
      <c r="D171" s="5"/>
      <c r="E171" s="28">
        <v>0</v>
      </c>
    </row>
    <row r="172" spans="1:5" x14ac:dyDescent="0.25">
      <c r="A172" s="1">
        <f t="shared" ca="1" si="7"/>
        <v>16600</v>
      </c>
      <c r="B172" s="4"/>
      <c r="C172" s="5"/>
      <c r="D172" s="5"/>
      <c r="E172" s="28">
        <v>23</v>
      </c>
    </row>
    <row r="173" spans="1:5" x14ac:dyDescent="0.25">
      <c r="A173" s="1">
        <f t="shared" ca="1" si="7"/>
        <v>16601</v>
      </c>
      <c r="B173" s="4"/>
      <c r="C173" s="5"/>
      <c r="D173" s="5"/>
      <c r="E173" s="28">
        <v>0</v>
      </c>
    </row>
    <row r="174" spans="1:5" x14ac:dyDescent="0.25">
      <c r="A174" s="1">
        <f t="shared" ca="1" si="7"/>
        <v>16602</v>
      </c>
      <c r="B174" s="4"/>
      <c r="C174" s="5"/>
      <c r="D174" s="5"/>
      <c r="E174" s="28">
        <v>0</v>
      </c>
    </row>
    <row r="175" spans="1:5" x14ac:dyDescent="0.25">
      <c r="A175" s="1">
        <f t="shared" ca="1" si="7"/>
        <v>16603</v>
      </c>
      <c r="B175" s="4"/>
      <c r="C175" s="5"/>
      <c r="D175" s="5"/>
      <c r="E175" s="28">
        <v>0</v>
      </c>
    </row>
    <row r="176" spans="1:5" x14ac:dyDescent="0.25">
      <c r="A176" s="1">
        <f t="shared" ca="1" si="7"/>
        <v>16604</v>
      </c>
      <c r="B176" s="4"/>
      <c r="C176" s="5"/>
      <c r="D176" s="5"/>
      <c r="E176" s="28">
        <v>0</v>
      </c>
    </row>
    <row r="177" spans="1:5" x14ac:dyDescent="0.25">
      <c r="A177" s="1">
        <f t="shared" ca="1" si="7"/>
        <v>16605</v>
      </c>
      <c r="B177" s="4"/>
      <c r="C177" s="5"/>
      <c r="D177" s="5"/>
      <c r="E177" s="28">
        <v>25</v>
      </c>
    </row>
    <row r="178" spans="1:5" x14ac:dyDescent="0.25">
      <c r="A178" s="1">
        <f t="shared" ca="1" si="7"/>
        <v>16606</v>
      </c>
      <c r="B178" s="4"/>
      <c r="C178" s="5"/>
      <c r="D178" s="5"/>
      <c r="E178" s="28">
        <v>74</v>
      </c>
    </row>
    <row r="179" spans="1:5" x14ac:dyDescent="0.25">
      <c r="A179" s="1">
        <f t="shared" ca="1" si="7"/>
        <v>16607</v>
      </c>
      <c r="B179" s="4"/>
      <c r="C179" s="5"/>
      <c r="D179" s="5"/>
      <c r="E179" s="28">
        <v>0</v>
      </c>
    </row>
    <row r="180" spans="1:5" x14ac:dyDescent="0.25">
      <c r="A180" s="1">
        <f t="shared" ca="1" si="7"/>
        <v>16608</v>
      </c>
      <c r="B180" s="4"/>
      <c r="C180" s="5"/>
      <c r="D180" s="5"/>
      <c r="E180" s="28">
        <v>0</v>
      </c>
    </row>
    <row r="181" spans="1:5" x14ac:dyDescent="0.25">
      <c r="A181" s="1">
        <f t="shared" ca="1" si="7"/>
        <v>16609</v>
      </c>
      <c r="B181" s="4"/>
      <c r="C181" s="5"/>
      <c r="D181" s="5"/>
      <c r="E181" s="28">
        <v>0</v>
      </c>
    </row>
    <row r="182" spans="1:5" x14ac:dyDescent="0.25">
      <c r="A182" s="1">
        <f t="shared" ca="1" si="7"/>
        <v>16610</v>
      </c>
      <c r="B182" s="4"/>
      <c r="C182" s="5"/>
      <c r="D182" s="5"/>
      <c r="E182" s="28">
        <v>0</v>
      </c>
    </row>
    <row r="183" spans="1:5" x14ac:dyDescent="0.25">
      <c r="A183" s="1">
        <f t="shared" ca="1" si="7"/>
        <v>16611</v>
      </c>
      <c r="B183" s="4"/>
      <c r="C183" s="5"/>
      <c r="D183" s="5"/>
      <c r="E183" s="28">
        <v>0</v>
      </c>
    </row>
    <row r="184" spans="1:5" x14ac:dyDescent="0.25">
      <c r="A184" s="1">
        <f t="shared" ca="1" si="7"/>
        <v>16612</v>
      </c>
      <c r="B184" s="4"/>
      <c r="C184" s="5"/>
      <c r="D184" s="5"/>
      <c r="E184" s="28">
        <v>30</v>
      </c>
    </row>
    <row r="185" spans="1:5" x14ac:dyDescent="0.25">
      <c r="A185" s="1">
        <f t="shared" ca="1" si="7"/>
        <v>16613</v>
      </c>
      <c r="B185" s="4"/>
      <c r="C185" s="5"/>
      <c r="D185" s="5"/>
      <c r="E185" s="28">
        <v>38</v>
      </c>
    </row>
    <row r="186" spans="1:5" x14ac:dyDescent="0.25">
      <c r="A186" s="1">
        <f t="shared" ca="1" si="7"/>
        <v>16614</v>
      </c>
      <c r="B186" s="4"/>
      <c r="C186" s="5"/>
      <c r="D186" s="5"/>
      <c r="E186" s="28">
        <v>133</v>
      </c>
    </row>
    <row r="187" spans="1:5" x14ac:dyDescent="0.25">
      <c r="A187" s="1">
        <f t="shared" ca="1" si="7"/>
        <v>16615</v>
      </c>
      <c r="B187" s="4"/>
      <c r="C187" s="5"/>
      <c r="D187" s="5"/>
      <c r="E187" s="28">
        <v>0</v>
      </c>
    </row>
    <row r="188" spans="1:5" x14ac:dyDescent="0.25">
      <c r="A188" s="1">
        <f t="shared" ca="1" si="7"/>
        <v>16616</v>
      </c>
      <c r="B188" s="4"/>
      <c r="C188" s="5"/>
      <c r="D188" s="5"/>
      <c r="E188" s="28">
        <v>0</v>
      </c>
    </row>
    <row r="189" spans="1:5" x14ac:dyDescent="0.25">
      <c r="A189" s="1">
        <f t="shared" ca="1" si="7"/>
        <v>16617</v>
      </c>
      <c r="B189" s="4"/>
      <c r="C189" s="5"/>
      <c r="D189" s="5"/>
      <c r="E189" s="28">
        <v>0</v>
      </c>
    </row>
    <row r="190" spans="1:5" x14ac:dyDescent="0.25">
      <c r="A190" s="1">
        <f t="shared" ca="1" si="7"/>
        <v>16618</v>
      </c>
      <c r="B190" s="4"/>
      <c r="C190" s="5"/>
      <c r="D190" s="5"/>
      <c r="E190" s="28">
        <v>0</v>
      </c>
    </row>
    <row r="191" spans="1:5" x14ac:dyDescent="0.25">
      <c r="A191" s="1" t="str">
        <f t="shared" ca="1" si="7"/>
        <v>Totaal</v>
      </c>
      <c r="B191" s="18" t="str">
        <f t="shared" ref="B191:D191" si="10">IF(COUNT(B161:B190)&gt;0,AVERAGE(B161:B190),"")</f>
        <v/>
      </c>
      <c r="C191" s="19" t="str">
        <f t="shared" si="10"/>
        <v/>
      </c>
      <c r="D191" s="19" t="str">
        <f t="shared" si="10"/>
        <v/>
      </c>
      <c r="E191" s="29">
        <f>SUM(E161:E190)/10</f>
        <v>35.9</v>
      </c>
    </row>
    <row r="192" spans="1:5" x14ac:dyDescent="0.25">
      <c r="A192" s="1">
        <f t="shared" ca="1" si="7"/>
        <v>16619</v>
      </c>
      <c r="B192" s="4"/>
      <c r="C192" s="5"/>
      <c r="D192" s="5"/>
      <c r="E192" s="28">
        <v>0</v>
      </c>
    </row>
    <row r="193" spans="1:5" x14ac:dyDescent="0.25">
      <c r="A193" s="1">
        <f t="shared" ca="1" si="7"/>
        <v>16620</v>
      </c>
      <c r="B193" s="4"/>
      <c r="C193" s="5"/>
      <c r="D193" s="5"/>
      <c r="E193" s="28">
        <v>160</v>
      </c>
    </row>
    <row r="194" spans="1:5" x14ac:dyDescent="0.25">
      <c r="A194" s="1">
        <f t="shared" ca="1" si="7"/>
        <v>16621</v>
      </c>
      <c r="B194" s="4"/>
      <c r="C194" s="5"/>
      <c r="D194" s="5"/>
      <c r="E194" s="28">
        <v>375</v>
      </c>
    </row>
    <row r="195" spans="1:5" x14ac:dyDescent="0.25">
      <c r="A195" s="1">
        <f t="shared" ca="1" si="7"/>
        <v>16622</v>
      </c>
      <c r="B195" s="4"/>
      <c r="C195" s="5"/>
      <c r="D195" s="5"/>
      <c r="E195" s="28">
        <v>7</v>
      </c>
    </row>
    <row r="196" spans="1:5" x14ac:dyDescent="0.25">
      <c r="A196" s="1">
        <f t="shared" ca="1" si="7"/>
        <v>16623</v>
      </c>
      <c r="B196" s="4"/>
      <c r="C196" s="5"/>
      <c r="D196" s="5"/>
      <c r="E196" s="28">
        <v>0</v>
      </c>
    </row>
    <row r="197" spans="1:5" x14ac:dyDescent="0.25">
      <c r="A197" s="1">
        <f t="shared" ca="1" si="7"/>
        <v>16624</v>
      </c>
      <c r="B197" s="4"/>
      <c r="C197" s="5"/>
      <c r="D197" s="5"/>
      <c r="E197" s="28">
        <v>34</v>
      </c>
    </row>
    <row r="198" spans="1:5" x14ac:dyDescent="0.25">
      <c r="A198" s="1">
        <f t="shared" ca="1" si="7"/>
        <v>16625</v>
      </c>
      <c r="B198" s="4"/>
      <c r="C198" s="5"/>
      <c r="D198" s="5"/>
      <c r="E198" s="28">
        <v>0</v>
      </c>
    </row>
    <row r="199" spans="1:5" x14ac:dyDescent="0.25">
      <c r="A199" s="1">
        <f t="shared" ref="A199:A262" ca="1" si="11">IF(ISTEXT(A198),A197+1,IF(MONTH(A198+1)=MONTH(A198),A198+1,"Totaal"))</f>
        <v>16626</v>
      </c>
      <c r="B199" s="4"/>
      <c r="C199" s="5"/>
      <c r="D199" s="5"/>
      <c r="E199" s="28">
        <v>0</v>
      </c>
    </row>
    <row r="200" spans="1:5" x14ac:dyDescent="0.25">
      <c r="A200" s="1">
        <f t="shared" ca="1" si="11"/>
        <v>16627</v>
      </c>
      <c r="B200" s="4"/>
      <c r="C200" s="5"/>
      <c r="D200" s="5"/>
      <c r="E200" s="28">
        <v>0</v>
      </c>
    </row>
    <row r="201" spans="1:5" x14ac:dyDescent="0.25">
      <c r="A201" s="1">
        <f t="shared" ca="1" si="11"/>
        <v>16628</v>
      </c>
      <c r="B201" s="4"/>
      <c r="C201" s="5"/>
      <c r="D201" s="5"/>
      <c r="E201" s="28">
        <v>0</v>
      </c>
    </row>
    <row r="202" spans="1:5" x14ac:dyDescent="0.25">
      <c r="A202" s="1">
        <f t="shared" ca="1" si="11"/>
        <v>16629</v>
      </c>
      <c r="B202" s="4"/>
      <c r="C202" s="5"/>
      <c r="D202" s="5"/>
      <c r="E202" s="28">
        <v>0</v>
      </c>
    </row>
    <row r="203" spans="1:5" x14ac:dyDescent="0.25">
      <c r="A203" s="1">
        <f t="shared" ca="1" si="11"/>
        <v>16630</v>
      </c>
      <c r="B203" s="4"/>
      <c r="C203" s="5"/>
      <c r="D203" s="5"/>
      <c r="E203" s="28">
        <v>0</v>
      </c>
    </row>
    <row r="204" spans="1:5" x14ac:dyDescent="0.25">
      <c r="A204" s="1">
        <f t="shared" ca="1" si="11"/>
        <v>16631</v>
      </c>
      <c r="B204" s="4"/>
      <c r="C204" s="5"/>
      <c r="D204" s="5"/>
      <c r="E204" s="28">
        <v>0</v>
      </c>
    </row>
    <row r="205" spans="1:5" x14ac:dyDescent="0.25">
      <c r="A205" s="1">
        <f t="shared" ca="1" si="11"/>
        <v>16632</v>
      </c>
      <c r="B205" s="4"/>
      <c r="C205" s="5"/>
      <c r="D205" s="5"/>
      <c r="E205" s="28">
        <v>0</v>
      </c>
    </row>
    <row r="206" spans="1:5" x14ac:dyDescent="0.25">
      <c r="A206" s="1">
        <f t="shared" ca="1" si="11"/>
        <v>16633</v>
      </c>
      <c r="B206" s="4"/>
      <c r="C206" s="5"/>
      <c r="D206" s="5"/>
      <c r="E206" s="28">
        <v>0</v>
      </c>
    </row>
    <row r="207" spans="1:5" x14ac:dyDescent="0.25">
      <c r="A207" s="1">
        <f t="shared" ca="1" si="11"/>
        <v>16634</v>
      </c>
      <c r="B207" s="4"/>
      <c r="C207" s="5"/>
      <c r="D207" s="5"/>
      <c r="E207" s="28">
        <v>12</v>
      </c>
    </row>
    <row r="208" spans="1:5" x14ac:dyDescent="0.25">
      <c r="A208" s="1">
        <f t="shared" ca="1" si="11"/>
        <v>16635</v>
      </c>
      <c r="B208" s="4"/>
      <c r="C208" s="5"/>
      <c r="D208" s="5"/>
      <c r="E208" s="28">
        <v>0</v>
      </c>
    </row>
    <row r="209" spans="1:5" x14ac:dyDescent="0.25">
      <c r="A209" s="1">
        <f t="shared" ca="1" si="11"/>
        <v>16636</v>
      </c>
      <c r="B209" s="4"/>
      <c r="C209" s="5"/>
      <c r="D209" s="5"/>
      <c r="E209" s="28">
        <v>0</v>
      </c>
    </row>
    <row r="210" spans="1:5" x14ac:dyDescent="0.25">
      <c r="A210" s="1">
        <f t="shared" ca="1" si="11"/>
        <v>16637</v>
      </c>
      <c r="B210" s="4"/>
      <c r="C210" s="5"/>
      <c r="D210" s="5"/>
      <c r="E210" s="28">
        <v>27</v>
      </c>
    </row>
    <row r="211" spans="1:5" x14ac:dyDescent="0.25">
      <c r="A211" s="1">
        <f t="shared" ca="1" si="11"/>
        <v>16638</v>
      </c>
      <c r="B211" s="4"/>
      <c r="C211" s="5"/>
      <c r="D211" s="5"/>
      <c r="E211" s="28">
        <v>0</v>
      </c>
    </row>
    <row r="212" spans="1:5" x14ac:dyDescent="0.25">
      <c r="A212" s="1">
        <f t="shared" ca="1" si="11"/>
        <v>16639</v>
      </c>
      <c r="B212" s="4"/>
      <c r="C212" s="5"/>
      <c r="D212" s="5"/>
      <c r="E212" s="28">
        <v>0</v>
      </c>
    </row>
    <row r="213" spans="1:5" x14ac:dyDescent="0.25">
      <c r="A213" s="1">
        <f t="shared" ca="1" si="11"/>
        <v>16640</v>
      </c>
      <c r="B213" s="4"/>
      <c r="C213" s="5"/>
      <c r="D213" s="5"/>
      <c r="E213" s="28">
        <v>103</v>
      </c>
    </row>
    <row r="214" spans="1:5" x14ac:dyDescent="0.25">
      <c r="A214" s="1">
        <f t="shared" ca="1" si="11"/>
        <v>16641</v>
      </c>
      <c r="B214" s="4"/>
      <c r="C214" s="5"/>
      <c r="D214" s="5"/>
      <c r="E214" s="28">
        <v>0</v>
      </c>
    </row>
    <row r="215" spans="1:5" x14ac:dyDescent="0.25">
      <c r="A215" s="1">
        <f t="shared" ca="1" si="11"/>
        <v>16642</v>
      </c>
      <c r="B215" s="4"/>
      <c r="C215" s="5"/>
      <c r="D215" s="5"/>
      <c r="E215" s="28">
        <v>0</v>
      </c>
    </row>
    <row r="216" spans="1:5" x14ac:dyDescent="0.25">
      <c r="A216" s="1">
        <f t="shared" ca="1" si="11"/>
        <v>16643</v>
      </c>
      <c r="B216" s="4"/>
      <c r="C216" s="5"/>
      <c r="D216" s="5"/>
      <c r="E216" s="28">
        <v>20</v>
      </c>
    </row>
    <row r="217" spans="1:5" x14ac:dyDescent="0.25">
      <c r="A217" s="1">
        <f t="shared" ca="1" si="11"/>
        <v>16644</v>
      </c>
      <c r="B217" s="4"/>
      <c r="C217" s="5"/>
      <c r="D217" s="5"/>
      <c r="E217" s="28">
        <v>0</v>
      </c>
    </row>
    <row r="218" spans="1:5" x14ac:dyDescent="0.25">
      <c r="A218" s="1">
        <f t="shared" ca="1" si="11"/>
        <v>16645</v>
      </c>
      <c r="B218" s="4"/>
      <c r="C218" s="5"/>
      <c r="D218" s="5"/>
      <c r="E218" s="28">
        <v>19</v>
      </c>
    </row>
    <row r="219" spans="1:5" x14ac:dyDescent="0.25">
      <c r="A219" s="1">
        <f t="shared" ca="1" si="11"/>
        <v>16646</v>
      </c>
      <c r="B219" s="4"/>
      <c r="C219" s="5"/>
      <c r="D219" s="5"/>
      <c r="E219" s="28">
        <v>163</v>
      </c>
    </row>
    <row r="220" spans="1:5" x14ac:dyDescent="0.25">
      <c r="A220" s="1">
        <f t="shared" ca="1" si="11"/>
        <v>16647</v>
      </c>
      <c r="B220" s="4"/>
      <c r="C220" s="5"/>
      <c r="D220" s="5"/>
      <c r="E220" s="28">
        <v>34</v>
      </c>
    </row>
    <row r="221" spans="1:5" x14ac:dyDescent="0.25">
      <c r="A221" s="1">
        <f t="shared" ca="1" si="11"/>
        <v>16648</v>
      </c>
      <c r="B221" s="4"/>
      <c r="C221" s="5"/>
      <c r="D221" s="5"/>
      <c r="E221" s="28">
        <v>110</v>
      </c>
    </row>
    <row r="222" spans="1:5" x14ac:dyDescent="0.25">
      <c r="A222" s="1">
        <f t="shared" ca="1" si="11"/>
        <v>16649</v>
      </c>
      <c r="B222" s="4"/>
      <c r="C222" s="5"/>
      <c r="D222" s="5"/>
      <c r="E222" s="28">
        <v>13</v>
      </c>
    </row>
    <row r="223" spans="1:5" x14ac:dyDescent="0.25">
      <c r="A223" s="1" t="str">
        <f t="shared" ca="1" si="11"/>
        <v>Totaal</v>
      </c>
      <c r="B223" s="18" t="str">
        <f>IF(COUNT(B192:B222)&gt;0,AVERAGE(B192:B222),"")</f>
        <v/>
      </c>
      <c r="C223" s="19" t="str">
        <f t="shared" ref="C223" si="12">IF(COUNT(C192:C222)&gt;0,AVERAGE(C192:C222),"")</f>
        <v/>
      </c>
      <c r="D223" s="19" t="str">
        <f t="shared" ref="D223" si="13">IF(COUNT(D192:D222)&gt;0,AVERAGE(D192:D222),"")</f>
        <v/>
      </c>
      <c r="E223" s="29">
        <f>SUM(E192:E222)/10</f>
        <v>107.7</v>
      </c>
    </row>
    <row r="224" spans="1:5" x14ac:dyDescent="0.25">
      <c r="A224" s="1">
        <f t="shared" ca="1" si="11"/>
        <v>16650</v>
      </c>
      <c r="B224" s="4"/>
      <c r="C224" s="5"/>
      <c r="D224" s="5"/>
      <c r="E224" s="28">
        <v>0</v>
      </c>
    </row>
    <row r="225" spans="1:5" x14ac:dyDescent="0.25">
      <c r="A225" s="1">
        <f t="shared" ca="1" si="11"/>
        <v>16651</v>
      </c>
      <c r="B225" s="4"/>
      <c r="C225" s="5"/>
      <c r="D225" s="5"/>
      <c r="E225" s="28">
        <v>740</v>
      </c>
    </row>
    <row r="226" spans="1:5" x14ac:dyDescent="0.25">
      <c r="A226" s="1">
        <f t="shared" ca="1" si="11"/>
        <v>16652</v>
      </c>
      <c r="B226" s="4"/>
      <c r="C226" s="5"/>
      <c r="D226" s="5"/>
      <c r="E226" s="28">
        <v>21</v>
      </c>
    </row>
    <row r="227" spans="1:5" x14ac:dyDescent="0.25">
      <c r="A227" s="1">
        <f t="shared" ca="1" si="11"/>
        <v>16653</v>
      </c>
      <c r="B227" s="4"/>
      <c r="C227" s="5"/>
      <c r="D227" s="5"/>
      <c r="E227" s="28">
        <v>0</v>
      </c>
    </row>
    <row r="228" spans="1:5" x14ac:dyDescent="0.25">
      <c r="A228" s="1">
        <f t="shared" ca="1" si="11"/>
        <v>16654</v>
      </c>
      <c r="B228" s="4"/>
      <c r="C228" s="5"/>
      <c r="D228" s="5"/>
      <c r="E228" s="28">
        <v>24</v>
      </c>
    </row>
    <row r="229" spans="1:5" x14ac:dyDescent="0.25">
      <c r="A229" s="1">
        <f t="shared" ca="1" si="11"/>
        <v>16655</v>
      </c>
      <c r="B229" s="4"/>
      <c r="C229" s="5"/>
      <c r="D229" s="5"/>
      <c r="E229" s="28">
        <v>31</v>
      </c>
    </row>
    <row r="230" spans="1:5" x14ac:dyDescent="0.25">
      <c r="A230" s="1">
        <f t="shared" ca="1" si="11"/>
        <v>16656</v>
      </c>
      <c r="B230" s="4"/>
      <c r="C230" s="5"/>
      <c r="D230" s="5"/>
      <c r="E230" s="28">
        <v>786</v>
      </c>
    </row>
    <row r="231" spans="1:5" x14ac:dyDescent="0.25">
      <c r="A231" s="1">
        <f t="shared" ca="1" si="11"/>
        <v>16657</v>
      </c>
      <c r="B231" s="4"/>
      <c r="C231" s="5"/>
      <c r="D231" s="5"/>
      <c r="E231" s="28">
        <v>0</v>
      </c>
    </row>
    <row r="232" spans="1:5" x14ac:dyDescent="0.25">
      <c r="A232" s="1">
        <f t="shared" ca="1" si="11"/>
        <v>16658</v>
      </c>
      <c r="B232" s="4"/>
      <c r="C232" s="5"/>
      <c r="D232" s="5"/>
      <c r="E232" s="28">
        <v>24</v>
      </c>
    </row>
    <row r="233" spans="1:5" x14ac:dyDescent="0.25">
      <c r="A233" s="1">
        <f t="shared" ca="1" si="11"/>
        <v>16659</v>
      </c>
      <c r="B233" s="4"/>
      <c r="C233" s="5"/>
      <c r="D233" s="5"/>
      <c r="E233" s="28">
        <v>40</v>
      </c>
    </row>
    <row r="234" spans="1:5" x14ac:dyDescent="0.25">
      <c r="A234" s="1">
        <f t="shared" ca="1" si="11"/>
        <v>16660</v>
      </c>
      <c r="B234" s="4"/>
      <c r="C234" s="5"/>
      <c r="D234" s="5"/>
      <c r="E234" s="28">
        <v>0</v>
      </c>
    </row>
    <row r="235" spans="1:5" x14ac:dyDescent="0.25">
      <c r="A235" s="1">
        <f t="shared" ca="1" si="11"/>
        <v>16661</v>
      </c>
      <c r="B235" s="4"/>
      <c r="C235" s="5"/>
      <c r="D235" s="5"/>
      <c r="E235" s="28">
        <v>0</v>
      </c>
    </row>
    <row r="236" spans="1:5" x14ac:dyDescent="0.25">
      <c r="A236" s="1">
        <f t="shared" ca="1" si="11"/>
        <v>16662</v>
      </c>
      <c r="B236" s="4"/>
      <c r="C236" s="5"/>
      <c r="D236" s="5"/>
      <c r="E236" s="28">
        <v>38</v>
      </c>
    </row>
    <row r="237" spans="1:5" x14ac:dyDescent="0.25">
      <c r="A237" s="1">
        <f t="shared" ca="1" si="11"/>
        <v>16663</v>
      </c>
      <c r="B237" s="4"/>
      <c r="C237" s="5"/>
      <c r="D237" s="5"/>
      <c r="E237" s="28">
        <v>0</v>
      </c>
    </row>
    <row r="238" spans="1:5" x14ac:dyDescent="0.25">
      <c r="A238" s="1">
        <f t="shared" ca="1" si="11"/>
        <v>16664</v>
      </c>
      <c r="B238" s="4"/>
      <c r="C238" s="5"/>
      <c r="D238" s="5"/>
      <c r="E238" s="28">
        <v>0</v>
      </c>
    </row>
    <row r="239" spans="1:5" x14ac:dyDescent="0.25">
      <c r="A239" s="1">
        <f t="shared" ca="1" si="11"/>
        <v>16665</v>
      </c>
      <c r="B239" s="4"/>
      <c r="C239" s="5"/>
      <c r="D239" s="5"/>
      <c r="E239" s="28">
        <v>0</v>
      </c>
    </row>
    <row r="240" spans="1:5" x14ac:dyDescent="0.25">
      <c r="A240" s="1">
        <f t="shared" ca="1" si="11"/>
        <v>16666</v>
      </c>
      <c r="B240" s="4"/>
      <c r="C240" s="5"/>
      <c r="D240" s="5"/>
      <c r="E240" s="28">
        <v>0</v>
      </c>
    </row>
    <row r="241" spans="1:5" x14ac:dyDescent="0.25">
      <c r="A241" s="1">
        <f t="shared" ca="1" si="11"/>
        <v>16667</v>
      </c>
      <c r="B241" s="4"/>
      <c r="C241" s="5"/>
      <c r="D241" s="5"/>
      <c r="E241" s="28">
        <v>0</v>
      </c>
    </row>
    <row r="242" spans="1:5" x14ac:dyDescent="0.25">
      <c r="A242" s="1">
        <f t="shared" ca="1" si="11"/>
        <v>16668</v>
      </c>
      <c r="B242" s="4"/>
      <c r="C242" s="5"/>
      <c r="D242" s="5"/>
      <c r="E242" s="28">
        <v>128</v>
      </c>
    </row>
    <row r="243" spans="1:5" x14ac:dyDescent="0.25">
      <c r="A243" s="1">
        <f t="shared" ca="1" si="11"/>
        <v>16669</v>
      </c>
      <c r="B243" s="4"/>
      <c r="C243" s="5"/>
      <c r="D243" s="5"/>
      <c r="E243" s="28">
        <v>14</v>
      </c>
    </row>
    <row r="244" spans="1:5" x14ac:dyDescent="0.25">
      <c r="A244" s="1">
        <f t="shared" ca="1" si="11"/>
        <v>16670</v>
      </c>
      <c r="B244" s="4"/>
      <c r="C244" s="5"/>
      <c r="D244" s="5"/>
      <c r="E244" s="28">
        <v>0</v>
      </c>
    </row>
    <row r="245" spans="1:5" x14ac:dyDescent="0.25">
      <c r="A245" s="1">
        <f t="shared" ca="1" si="11"/>
        <v>16671</v>
      </c>
      <c r="B245" s="4"/>
      <c r="C245" s="5"/>
      <c r="D245" s="5"/>
      <c r="E245" s="28">
        <v>0</v>
      </c>
    </row>
    <row r="246" spans="1:5" x14ac:dyDescent="0.25">
      <c r="A246" s="1">
        <f t="shared" ca="1" si="11"/>
        <v>16672</v>
      </c>
      <c r="B246" s="4"/>
      <c r="C246" s="5"/>
      <c r="D246" s="5"/>
      <c r="E246" s="28">
        <v>0</v>
      </c>
    </row>
    <row r="247" spans="1:5" x14ac:dyDescent="0.25">
      <c r="A247" s="1">
        <f t="shared" ca="1" si="11"/>
        <v>16673</v>
      </c>
      <c r="B247" s="4"/>
      <c r="C247" s="5"/>
      <c r="D247" s="5"/>
      <c r="E247" s="28">
        <v>0</v>
      </c>
    </row>
    <row r="248" spans="1:5" x14ac:dyDescent="0.25">
      <c r="A248" s="1">
        <f t="shared" ca="1" si="11"/>
        <v>16674</v>
      </c>
      <c r="B248" s="4"/>
      <c r="C248" s="5"/>
      <c r="D248" s="5"/>
      <c r="E248" s="28">
        <v>0</v>
      </c>
    </row>
    <row r="249" spans="1:5" x14ac:dyDescent="0.25">
      <c r="A249" s="1">
        <f t="shared" ca="1" si="11"/>
        <v>16675</v>
      </c>
      <c r="B249" s="4"/>
      <c r="C249" s="5"/>
      <c r="D249" s="5"/>
      <c r="E249" s="28">
        <v>0</v>
      </c>
    </row>
    <row r="250" spans="1:5" x14ac:dyDescent="0.25">
      <c r="A250" s="1">
        <f t="shared" ca="1" si="11"/>
        <v>16676</v>
      </c>
      <c r="B250" s="4"/>
      <c r="C250" s="5"/>
      <c r="D250" s="5"/>
      <c r="E250" s="28">
        <v>116</v>
      </c>
    </row>
    <row r="251" spans="1:5" x14ac:dyDescent="0.25">
      <c r="A251" s="1">
        <f t="shared" ca="1" si="11"/>
        <v>16677</v>
      </c>
      <c r="B251" s="4"/>
      <c r="C251" s="5"/>
      <c r="D251" s="5"/>
      <c r="E251" s="28">
        <v>0</v>
      </c>
    </row>
    <row r="252" spans="1:5" x14ac:dyDescent="0.25">
      <c r="A252" s="1">
        <f t="shared" ca="1" si="11"/>
        <v>16678</v>
      </c>
      <c r="B252" s="4"/>
      <c r="C252" s="5"/>
      <c r="D252" s="5"/>
      <c r="E252" s="28">
        <v>0</v>
      </c>
    </row>
    <row r="253" spans="1:5" x14ac:dyDescent="0.25">
      <c r="A253" s="1">
        <f t="shared" ca="1" si="11"/>
        <v>16679</v>
      </c>
      <c r="B253" s="4"/>
      <c r="C253" s="5"/>
      <c r="D253" s="5"/>
      <c r="E253" s="28">
        <v>0</v>
      </c>
    </row>
    <row r="254" spans="1:5" x14ac:dyDescent="0.25">
      <c r="A254" s="1">
        <f t="shared" ca="1" si="11"/>
        <v>16680</v>
      </c>
      <c r="B254" s="4"/>
      <c r="C254" s="5"/>
      <c r="D254" s="5"/>
      <c r="E254" s="28">
        <v>0</v>
      </c>
    </row>
    <row r="255" spans="1:5" x14ac:dyDescent="0.25">
      <c r="A255" s="1" t="str">
        <f t="shared" ca="1" si="11"/>
        <v>Totaal</v>
      </c>
      <c r="B255" s="18" t="str">
        <f>IF(COUNT(B224:B254)&gt;0,AVERAGE(B224:B254),"")</f>
        <v/>
      </c>
      <c r="C255" s="19" t="str">
        <f t="shared" ref="C255" si="14">IF(COUNT(C224:C254)&gt;0,AVERAGE(C224:C254),"")</f>
        <v/>
      </c>
      <c r="D255" s="19" t="str">
        <f t="shared" ref="D255" si="15">IF(COUNT(D224:D254)&gt;0,AVERAGE(D224:D254),"")</f>
        <v/>
      </c>
      <c r="E255" s="29">
        <f>SUM(E224:E254)/10</f>
        <v>196.2</v>
      </c>
    </row>
    <row r="256" spans="1:5" x14ac:dyDescent="0.25">
      <c r="A256" s="1">
        <f t="shared" ca="1" si="11"/>
        <v>16681</v>
      </c>
      <c r="B256" s="4"/>
      <c r="C256" s="5"/>
      <c r="D256" s="5"/>
      <c r="E256" s="28">
        <v>0</v>
      </c>
    </row>
    <row r="257" spans="1:5" x14ac:dyDescent="0.25">
      <c r="A257" s="1">
        <f t="shared" ca="1" si="11"/>
        <v>16682</v>
      </c>
      <c r="B257" s="4"/>
      <c r="C257" s="5"/>
      <c r="D257" s="5"/>
      <c r="E257" s="28">
        <v>0</v>
      </c>
    </row>
    <row r="258" spans="1:5" x14ac:dyDescent="0.25">
      <c r="A258" s="1">
        <f t="shared" ca="1" si="11"/>
        <v>16683</v>
      </c>
      <c r="B258" s="4"/>
      <c r="C258" s="5"/>
      <c r="D258" s="5"/>
      <c r="E258" s="28">
        <v>0</v>
      </c>
    </row>
    <row r="259" spans="1:5" x14ac:dyDescent="0.25">
      <c r="A259" s="1">
        <f t="shared" ca="1" si="11"/>
        <v>16684</v>
      </c>
      <c r="B259" s="4"/>
      <c r="C259" s="5"/>
      <c r="D259" s="5"/>
      <c r="E259" s="28">
        <v>52</v>
      </c>
    </row>
    <row r="260" spans="1:5" x14ac:dyDescent="0.25">
      <c r="A260" s="1">
        <f t="shared" ca="1" si="11"/>
        <v>16685</v>
      </c>
      <c r="B260" s="4"/>
      <c r="C260" s="5"/>
      <c r="D260" s="5"/>
      <c r="E260" s="28">
        <v>48</v>
      </c>
    </row>
    <row r="261" spans="1:5" x14ac:dyDescent="0.25">
      <c r="A261" s="1">
        <f t="shared" ca="1" si="11"/>
        <v>16686</v>
      </c>
      <c r="B261" s="4"/>
      <c r="C261" s="5"/>
      <c r="D261" s="5"/>
      <c r="E261" s="28">
        <v>10</v>
      </c>
    </row>
    <row r="262" spans="1:5" x14ac:dyDescent="0.25">
      <c r="A262" s="1">
        <f t="shared" ca="1" si="11"/>
        <v>16687</v>
      </c>
      <c r="B262" s="4"/>
      <c r="C262" s="5"/>
      <c r="D262" s="5"/>
      <c r="E262" s="28">
        <v>0</v>
      </c>
    </row>
    <row r="263" spans="1:5" x14ac:dyDescent="0.25">
      <c r="A263" s="1">
        <f t="shared" ref="A263:A326" ca="1" si="16">IF(ISTEXT(A262),A261+1,IF(MONTH(A262+1)=MONTH(A262),A262+1,"Totaal"))</f>
        <v>16688</v>
      </c>
      <c r="B263" s="4"/>
      <c r="C263" s="5"/>
      <c r="D263" s="5"/>
      <c r="E263" s="28">
        <v>0</v>
      </c>
    </row>
    <row r="264" spans="1:5" x14ac:dyDescent="0.25">
      <c r="A264" s="1">
        <f t="shared" ca="1" si="16"/>
        <v>16689</v>
      </c>
      <c r="B264" s="4"/>
      <c r="C264" s="5"/>
      <c r="D264" s="5"/>
      <c r="E264" s="28">
        <v>0</v>
      </c>
    </row>
    <row r="265" spans="1:5" x14ac:dyDescent="0.25">
      <c r="A265" s="1">
        <f t="shared" ca="1" si="16"/>
        <v>16690</v>
      </c>
      <c r="B265" s="4"/>
      <c r="C265" s="5"/>
      <c r="D265" s="5"/>
      <c r="E265" s="28">
        <v>0</v>
      </c>
    </row>
    <row r="266" spans="1:5" x14ac:dyDescent="0.25">
      <c r="A266" s="1">
        <f t="shared" ca="1" si="16"/>
        <v>16691</v>
      </c>
      <c r="B266" s="4"/>
      <c r="C266" s="5"/>
      <c r="D266" s="5"/>
      <c r="E266" s="28">
        <v>0</v>
      </c>
    </row>
    <row r="267" spans="1:5" x14ac:dyDescent="0.25">
      <c r="A267" s="1">
        <f t="shared" ca="1" si="16"/>
        <v>16692</v>
      </c>
      <c r="B267" s="4"/>
      <c r="C267" s="5"/>
      <c r="D267" s="5"/>
      <c r="E267" s="28">
        <v>153</v>
      </c>
    </row>
    <row r="268" spans="1:5" x14ac:dyDescent="0.25">
      <c r="A268" s="1">
        <f t="shared" ca="1" si="16"/>
        <v>16693</v>
      </c>
      <c r="B268" s="4"/>
      <c r="C268" s="5"/>
      <c r="D268" s="5"/>
      <c r="E268" s="28">
        <v>0</v>
      </c>
    </row>
    <row r="269" spans="1:5" x14ac:dyDescent="0.25">
      <c r="A269" s="1">
        <f t="shared" ca="1" si="16"/>
        <v>16694</v>
      </c>
      <c r="B269" s="4"/>
      <c r="C269" s="5"/>
      <c r="D269" s="5"/>
      <c r="E269" s="28">
        <v>59</v>
      </c>
    </row>
    <row r="270" spans="1:5" x14ac:dyDescent="0.25">
      <c r="A270" s="1">
        <f t="shared" ca="1" si="16"/>
        <v>16695</v>
      </c>
      <c r="B270" s="4"/>
      <c r="C270" s="5"/>
      <c r="D270" s="5"/>
      <c r="E270" s="28">
        <v>113</v>
      </c>
    </row>
    <row r="271" spans="1:5" x14ac:dyDescent="0.25">
      <c r="A271" s="1">
        <f t="shared" ca="1" si="16"/>
        <v>16696</v>
      </c>
      <c r="B271" s="4"/>
      <c r="C271" s="5"/>
      <c r="D271" s="5"/>
      <c r="E271" s="28">
        <v>265</v>
      </c>
    </row>
    <row r="272" spans="1:5" x14ac:dyDescent="0.25">
      <c r="A272" s="1">
        <f t="shared" ca="1" si="16"/>
        <v>16697</v>
      </c>
      <c r="B272" s="4"/>
      <c r="C272" s="5"/>
      <c r="D272" s="5"/>
      <c r="E272" s="28">
        <v>270</v>
      </c>
    </row>
    <row r="273" spans="1:5" x14ac:dyDescent="0.25">
      <c r="A273" s="1">
        <f t="shared" ca="1" si="16"/>
        <v>16698</v>
      </c>
      <c r="B273" s="4"/>
      <c r="C273" s="5"/>
      <c r="D273" s="5"/>
      <c r="E273" s="28">
        <v>0</v>
      </c>
    </row>
    <row r="274" spans="1:5" x14ac:dyDescent="0.25">
      <c r="A274" s="1">
        <f t="shared" ca="1" si="16"/>
        <v>16699</v>
      </c>
      <c r="B274" s="4"/>
      <c r="C274" s="5"/>
      <c r="D274" s="5"/>
      <c r="E274" s="28">
        <v>0</v>
      </c>
    </row>
    <row r="275" spans="1:5" x14ac:dyDescent="0.25">
      <c r="A275" s="1">
        <f t="shared" ca="1" si="16"/>
        <v>16700</v>
      </c>
      <c r="B275" s="4"/>
      <c r="C275" s="5"/>
      <c r="D275" s="5"/>
      <c r="E275" s="28">
        <v>78</v>
      </c>
    </row>
    <row r="276" spans="1:5" x14ac:dyDescent="0.25">
      <c r="A276" s="1">
        <f t="shared" ca="1" si="16"/>
        <v>16701</v>
      </c>
      <c r="B276" s="4"/>
      <c r="C276" s="5"/>
      <c r="D276" s="5"/>
      <c r="E276" s="28">
        <v>225</v>
      </c>
    </row>
    <row r="277" spans="1:5" x14ac:dyDescent="0.25">
      <c r="A277" s="1">
        <f t="shared" ca="1" si="16"/>
        <v>16702</v>
      </c>
      <c r="B277" s="4"/>
      <c r="C277" s="5"/>
      <c r="D277" s="5"/>
      <c r="E277" s="28">
        <v>0</v>
      </c>
    </row>
    <row r="278" spans="1:5" x14ac:dyDescent="0.25">
      <c r="A278" s="1">
        <f t="shared" ca="1" si="16"/>
        <v>16703</v>
      </c>
      <c r="B278" s="4"/>
      <c r="C278" s="5"/>
      <c r="D278" s="5"/>
      <c r="E278" s="28">
        <v>198</v>
      </c>
    </row>
    <row r="279" spans="1:5" x14ac:dyDescent="0.25">
      <c r="A279" s="1">
        <f t="shared" ca="1" si="16"/>
        <v>16704</v>
      </c>
      <c r="B279" s="4"/>
      <c r="C279" s="5"/>
      <c r="D279" s="5"/>
      <c r="E279" s="28">
        <v>0</v>
      </c>
    </row>
    <row r="280" spans="1:5" x14ac:dyDescent="0.25">
      <c r="A280" s="1">
        <f t="shared" ca="1" si="16"/>
        <v>16705</v>
      </c>
      <c r="B280" s="4"/>
      <c r="C280" s="5"/>
      <c r="D280" s="5"/>
      <c r="E280" s="28">
        <v>0</v>
      </c>
    </row>
    <row r="281" spans="1:5" x14ac:dyDescent="0.25">
      <c r="A281" s="1">
        <f t="shared" ca="1" si="16"/>
        <v>16706</v>
      </c>
      <c r="B281" s="4"/>
      <c r="C281" s="5"/>
      <c r="D281" s="5"/>
      <c r="E281" s="28">
        <v>108</v>
      </c>
    </row>
    <row r="282" spans="1:5" x14ac:dyDescent="0.25">
      <c r="A282" s="1">
        <f t="shared" ca="1" si="16"/>
        <v>16707</v>
      </c>
      <c r="B282" s="4"/>
      <c r="C282" s="5"/>
      <c r="D282" s="5"/>
      <c r="E282" s="28">
        <v>28</v>
      </c>
    </row>
    <row r="283" spans="1:5" x14ac:dyDescent="0.25">
      <c r="A283" s="1">
        <f t="shared" ca="1" si="16"/>
        <v>16708</v>
      </c>
      <c r="B283" s="4"/>
      <c r="C283" s="5"/>
      <c r="D283" s="5"/>
      <c r="E283" s="28">
        <v>0</v>
      </c>
    </row>
    <row r="284" spans="1:5" x14ac:dyDescent="0.25">
      <c r="A284" s="1">
        <f t="shared" ca="1" si="16"/>
        <v>16709</v>
      </c>
      <c r="B284" s="4"/>
      <c r="C284" s="5"/>
      <c r="D284" s="5"/>
      <c r="E284" s="28">
        <v>0</v>
      </c>
    </row>
    <row r="285" spans="1:5" x14ac:dyDescent="0.25">
      <c r="A285" s="1">
        <f t="shared" ca="1" si="16"/>
        <v>16710</v>
      </c>
      <c r="B285" s="4"/>
      <c r="C285" s="5"/>
      <c r="D285" s="5"/>
      <c r="E285" s="28">
        <v>0</v>
      </c>
    </row>
    <row r="286" spans="1:5" x14ac:dyDescent="0.25">
      <c r="A286" s="1" t="str">
        <f t="shared" ca="1" si="16"/>
        <v>Totaal</v>
      </c>
      <c r="B286" s="18" t="str">
        <f t="shared" ref="B286:D286" si="17">IF(COUNT(B256:B285)&gt;0,AVERAGE(B256:B285),"")</f>
        <v/>
      </c>
      <c r="C286" s="19" t="str">
        <f t="shared" si="17"/>
        <v/>
      </c>
      <c r="D286" s="19" t="str">
        <f t="shared" si="17"/>
        <v/>
      </c>
      <c r="E286" s="29">
        <f>SUM(E256:E285)/10</f>
        <v>160.69999999999999</v>
      </c>
    </row>
    <row r="287" spans="1:5" x14ac:dyDescent="0.25">
      <c r="A287" s="1">
        <f t="shared" ca="1" si="16"/>
        <v>16711</v>
      </c>
      <c r="B287" s="4"/>
      <c r="C287" s="5"/>
      <c r="D287" s="5"/>
      <c r="E287" s="28">
        <v>0</v>
      </c>
    </row>
    <row r="288" spans="1:5" x14ac:dyDescent="0.25">
      <c r="A288" s="1">
        <f t="shared" ca="1" si="16"/>
        <v>16712</v>
      </c>
      <c r="B288" s="4"/>
      <c r="C288" s="5"/>
      <c r="D288" s="5"/>
      <c r="E288" s="28">
        <v>63</v>
      </c>
    </row>
    <row r="289" spans="1:5" x14ac:dyDescent="0.25">
      <c r="A289" s="1">
        <f t="shared" ca="1" si="16"/>
        <v>16713</v>
      </c>
      <c r="B289" s="4"/>
      <c r="C289" s="5"/>
      <c r="D289" s="5"/>
      <c r="E289" s="28">
        <v>151</v>
      </c>
    </row>
    <row r="290" spans="1:5" x14ac:dyDescent="0.25">
      <c r="A290" s="1">
        <f t="shared" ca="1" si="16"/>
        <v>16714</v>
      </c>
      <c r="B290" s="4"/>
      <c r="C290" s="5"/>
      <c r="D290" s="5"/>
      <c r="E290" s="28">
        <v>18</v>
      </c>
    </row>
    <row r="291" spans="1:5" x14ac:dyDescent="0.25">
      <c r="A291" s="1">
        <f t="shared" ca="1" si="16"/>
        <v>16715</v>
      </c>
      <c r="B291" s="4"/>
      <c r="C291" s="5"/>
      <c r="D291" s="5"/>
      <c r="E291" s="28">
        <v>614</v>
      </c>
    </row>
    <row r="292" spans="1:5" x14ac:dyDescent="0.25">
      <c r="A292" s="1">
        <f t="shared" ca="1" si="16"/>
        <v>16716</v>
      </c>
      <c r="B292" s="4"/>
      <c r="C292" s="5"/>
      <c r="D292" s="5"/>
      <c r="E292" s="28">
        <v>0</v>
      </c>
    </row>
    <row r="293" spans="1:5" x14ac:dyDescent="0.25">
      <c r="A293" s="1">
        <f t="shared" ca="1" si="16"/>
        <v>16717</v>
      </c>
      <c r="B293" s="4"/>
      <c r="C293" s="5"/>
      <c r="D293" s="5"/>
      <c r="E293" s="28">
        <v>0</v>
      </c>
    </row>
    <row r="294" spans="1:5" x14ac:dyDescent="0.25">
      <c r="A294" s="1">
        <f t="shared" ca="1" si="16"/>
        <v>16718</v>
      </c>
      <c r="B294" s="4"/>
      <c r="C294" s="5"/>
      <c r="D294" s="5"/>
      <c r="E294" s="28">
        <v>27</v>
      </c>
    </row>
    <row r="295" spans="1:5" x14ac:dyDescent="0.25">
      <c r="A295" s="1">
        <f t="shared" ca="1" si="16"/>
        <v>16719</v>
      </c>
      <c r="B295" s="4"/>
      <c r="C295" s="5"/>
      <c r="D295" s="5"/>
      <c r="E295" s="28">
        <v>0</v>
      </c>
    </row>
    <row r="296" spans="1:5" x14ac:dyDescent="0.25">
      <c r="A296" s="1">
        <f t="shared" ca="1" si="16"/>
        <v>16720</v>
      </c>
      <c r="B296" s="4"/>
      <c r="C296" s="5"/>
      <c r="D296" s="5"/>
      <c r="E296" s="28">
        <v>0</v>
      </c>
    </row>
    <row r="297" spans="1:5" x14ac:dyDescent="0.25">
      <c r="A297" s="1">
        <f t="shared" ca="1" si="16"/>
        <v>16721</v>
      </c>
      <c r="B297" s="4"/>
      <c r="C297" s="5"/>
      <c r="D297" s="5"/>
      <c r="E297" s="28">
        <v>32</v>
      </c>
    </row>
    <row r="298" spans="1:5" x14ac:dyDescent="0.25">
      <c r="A298" s="1">
        <f t="shared" ca="1" si="16"/>
        <v>16722</v>
      </c>
      <c r="B298" s="4"/>
      <c r="C298" s="5"/>
      <c r="D298" s="5"/>
      <c r="E298" s="28">
        <v>0</v>
      </c>
    </row>
    <row r="299" spans="1:5" x14ac:dyDescent="0.25">
      <c r="A299" s="1">
        <f t="shared" ca="1" si="16"/>
        <v>16723</v>
      </c>
      <c r="B299" s="4"/>
      <c r="C299" s="5"/>
      <c r="D299" s="5"/>
      <c r="E299" s="28">
        <v>0</v>
      </c>
    </row>
    <row r="300" spans="1:5" x14ac:dyDescent="0.25">
      <c r="A300" s="1">
        <f t="shared" ca="1" si="16"/>
        <v>16724</v>
      </c>
      <c r="B300" s="4"/>
      <c r="C300" s="5"/>
      <c r="D300" s="5"/>
      <c r="E300" s="28">
        <v>0</v>
      </c>
    </row>
    <row r="301" spans="1:5" x14ac:dyDescent="0.25">
      <c r="A301" s="1">
        <f t="shared" ca="1" si="16"/>
        <v>16725</v>
      </c>
      <c r="B301" s="4"/>
      <c r="C301" s="5"/>
      <c r="D301" s="5"/>
      <c r="E301" s="28">
        <v>0</v>
      </c>
    </row>
    <row r="302" spans="1:5" x14ac:dyDescent="0.25">
      <c r="A302" s="1">
        <f t="shared" ca="1" si="16"/>
        <v>16726</v>
      </c>
      <c r="B302" s="4"/>
      <c r="C302" s="5"/>
      <c r="D302" s="5"/>
      <c r="E302" s="28">
        <v>0</v>
      </c>
    </row>
    <row r="303" spans="1:5" x14ac:dyDescent="0.25">
      <c r="A303" s="1">
        <f t="shared" ca="1" si="16"/>
        <v>16727</v>
      </c>
      <c r="B303" s="4"/>
      <c r="C303" s="5"/>
      <c r="D303" s="5"/>
      <c r="E303" s="28">
        <v>41</v>
      </c>
    </row>
    <row r="304" spans="1:5" x14ac:dyDescent="0.25">
      <c r="A304" s="1">
        <f t="shared" ca="1" si="16"/>
        <v>16728</v>
      </c>
      <c r="B304" s="4"/>
      <c r="C304" s="5"/>
      <c r="D304" s="5"/>
      <c r="E304" s="28">
        <v>38</v>
      </c>
    </row>
    <row r="305" spans="1:5" x14ac:dyDescent="0.25">
      <c r="A305" s="1">
        <f t="shared" ca="1" si="16"/>
        <v>16729</v>
      </c>
      <c r="B305" s="4"/>
      <c r="C305" s="5"/>
      <c r="D305" s="5"/>
      <c r="E305" s="28">
        <v>0</v>
      </c>
    </row>
    <row r="306" spans="1:5" x14ac:dyDescent="0.25">
      <c r="A306" s="1">
        <f t="shared" ca="1" si="16"/>
        <v>16730</v>
      </c>
      <c r="B306" s="4"/>
      <c r="C306" s="5"/>
      <c r="D306" s="5"/>
      <c r="E306" s="28">
        <v>0</v>
      </c>
    </row>
    <row r="307" spans="1:5" x14ac:dyDescent="0.25">
      <c r="A307" s="1">
        <f t="shared" ca="1" si="16"/>
        <v>16731</v>
      </c>
      <c r="B307" s="4"/>
      <c r="C307" s="5"/>
      <c r="D307" s="5"/>
      <c r="E307" s="28">
        <v>32</v>
      </c>
    </row>
    <row r="308" spans="1:5" x14ac:dyDescent="0.25">
      <c r="A308" s="1">
        <f t="shared" ca="1" si="16"/>
        <v>16732</v>
      </c>
      <c r="B308" s="4"/>
      <c r="C308" s="5"/>
      <c r="D308" s="5"/>
      <c r="E308" s="28">
        <v>0</v>
      </c>
    </row>
    <row r="309" spans="1:5" x14ac:dyDescent="0.25">
      <c r="A309" s="1">
        <f t="shared" ca="1" si="16"/>
        <v>16733</v>
      </c>
      <c r="B309" s="4"/>
      <c r="C309" s="5"/>
      <c r="D309" s="5"/>
      <c r="E309" s="28">
        <v>0</v>
      </c>
    </row>
    <row r="310" spans="1:5" x14ac:dyDescent="0.25">
      <c r="A310" s="1">
        <f t="shared" ca="1" si="16"/>
        <v>16734</v>
      </c>
      <c r="B310" s="4"/>
      <c r="C310" s="5"/>
      <c r="D310" s="5"/>
      <c r="E310" s="28">
        <v>0</v>
      </c>
    </row>
    <row r="311" spans="1:5" x14ac:dyDescent="0.25">
      <c r="A311" s="1">
        <f t="shared" ca="1" si="16"/>
        <v>16735</v>
      </c>
      <c r="B311" s="4"/>
      <c r="C311" s="5"/>
      <c r="D311" s="5"/>
      <c r="E311" s="28">
        <v>16</v>
      </c>
    </row>
    <row r="312" spans="1:5" x14ac:dyDescent="0.25">
      <c r="A312" s="1">
        <f t="shared" ca="1" si="16"/>
        <v>16736</v>
      </c>
      <c r="B312" s="4"/>
      <c r="C312" s="5"/>
      <c r="D312" s="5"/>
      <c r="E312" s="28">
        <v>121</v>
      </c>
    </row>
    <row r="313" spans="1:5" x14ac:dyDescent="0.25">
      <c r="A313" s="1">
        <f t="shared" ca="1" si="16"/>
        <v>16737</v>
      </c>
      <c r="B313" s="4"/>
      <c r="C313" s="5"/>
      <c r="D313" s="5"/>
      <c r="E313" s="28">
        <v>0</v>
      </c>
    </row>
    <row r="314" spans="1:5" x14ac:dyDescent="0.25">
      <c r="A314" s="1">
        <f t="shared" ca="1" si="16"/>
        <v>16738</v>
      </c>
      <c r="B314" s="4"/>
      <c r="C314" s="5"/>
      <c r="D314" s="5"/>
      <c r="E314" s="28">
        <v>72</v>
      </c>
    </row>
    <row r="315" spans="1:5" x14ac:dyDescent="0.25">
      <c r="A315" s="1">
        <f t="shared" ca="1" si="16"/>
        <v>16739</v>
      </c>
      <c r="B315" s="4"/>
      <c r="C315" s="5"/>
      <c r="D315" s="5"/>
      <c r="E315" s="28">
        <v>0</v>
      </c>
    </row>
    <row r="316" spans="1:5" x14ac:dyDescent="0.25">
      <c r="A316" s="1">
        <f t="shared" ca="1" si="16"/>
        <v>16740</v>
      </c>
      <c r="B316" s="4"/>
      <c r="C316" s="5"/>
      <c r="D316" s="5"/>
      <c r="E316" s="28">
        <v>0</v>
      </c>
    </row>
    <row r="317" spans="1:5" x14ac:dyDescent="0.25">
      <c r="A317" s="1">
        <f t="shared" ca="1" si="16"/>
        <v>16741</v>
      </c>
      <c r="B317" s="4"/>
      <c r="C317" s="5"/>
      <c r="D317" s="5"/>
      <c r="E317" s="28">
        <v>72</v>
      </c>
    </row>
    <row r="318" spans="1:5" x14ac:dyDescent="0.25">
      <c r="A318" s="1" t="str">
        <f t="shared" ca="1" si="16"/>
        <v>Totaal</v>
      </c>
      <c r="B318" s="18" t="str">
        <f>IF(COUNT(B287:B317)&gt;0,AVERAGE(B287:B317),"")</f>
        <v/>
      </c>
      <c r="C318" s="19" t="str">
        <f t="shared" ref="C318" si="18">IF(COUNT(C287:C317)&gt;0,AVERAGE(C287:C317),"")</f>
        <v/>
      </c>
      <c r="D318" s="19" t="str">
        <f t="shared" ref="D318" si="19">IF(COUNT(D287:D317)&gt;0,AVERAGE(D287:D317),"")</f>
        <v/>
      </c>
      <c r="E318" s="29">
        <f>SUM(E287:E317)/10</f>
        <v>129.69999999999999</v>
      </c>
    </row>
    <row r="319" spans="1:5" x14ac:dyDescent="0.25">
      <c r="A319" s="1">
        <f t="shared" ca="1" si="16"/>
        <v>16742</v>
      </c>
      <c r="B319" s="4"/>
      <c r="C319" s="5"/>
      <c r="D319" s="5"/>
      <c r="E319" s="28">
        <v>6</v>
      </c>
    </row>
    <row r="320" spans="1:5" x14ac:dyDescent="0.25">
      <c r="A320" s="1">
        <f t="shared" ca="1" si="16"/>
        <v>16743</v>
      </c>
      <c r="B320" s="4"/>
      <c r="C320" s="5"/>
      <c r="D320" s="5"/>
      <c r="E320" s="28">
        <v>0</v>
      </c>
    </row>
    <row r="321" spans="1:5" x14ac:dyDescent="0.25">
      <c r="A321" s="1">
        <f t="shared" ca="1" si="16"/>
        <v>16744</v>
      </c>
      <c r="B321" s="4"/>
      <c r="C321" s="5"/>
      <c r="D321" s="5"/>
      <c r="E321" s="28">
        <v>657</v>
      </c>
    </row>
    <row r="322" spans="1:5" x14ac:dyDescent="0.25">
      <c r="A322" s="1">
        <f t="shared" ca="1" si="16"/>
        <v>16745</v>
      </c>
      <c r="B322" s="4"/>
      <c r="C322" s="5"/>
      <c r="D322" s="5"/>
      <c r="E322" s="28">
        <v>340</v>
      </c>
    </row>
    <row r="323" spans="1:5" x14ac:dyDescent="0.25">
      <c r="A323" s="1">
        <f t="shared" ca="1" si="16"/>
        <v>16746</v>
      </c>
      <c r="B323" s="4"/>
      <c r="C323" s="5"/>
      <c r="D323" s="5"/>
      <c r="E323" s="28">
        <v>15</v>
      </c>
    </row>
    <row r="324" spans="1:5" x14ac:dyDescent="0.25">
      <c r="A324" s="1">
        <f t="shared" ca="1" si="16"/>
        <v>16747</v>
      </c>
      <c r="B324" s="4"/>
      <c r="C324" s="5"/>
      <c r="D324" s="5"/>
      <c r="E324" s="28">
        <v>60</v>
      </c>
    </row>
    <row r="325" spans="1:5" x14ac:dyDescent="0.25">
      <c r="A325" s="1">
        <f t="shared" ca="1" si="16"/>
        <v>16748</v>
      </c>
      <c r="B325" s="4"/>
      <c r="C325" s="5"/>
      <c r="D325" s="5"/>
      <c r="E325" s="28">
        <v>65</v>
      </c>
    </row>
    <row r="326" spans="1:5" x14ac:dyDescent="0.25">
      <c r="A326" s="1">
        <f t="shared" ca="1" si="16"/>
        <v>16749</v>
      </c>
      <c r="B326" s="4"/>
      <c r="C326" s="5"/>
      <c r="D326" s="5"/>
      <c r="E326" s="28">
        <v>0</v>
      </c>
    </row>
    <row r="327" spans="1:5" x14ac:dyDescent="0.25">
      <c r="A327" s="1">
        <f t="shared" ref="A327:A381" ca="1" si="20">IF(ISTEXT(A326),A325+1,IF(MONTH(A326+1)=MONTH(A326),A326+1,"Totaal"))</f>
        <v>16750</v>
      </c>
      <c r="B327" s="4"/>
      <c r="C327" s="5"/>
      <c r="D327" s="5"/>
      <c r="E327" s="28">
        <v>0</v>
      </c>
    </row>
    <row r="328" spans="1:5" x14ac:dyDescent="0.25">
      <c r="A328" s="1">
        <f t="shared" ca="1" si="20"/>
        <v>16751</v>
      </c>
      <c r="B328" s="4"/>
      <c r="C328" s="5"/>
      <c r="D328" s="5"/>
      <c r="E328" s="28">
        <v>0</v>
      </c>
    </row>
    <row r="329" spans="1:5" x14ac:dyDescent="0.25">
      <c r="A329" s="1">
        <f t="shared" ca="1" si="20"/>
        <v>16752</v>
      </c>
      <c r="B329" s="4"/>
      <c r="C329" s="5"/>
      <c r="D329" s="5"/>
      <c r="E329" s="28">
        <v>0</v>
      </c>
    </row>
    <row r="330" spans="1:5" x14ac:dyDescent="0.25">
      <c r="A330" s="1">
        <f t="shared" ca="1" si="20"/>
        <v>16753</v>
      </c>
      <c r="B330" s="4"/>
      <c r="C330" s="5"/>
      <c r="D330" s="5"/>
      <c r="E330" s="28">
        <v>0</v>
      </c>
    </row>
    <row r="331" spans="1:5" x14ac:dyDescent="0.25">
      <c r="A331" s="1">
        <f t="shared" ca="1" si="20"/>
        <v>16754</v>
      </c>
      <c r="B331" s="4"/>
      <c r="C331" s="5"/>
      <c r="D331" s="5"/>
      <c r="E331" s="28">
        <v>0</v>
      </c>
    </row>
    <row r="332" spans="1:5" x14ac:dyDescent="0.25">
      <c r="A332" s="1">
        <f t="shared" ca="1" si="20"/>
        <v>16755</v>
      </c>
      <c r="B332" s="4"/>
      <c r="C332" s="5"/>
      <c r="D332" s="5"/>
      <c r="E332" s="28">
        <v>0</v>
      </c>
    </row>
    <row r="333" spans="1:5" x14ac:dyDescent="0.25">
      <c r="A333" s="1">
        <f t="shared" ca="1" si="20"/>
        <v>16756</v>
      </c>
      <c r="B333" s="4"/>
      <c r="C333" s="5"/>
      <c r="D333" s="5"/>
      <c r="E333" s="28">
        <v>0</v>
      </c>
    </row>
    <row r="334" spans="1:5" x14ac:dyDescent="0.25">
      <c r="A334" s="1">
        <f t="shared" ca="1" si="20"/>
        <v>16757</v>
      </c>
      <c r="B334" s="4"/>
      <c r="C334" s="5"/>
      <c r="D334" s="5"/>
      <c r="E334" s="28">
        <v>14</v>
      </c>
    </row>
    <row r="335" spans="1:5" x14ac:dyDescent="0.25">
      <c r="A335" s="1">
        <f t="shared" ca="1" si="20"/>
        <v>16758</v>
      </c>
      <c r="B335" s="4"/>
      <c r="C335" s="5"/>
      <c r="D335" s="5"/>
      <c r="E335" s="28">
        <v>0</v>
      </c>
    </row>
    <row r="336" spans="1:5" x14ac:dyDescent="0.25">
      <c r="A336" s="1">
        <f t="shared" ca="1" si="20"/>
        <v>16759</v>
      </c>
      <c r="B336" s="4"/>
      <c r="C336" s="5"/>
      <c r="D336" s="5"/>
      <c r="E336" s="28">
        <v>136</v>
      </c>
    </row>
    <row r="337" spans="1:5" x14ac:dyDescent="0.25">
      <c r="A337" s="1">
        <f t="shared" ca="1" si="20"/>
        <v>16760</v>
      </c>
      <c r="B337" s="4"/>
      <c r="C337" s="5"/>
      <c r="D337" s="5"/>
      <c r="E337" s="28">
        <v>65</v>
      </c>
    </row>
    <row r="338" spans="1:5" x14ac:dyDescent="0.25">
      <c r="A338" s="1">
        <f t="shared" ca="1" si="20"/>
        <v>16761</v>
      </c>
      <c r="B338" s="4"/>
      <c r="C338" s="5"/>
      <c r="D338" s="5"/>
      <c r="E338" s="28">
        <v>0</v>
      </c>
    </row>
    <row r="339" spans="1:5" x14ac:dyDescent="0.25">
      <c r="A339" s="1">
        <f t="shared" ca="1" si="20"/>
        <v>16762</v>
      </c>
      <c r="B339" s="4"/>
      <c r="C339" s="5"/>
      <c r="D339" s="5"/>
      <c r="E339" s="28">
        <v>0</v>
      </c>
    </row>
    <row r="340" spans="1:5" x14ac:dyDescent="0.25">
      <c r="A340" s="1">
        <f t="shared" ca="1" si="20"/>
        <v>16763</v>
      </c>
      <c r="B340" s="4"/>
      <c r="C340" s="5"/>
      <c r="D340" s="5"/>
      <c r="E340" s="28">
        <v>0</v>
      </c>
    </row>
    <row r="341" spans="1:5" x14ac:dyDescent="0.25">
      <c r="A341" s="1">
        <f t="shared" ca="1" si="20"/>
        <v>16764</v>
      </c>
      <c r="B341" s="4"/>
      <c r="C341" s="5"/>
      <c r="D341" s="5"/>
      <c r="E341" s="28">
        <v>0</v>
      </c>
    </row>
    <row r="342" spans="1:5" x14ac:dyDescent="0.25">
      <c r="A342" s="1">
        <f t="shared" ca="1" si="20"/>
        <v>16765</v>
      </c>
      <c r="B342" s="4"/>
      <c r="C342" s="5"/>
      <c r="D342" s="5"/>
      <c r="E342" s="28">
        <v>0</v>
      </c>
    </row>
    <row r="343" spans="1:5" x14ac:dyDescent="0.25">
      <c r="A343" s="1">
        <f t="shared" ca="1" si="20"/>
        <v>16766</v>
      </c>
      <c r="B343" s="4"/>
      <c r="C343" s="5"/>
      <c r="D343" s="5"/>
      <c r="E343" s="28">
        <v>0</v>
      </c>
    </row>
    <row r="344" spans="1:5" x14ac:dyDescent="0.25">
      <c r="A344" s="1">
        <f t="shared" ca="1" si="20"/>
        <v>16767</v>
      </c>
      <c r="B344" s="4"/>
      <c r="C344" s="5"/>
      <c r="D344" s="5"/>
      <c r="E344" s="28">
        <v>0</v>
      </c>
    </row>
    <row r="345" spans="1:5" x14ac:dyDescent="0.25">
      <c r="A345" s="1">
        <f t="shared" ca="1" si="20"/>
        <v>16768</v>
      </c>
      <c r="B345" s="4"/>
      <c r="C345" s="5"/>
      <c r="D345" s="5"/>
      <c r="E345" s="28">
        <v>0</v>
      </c>
    </row>
    <row r="346" spans="1:5" x14ac:dyDescent="0.25">
      <c r="A346" s="1">
        <f t="shared" ca="1" si="20"/>
        <v>16769</v>
      </c>
      <c r="B346" s="4"/>
      <c r="C346" s="5"/>
      <c r="D346" s="5"/>
      <c r="E346" s="28">
        <v>0</v>
      </c>
    </row>
    <row r="347" spans="1:5" x14ac:dyDescent="0.25">
      <c r="A347" s="1">
        <f t="shared" ca="1" si="20"/>
        <v>16770</v>
      </c>
      <c r="B347" s="4"/>
      <c r="C347" s="5"/>
      <c r="D347" s="5"/>
      <c r="E347" s="28">
        <v>0</v>
      </c>
    </row>
    <row r="348" spans="1:5" x14ac:dyDescent="0.25">
      <c r="A348" s="1">
        <f t="shared" ca="1" si="20"/>
        <v>16771</v>
      </c>
      <c r="B348" s="4"/>
      <c r="C348" s="5"/>
      <c r="D348" s="5"/>
      <c r="E348" s="28">
        <v>111</v>
      </c>
    </row>
    <row r="349" spans="1:5" x14ac:dyDescent="0.25">
      <c r="A349" s="1" t="str">
        <f t="shared" ca="1" si="20"/>
        <v>Totaal</v>
      </c>
      <c r="B349" s="18" t="str">
        <f t="shared" ref="B349:D349" si="21">IF(COUNT(B319:B348)&gt;0,AVERAGE(B319:B348),"")</f>
        <v/>
      </c>
      <c r="C349" s="19" t="str">
        <f t="shared" si="21"/>
        <v/>
      </c>
      <c r="D349" s="19" t="str">
        <f t="shared" si="21"/>
        <v/>
      </c>
      <c r="E349" s="29">
        <f>SUM(E319:E348)/10</f>
        <v>146.9</v>
      </c>
    </row>
    <row r="350" spans="1:5" x14ac:dyDescent="0.25">
      <c r="A350" s="1">
        <f t="shared" ca="1" si="20"/>
        <v>16772</v>
      </c>
      <c r="B350" s="4"/>
      <c r="C350" s="5"/>
      <c r="D350" s="5"/>
      <c r="E350" s="28">
        <v>12</v>
      </c>
    </row>
    <row r="351" spans="1:5" x14ac:dyDescent="0.25">
      <c r="A351" s="1">
        <f t="shared" ca="1" si="20"/>
        <v>16773</v>
      </c>
      <c r="B351" s="4"/>
      <c r="C351" s="5"/>
      <c r="D351" s="5"/>
      <c r="E351" s="28">
        <v>0</v>
      </c>
    </row>
    <row r="352" spans="1:5" x14ac:dyDescent="0.25">
      <c r="A352" s="1">
        <f t="shared" ca="1" si="20"/>
        <v>16774</v>
      </c>
      <c r="B352" s="4"/>
      <c r="C352" s="5"/>
      <c r="D352" s="5"/>
      <c r="E352" s="28">
        <v>0</v>
      </c>
    </row>
    <row r="353" spans="1:5" x14ac:dyDescent="0.25">
      <c r="A353" s="1">
        <f t="shared" ca="1" si="20"/>
        <v>16775</v>
      </c>
      <c r="B353" s="4"/>
      <c r="C353" s="5"/>
      <c r="D353" s="5"/>
      <c r="E353" s="28">
        <v>0</v>
      </c>
    </row>
    <row r="354" spans="1:5" x14ac:dyDescent="0.25">
      <c r="A354" s="1">
        <f t="shared" ca="1" si="20"/>
        <v>16776</v>
      </c>
      <c r="B354" s="4"/>
      <c r="C354" s="5"/>
      <c r="D354" s="5"/>
      <c r="E354" s="28">
        <v>0</v>
      </c>
    </row>
    <row r="355" spans="1:5" x14ac:dyDescent="0.25">
      <c r="A355" s="1">
        <f t="shared" ca="1" si="20"/>
        <v>16777</v>
      </c>
      <c r="B355" s="4"/>
      <c r="C355" s="5"/>
      <c r="D355" s="5"/>
      <c r="E355" s="28">
        <v>0</v>
      </c>
    </row>
    <row r="356" spans="1:5" x14ac:dyDescent="0.25">
      <c r="A356" s="1">
        <f t="shared" ca="1" si="20"/>
        <v>16778</v>
      </c>
      <c r="B356" s="4"/>
      <c r="C356" s="5"/>
      <c r="D356" s="5"/>
      <c r="E356" s="28">
        <v>0</v>
      </c>
    </row>
    <row r="357" spans="1:5" x14ac:dyDescent="0.25">
      <c r="A357" s="1">
        <f t="shared" ca="1" si="20"/>
        <v>16779</v>
      </c>
      <c r="B357" s="4"/>
      <c r="C357" s="5"/>
      <c r="D357" s="5"/>
      <c r="E357" s="28">
        <v>0</v>
      </c>
    </row>
    <row r="358" spans="1:5" x14ac:dyDescent="0.25">
      <c r="A358" s="1">
        <f t="shared" ca="1" si="20"/>
        <v>16780</v>
      </c>
      <c r="B358" s="4"/>
      <c r="C358" s="5"/>
      <c r="D358" s="5"/>
      <c r="E358" s="28">
        <v>31</v>
      </c>
    </row>
    <row r="359" spans="1:5" x14ac:dyDescent="0.25">
      <c r="A359" s="1">
        <f t="shared" ca="1" si="20"/>
        <v>16781</v>
      </c>
      <c r="B359" s="4"/>
      <c r="C359" s="5"/>
      <c r="D359" s="5"/>
      <c r="E359" s="28">
        <v>0</v>
      </c>
    </row>
    <row r="360" spans="1:5" x14ac:dyDescent="0.25">
      <c r="A360" s="1">
        <f t="shared" ca="1" si="20"/>
        <v>16782</v>
      </c>
      <c r="B360" s="4"/>
      <c r="C360" s="5"/>
      <c r="D360" s="5"/>
      <c r="E360" s="28">
        <v>0</v>
      </c>
    </row>
    <row r="361" spans="1:5" x14ac:dyDescent="0.25">
      <c r="A361" s="1">
        <f t="shared" ca="1" si="20"/>
        <v>16783</v>
      </c>
      <c r="B361" s="4"/>
      <c r="C361" s="5"/>
      <c r="D361" s="5"/>
      <c r="E361" s="28">
        <v>0</v>
      </c>
    </row>
    <row r="362" spans="1:5" x14ac:dyDescent="0.25">
      <c r="A362" s="1">
        <f t="shared" ca="1" si="20"/>
        <v>16784</v>
      </c>
      <c r="B362" s="4"/>
      <c r="C362" s="5"/>
      <c r="D362" s="5"/>
      <c r="E362" s="28">
        <v>0</v>
      </c>
    </row>
    <row r="363" spans="1:5" x14ac:dyDescent="0.25">
      <c r="A363" s="1">
        <f t="shared" ca="1" si="20"/>
        <v>16785</v>
      </c>
      <c r="B363" s="4"/>
      <c r="C363" s="5"/>
      <c r="D363" s="5"/>
      <c r="E363" s="28">
        <v>12</v>
      </c>
    </row>
    <row r="364" spans="1:5" x14ac:dyDescent="0.25">
      <c r="A364" s="1">
        <f t="shared" ca="1" si="20"/>
        <v>16786</v>
      </c>
      <c r="B364" s="4"/>
      <c r="C364" s="5"/>
      <c r="D364" s="5"/>
      <c r="E364" s="28">
        <v>167</v>
      </c>
    </row>
    <row r="365" spans="1:5" x14ac:dyDescent="0.25">
      <c r="A365" s="1">
        <f t="shared" ca="1" si="20"/>
        <v>16787</v>
      </c>
      <c r="B365" s="4"/>
      <c r="C365" s="5"/>
      <c r="D365" s="5"/>
      <c r="E365" s="28">
        <v>23</v>
      </c>
    </row>
    <row r="366" spans="1:5" x14ac:dyDescent="0.25">
      <c r="A366" s="1">
        <f t="shared" ca="1" si="20"/>
        <v>16788</v>
      </c>
      <c r="B366" s="4"/>
      <c r="C366" s="5"/>
      <c r="D366" s="5"/>
      <c r="E366" s="28">
        <v>8</v>
      </c>
    </row>
    <row r="367" spans="1:5" x14ac:dyDescent="0.25">
      <c r="A367" s="1">
        <f t="shared" ca="1" si="20"/>
        <v>16789</v>
      </c>
      <c r="B367" s="4"/>
      <c r="C367" s="5"/>
      <c r="D367" s="5"/>
      <c r="E367" s="28">
        <v>0</v>
      </c>
    </row>
    <row r="368" spans="1:5" x14ac:dyDescent="0.25">
      <c r="A368" s="1">
        <f t="shared" ca="1" si="20"/>
        <v>16790</v>
      </c>
      <c r="B368" s="4"/>
      <c r="C368" s="5"/>
      <c r="D368" s="5"/>
      <c r="E368" s="28">
        <v>75</v>
      </c>
    </row>
    <row r="369" spans="1:5" x14ac:dyDescent="0.25">
      <c r="A369" s="1">
        <f t="shared" ca="1" si="20"/>
        <v>16791</v>
      </c>
      <c r="B369" s="4"/>
      <c r="C369" s="5"/>
      <c r="D369" s="5"/>
      <c r="E369" s="28">
        <v>13</v>
      </c>
    </row>
    <row r="370" spans="1:5" x14ac:dyDescent="0.25">
      <c r="A370" s="1">
        <f t="shared" ca="1" si="20"/>
        <v>16792</v>
      </c>
      <c r="B370" s="4"/>
      <c r="C370" s="5"/>
      <c r="D370" s="5"/>
      <c r="E370" s="28">
        <v>27</v>
      </c>
    </row>
    <row r="371" spans="1:5" x14ac:dyDescent="0.25">
      <c r="A371" s="1">
        <f t="shared" ca="1" si="20"/>
        <v>16793</v>
      </c>
      <c r="B371" s="4"/>
      <c r="C371" s="5"/>
      <c r="D371" s="5"/>
      <c r="E371" s="28">
        <v>0</v>
      </c>
    </row>
    <row r="372" spans="1:5" x14ac:dyDescent="0.25">
      <c r="A372" s="1">
        <f t="shared" ca="1" si="20"/>
        <v>16794</v>
      </c>
      <c r="B372" s="4"/>
      <c r="C372" s="5"/>
      <c r="D372" s="5"/>
      <c r="E372" s="28">
        <v>0</v>
      </c>
    </row>
    <row r="373" spans="1:5" x14ac:dyDescent="0.25">
      <c r="A373" s="1">
        <f t="shared" ca="1" si="20"/>
        <v>16795</v>
      </c>
      <c r="B373" s="4"/>
      <c r="C373" s="5"/>
      <c r="D373" s="5"/>
      <c r="E373" s="28">
        <v>0</v>
      </c>
    </row>
    <row r="374" spans="1:5" x14ac:dyDescent="0.25">
      <c r="A374" s="1">
        <f t="shared" ca="1" si="20"/>
        <v>16796</v>
      </c>
      <c r="B374" s="4"/>
      <c r="C374" s="5"/>
      <c r="D374" s="5"/>
      <c r="E374" s="28">
        <v>0</v>
      </c>
    </row>
    <row r="375" spans="1:5" x14ac:dyDescent="0.25">
      <c r="A375" s="1">
        <f t="shared" ca="1" si="20"/>
        <v>16797</v>
      </c>
      <c r="B375" s="4"/>
      <c r="C375" s="5"/>
      <c r="D375" s="5"/>
      <c r="E375" s="28">
        <v>16</v>
      </c>
    </row>
    <row r="376" spans="1:5" x14ac:dyDescent="0.25">
      <c r="A376" s="1">
        <f t="shared" ca="1" si="20"/>
        <v>16798</v>
      </c>
      <c r="B376" s="4"/>
      <c r="C376" s="5"/>
      <c r="D376" s="5"/>
      <c r="E376" s="28">
        <v>0</v>
      </c>
    </row>
    <row r="377" spans="1:5" x14ac:dyDescent="0.25">
      <c r="A377" s="1">
        <f t="shared" ca="1" si="20"/>
        <v>16799</v>
      </c>
      <c r="B377" s="4"/>
      <c r="C377" s="5"/>
      <c r="D377" s="5"/>
      <c r="E377" s="28">
        <v>564</v>
      </c>
    </row>
    <row r="378" spans="1:5" x14ac:dyDescent="0.25">
      <c r="A378" s="1">
        <f t="shared" ca="1" si="20"/>
        <v>16800</v>
      </c>
      <c r="B378" s="4"/>
      <c r="C378" s="5"/>
      <c r="D378" s="5"/>
      <c r="E378" s="28">
        <v>12</v>
      </c>
    </row>
    <row r="379" spans="1:5" x14ac:dyDescent="0.25">
      <c r="A379" s="1">
        <f t="shared" ca="1" si="20"/>
        <v>16801</v>
      </c>
      <c r="B379" s="4"/>
      <c r="C379" s="5"/>
      <c r="D379" s="5"/>
      <c r="E379" s="28">
        <v>155</v>
      </c>
    </row>
    <row r="380" spans="1:5" x14ac:dyDescent="0.25">
      <c r="A380" s="1">
        <f t="shared" ca="1" si="20"/>
        <v>16802</v>
      </c>
      <c r="B380" s="4"/>
      <c r="C380" s="5"/>
      <c r="D380" s="5"/>
      <c r="E380" s="28">
        <v>20</v>
      </c>
    </row>
    <row r="381" spans="1:5" x14ac:dyDescent="0.25">
      <c r="A381" s="1" t="str">
        <f t="shared" ca="1" si="20"/>
        <v>Totaal</v>
      </c>
      <c r="B381" s="18" t="str">
        <f>IF(COUNT(B350:B380)&gt;0,AVERAGE(B350:B380),"")</f>
        <v/>
      </c>
      <c r="C381" s="19" t="str">
        <f t="shared" ref="C381" si="22">IF(COUNT(C350:C380)&gt;0,AVERAGE(C350:C380),"")</f>
        <v/>
      </c>
      <c r="D381" s="19" t="str">
        <f t="shared" ref="D381" si="23">IF(COUNT(D350:D380)&gt;0,AVERAGE(D350:D380),"")</f>
        <v/>
      </c>
      <c r="E381" s="29">
        <f>SUM(E350:E380)/10</f>
        <v>113.5</v>
      </c>
    </row>
  </sheetData>
  <sheetProtection sheet="1" objects="1" scenarios="1" selectLockedCells="1"/>
  <mergeCells count="3">
    <mergeCell ref="B3:D3"/>
    <mergeCell ref="A3:A4"/>
    <mergeCell ref="A1:E1"/>
  </mergeCells>
  <conditionalFormatting sqref="A5:E381">
    <cfRule type="expression" dxfId="0" priority="1">
      <formula>ISTEXT($A5)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A1:N9"/>
  <sheetViews>
    <sheetView workbookViewId="0"/>
  </sheetViews>
  <sheetFormatPr defaultRowHeight="15" x14ac:dyDescent="0.25"/>
  <cols>
    <col min="2" max="2" width="14.140625" customWidth="1"/>
    <col min="5" max="5" width="13.7109375" customWidth="1"/>
    <col min="14" max="14" width="17.7109375" bestFit="1" customWidth="1"/>
  </cols>
  <sheetData>
    <row r="1" spans="1:14" x14ac:dyDescent="0.25">
      <c r="A1" t="s">
        <v>10</v>
      </c>
      <c r="D1" t="s">
        <v>22</v>
      </c>
      <c r="G1" t="s">
        <v>20</v>
      </c>
      <c r="J1" t="s">
        <v>21</v>
      </c>
    </row>
    <row r="2" spans="1:14" ht="15.75" thickBot="1" x14ac:dyDescent="0.3"/>
    <row r="3" spans="1:14" ht="15.75" thickBot="1" x14ac:dyDescent="0.3">
      <c r="J3" s="40" t="s">
        <v>0</v>
      </c>
      <c r="K3" s="39" t="s">
        <v>28</v>
      </c>
      <c r="L3" s="39"/>
      <c r="M3" s="39"/>
      <c r="N3" s="32" t="s">
        <v>1</v>
      </c>
    </row>
    <row r="4" spans="1:14" x14ac:dyDescent="0.25">
      <c r="A4" s="22" t="s">
        <v>11</v>
      </c>
      <c r="B4" s="21" t="s">
        <v>12</v>
      </c>
      <c r="D4" s="21" t="s">
        <v>23</v>
      </c>
      <c r="E4" s="21" t="s">
        <v>25</v>
      </c>
      <c r="G4" s="13" t="s">
        <v>13</v>
      </c>
      <c r="H4" s="13" t="s">
        <v>14</v>
      </c>
      <c r="J4" s="41"/>
      <c r="K4" s="17" t="s">
        <v>29</v>
      </c>
      <c r="L4" s="17" t="s">
        <v>30</v>
      </c>
      <c r="M4" s="17" t="s">
        <v>31</v>
      </c>
      <c r="N4" s="33" t="s">
        <v>32</v>
      </c>
    </row>
    <row r="5" spans="1:14" x14ac:dyDescent="0.25">
      <c r="A5" s="8">
        <v>73</v>
      </c>
      <c r="B5" t="s">
        <v>32</v>
      </c>
      <c r="D5" t="s">
        <v>7</v>
      </c>
      <c r="E5" t="s">
        <v>24</v>
      </c>
      <c r="G5" t="s">
        <v>15</v>
      </c>
      <c r="H5" s="9">
        <v>0</v>
      </c>
    </row>
    <row r="6" spans="1:14" x14ac:dyDescent="0.25">
      <c r="A6" s="8">
        <v>71</v>
      </c>
      <c r="B6" t="s">
        <v>34</v>
      </c>
      <c r="D6" s="23" t="s">
        <v>9</v>
      </c>
      <c r="E6" s="23" t="s">
        <v>26</v>
      </c>
      <c r="G6" t="s">
        <v>16</v>
      </c>
      <c r="H6" s="9">
        <v>1</v>
      </c>
    </row>
    <row r="7" spans="1:14" ht="15.75" thickBot="1" x14ac:dyDescent="0.3">
      <c r="A7" s="12">
        <v>72</v>
      </c>
      <c r="B7" s="10" t="s">
        <v>35</v>
      </c>
      <c r="D7" s="24" t="s">
        <v>4</v>
      </c>
      <c r="E7" s="24" t="s">
        <v>27</v>
      </c>
      <c r="G7" t="s">
        <v>17</v>
      </c>
      <c r="H7" s="9">
        <v>4</v>
      </c>
    </row>
    <row r="8" spans="1:14" x14ac:dyDescent="0.25">
      <c r="G8" t="s">
        <v>18</v>
      </c>
      <c r="H8" s="9">
        <v>6</v>
      </c>
    </row>
    <row r="9" spans="1:14" ht="15.75" thickBot="1" x14ac:dyDescent="0.3">
      <c r="G9" s="10" t="s">
        <v>19</v>
      </c>
      <c r="H9" s="11">
        <v>7</v>
      </c>
    </row>
  </sheetData>
  <mergeCells count="2">
    <mergeCell ref="K3:M3"/>
    <mergeCell ref="J3:J4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/>
  <dimension ref="A1:E366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3</v>
      </c>
      <c r="D1" s="7" t="s">
        <v>4</v>
      </c>
      <c r="E1" s="7" t="s">
        <v>5</v>
      </c>
    </row>
    <row r="2" spans="1:5" x14ac:dyDescent="0.25">
      <c r="A2" s="8">
        <f ca="1">INDEX(Stations,INT((ROWS(A$2:A2)-1)/(DATE(YEAR(Invoer!$A$5),12,31)-DATE(YEAR(Invoer!$A$5),1,1)+1))+2,1)</f>
        <v>73</v>
      </c>
      <c r="B2" t="str">
        <f ca="1">TEXT(DATE(YEAR(Invoer!$A$5),1,1)+MOD(ROWS(B$2:B2)-1,DATE(YEAR(Invoer!$A$5),12,31)-DATE(YEAR(Invoer!$A$5),1,1)+1),"jjjjmmdd")</f>
        <v>19450101</v>
      </c>
      <c r="C2" s="9">
        <v>1</v>
      </c>
      <c r="D2" s="14">
        <f t="shared" ref="D2:D65" ca="1" si="0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"—",VLOOKUP(DATEVALUE(LEFT(B2,4)&amp;"-"&amp;MID(B2,5,2)&amp;"-"&amp;RIGHT(B2,2)),Data,MATCH(VLOOKUP(A2,Stations,2,FALSE()),OFFSET(Data,1,0,1),0),FALSE()))</f>
        <v>0</v>
      </c>
      <c r="E2" s="15">
        <f t="shared" ref="E2:E65" ca="1" si="1">IF(OR(ISBLANK(VLOOKUP(DATEVALUE(LEFT(B2,4)&amp;"-"&amp;MID(B2,5,2)&amp;"-"&amp;RIGHT(B2,2)),Data,MATCH(VLOOKUP(A2,Stations,2,FALSE()),OFFSET(Data,1,0,1),0),FALSE())),ISTEXT(VLOOKUP(DATEVALUE(LEFT(B2,4)&amp;"-"&amp;MID(B2,5,2)&amp;"-"&amp;RIGHT(B2,2)),Data,MATCH(VLOOKUP(A2,Stations,2,FALSE()),OFFSET(Data,1,0,1),0),FALSE()))),Lacking,IF(ISNA(MATCH(DATEVALUE(LEFT(B2,4)&amp;"-"&amp;MID(B2,5,2)&amp;"-"&amp;RIGHT(B2,2)),OFFSET(Catalogus,0,0,,1),0)),Ok,VLOOKUP(DATEVALUE(LEFT(B2,4)&amp;"-"&amp;MID(B2,5,2)&amp;"-"&amp;RIGHT(B2,2)),Catalogus,MATCH(VLOOKUP(A2,Stations,2,FALSE()),OFFSET(Catalogus,1,0,1),0),FALSE())))</f>
        <v>0</v>
      </c>
    </row>
    <row r="3" spans="1:5" x14ac:dyDescent="0.25">
      <c r="A3" s="8">
        <f ca="1">INDEX(Stations,INT((ROWS(A$2:A3)-1)/(DATE(YEAR(Invoer!$A$5),12,31)-DATE(YEAR(Invoer!$A$5),1,1)+1))+2,1)</f>
        <v>73</v>
      </c>
      <c r="B3" t="str">
        <f ca="1">TEXT(DATE(YEAR(Invoer!$A$5),1,1)+MOD(ROWS(B$2:B3)-1,DATE(YEAR(Invoer!$A$5),12,31)-DATE(YEAR(Invoer!$A$5),1,1)+1),"jjjjmmdd")</f>
        <v>19450102</v>
      </c>
      <c r="C3" s="9">
        <v>1</v>
      </c>
      <c r="D3" s="14">
        <f t="shared" ca="1" si="0"/>
        <v>0</v>
      </c>
      <c r="E3" s="15">
        <f t="shared" ca="1" si="1"/>
        <v>0</v>
      </c>
    </row>
    <row r="4" spans="1:5" x14ac:dyDescent="0.25">
      <c r="A4" s="8">
        <f ca="1">INDEX(Stations,INT((ROWS(A$2:A4)-1)/(DATE(YEAR(Invoer!$A$5),12,31)-DATE(YEAR(Invoer!$A$5),1,1)+1))+2,1)</f>
        <v>73</v>
      </c>
      <c r="B4" t="str">
        <f ca="1">TEXT(DATE(YEAR(Invoer!$A$5),1,1)+MOD(ROWS(B$2:B4)-1,DATE(YEAR(Invoer!$A$5),12,31)-DATE(YEAR(Invoer!$A$5),1,1)+1),"jjjjmmdd")</f>
        <v>19450103</v>
      </c>
      <c r="C4" s="9">
        <v>1</v>
      </c>
      <c r="D4" s="14">
        <f t="shared" ca="1" si="0"/>
        <v>16</v>
      </c>
      <c r="E4" s="15">
        <f t="shared" ca="1" si="1"/>
        <v>0</v>
      </c>
    </row>
    <row r="5" spans="1:5" x14ac:dyDescent="0.25">
      <c r="A5" s="8">
        <f ca="1">INDEX(Stations,INT((ROWS(A$2:A5)-1)/(DATE(YEAR(Invoer!$A$5),12,31)-DATE(YEAR(Invoer!$A$5),1,1)+1))+2,1)</f>
        <v>73</v>
      </c>
      <c r="B5" t="str">
        <f ca="1">TEXT(DATE(YEAR(Invoer!$A$5),1,1)+MOD(ROWS(B$2:B5)-1,DATE(YEAR(Invoer!$A$5),12,31)-DATE(YEAR(Invoer!$A$5),1,1)+1),"jjjjmmdd")</f>
        <v>19450104</v>
      </c>
      <c r="C5" s="9">
        <v>1</v>
      </c>
      <c r="D5" s="14">
        <f t="shared" ca="1" si="0"/>
        <v>38</v>
      </c>
      <c r="E5" s="15">
        <f t="shared" ca="1" si="1"/>
        <v>0</v>
      </c>
    </row>
    <row r="6" spans="1:5" x14ac:dyDescent="0.25">
      <c r="A6" s="8">
        <f ca="1">INDEX(Stations,INT((ROWS(A$2:A6)-1)/(DATE(YEAR(Invoer!$A$5),12,31)-DATE(YEAR(Invoer!$A$5),1,1)+1))+2,1)</f>
        <v>73</v>
      </c>
      <c r="B6" t="str">
        <f ca="1">TEXT(DATE(YEAR(Invoer!$A$5),1,1)+MOD(ROWS(B$2:B6)-1,DATE(YEAR(Invoer!$A$5),12,31)-DATE(YEAR(Invoer!$A$5),1,1)+1),"jjjjmmdd")</f>
        <v>19450105</v>
      </c>
      <c r="C6" s="9">
        <v>1</v>
      </c>
      <c r="D6" s="14">
        <f t="shared" ca="1" si="0"/>
        <v>106</v>
      </c>
      <c r="E6" s="15">
        <f t="shared" ca="1" si="1"/>
        <v>0</v>
      </c>
    </row>
    <row r="7" spans="1:5" x14ac:dyDescent="0.25">
      <c r="A7" s="8">
        <f ca="1">INDEX(Stations,INT((ROWS(A$2:A7)-1)/(DATE(YEAR(Invoer!$A$5),12,31)-DATE(YEAR(Invoer!$A$5),1,1)+1))+2,1)</f>
        <v>73</v>
      </c>
      <c r="B7" t="str">
        <f ca="1">TEXT(DATE(YEAR(Invoer!$A$5),1,1)+MOD(ROWS(B$2:B7)-1,DATE(YEAR(Invoer!$A$5),12,31)-DATE(YEAR(Invoer!$A$5),1,1)+1),"jjjjmmdd")</f>
        <v>19450106</v>
      </c>
      <c r="C7" s="9">
        <v>1</v>
      </c>
      <c r="D7" s="14">
        <f t="shared" ca="1" si="0"/>
        <v>0</v>
      </c>
      <c r="E7" s="15">
        <f t="shared" ca="1" si="1"/>
        <v>0</v>
      </c>
    </row>
    <row r="8" spans="1:5" x14ac:dyDescent="0.25">
      <c r="A8" s="8">
        <f ca="1">INDEX(Stations,INT((ROWS(A$2:A8)-1)/(DATE(YEAR(Invoer!$A$5),12,31)-DATE(YEAR(Invoer!$A$5),1,1)+1))+2,1)</f>
        <v>73</v>
      </c>
      <c r="B8" t="str">
        <f ca="1">TEXT(DATE(YEAR(Invoer!$A$5),1,1)+MOD(ROWS(B$2:B8)-1,DATE(YEAR(Invoer!$A$5),12,31)-DATE(YEAR(Invoer!$A$5),1,1)+1),"jjjjmmdd")</f>
        <v>19450107</v>
      </c>
      <c r="C8" s="9">
        <v>1</v>
      </c>
      <c r="D8" s="14">
        <f t="shared" ca="1" si="0"/>
        <v>81</v>
      </c>
      <c r="E8" s="15">
        <f t="shared" ca="1" si="1"/>
        <v>0</v>
      </c>
    </row>
    <row r="9" spans="1:5" x14ac:dyDescent="0.25">
      <c r="A9" s="8">
        <f ca="1">INDEX(Stations,INT((ROWS(A$2:A9)-1)/(DATE(YEAR(Invoer!$A$5),12,31)-DATE(YEAR(Invoer!$A$5),1,1)+1))+2,1)</f>
        <v>73</v>
      </c>
      <c r="B9" t="str">
        <f ca="1">TEXT(DATE(YEAR(Invoer!$A$5),1,1)+MOD(ROWS(B$2:B9)-1,DATE(YEAR(Invoer!$A$5),12,31)-DATE(YEAR(Invoer!$A$5),1,1)+1),"jjjjmmdd")</f>
        <v>19450108</v>
      </c>
      <c r="C9" s="9">
        <v>1</v>
      </c>
      <c r="D9" s="14">
        <f t="shared" ca="1" si="0"/>
        <v>0</v>
      </c>
      <c r="E9" s="15">
        <f t="shared" ca="1" si="1"/>
        <v>0</v>
      </c>
    </row>
    <row r="10" spans="1:5" x14ac:dyDescent="0.25">
      <c r="A10" s="8">
        <f ca="1">INDEX(Stations,INT((ROWS(A$2:A10)-1)/(DATE(YEAR(Invoer!$A$5),12,31)-DATE(YEAR(Invoer!$A$5),1,1)+1))+2,1)</f>
        <v>73</v>
      </c>
      <c r="B10" t="str">
        <f ca="1">TEXT(DATE(YEAR(Invoer!$A$5),1,1)+MOD(ROWS(B$2:B10)-1,DATE(YEAR(Invoer!$A$5),12,31)-DATE(YEAR(Invoer!$A$5),1,1)+1),"jjjjmmdd")</f>
        <v>19450109</v>
      </c>
      <c r="C10" s="9">
        <v>1</v>
      </c>
      <c r="D10" s="14">
        <f t="shared" ca="1" si="0"/>
        <v>0</v>
      </c>
      <c r="E10" s="15">
        <f t="shared" ca="1" si="1"/>
        <v>0</v>
      </c>
    </row>
    <row r="11" spans="1:5" x14ac:dyDescent="0.25">
      <c r="A11" s="8">
        <f ca="1">INDEX(Stations,INT((ROWS(A$2:A11)-1)/(DATE(YEAR(Invoer!$A$5),12,31)-DATE(YEAR(Invoer!$A$5),1,1)+1))+2,1)</f>
        <v>73</v>
      </c>
      <c r="B11" t="str">
        <f ca="1">TEXT(DATE(YEAR(Invoer!$A$5),1,1)+MOD(ROWS(B$2:B11)-1,DATE(YEAR(Invoer!$A$5),12,31)-DATE(YEAR(Invoer!$A$5),1,1)+1),"jjjjmmdd")</f>
        <v>19450110</v>
      </c>
      <c r="C11" s="9">
        <v>1</v>
      </c>
      <c r="D11" s="14">
        <f t="shared" ca="1" si="0"/>
        <v>0</v>
      </c>
      <c r="E11" s="15">
        <f t="shared" ca="1" si="1"/>
        <v>0</v>
      </c>
    </row>
    <row r="12" spans="1:5" x14ac:dyDescent="0.25">
      <c r="A12" s="8">
        <f ca="1">INDEX(Stations,INT((ROWS(A$2:A12)-1)/(DATE(YEAR(Invoer!$A$5),12,31)-DATE(YEAR(Invoer!$A$5),1,1)+1))+2,1)</f>
        <v>73</v>
      </c>
      <c r="B12" t="str">
        <f ca="1">TEXT(DATE(YEAR(Invoer!$A$5),1,1)+MOD(ROWS(B$2:B12)-1,DATE(YEAR(Invoer!$A$5),12,31)-DATE(YEAR(Invoer!$A$5),1,1)+1),"jjjjmmdd")</f>
        <v>19450111</v>
      </c>
      <c r="C12" s="9">
        <v>1</v>
      </c>
      <c r="D12" s="14">
        <f t="shared" ca="1" si="0"/>
        <v>380</v>
      </c>
      <c r="E12" s="15">
        <f t="shared" ca="1" si="1"/>
        <v>0</v>
      </c>
    </row>
    <row r="13" spans="1:5" x14ac:dyDescent="0.25">
      <c r="A13" s="8">
        <f ca="1">INDEX(Stations,INT((ROWS(A$2:A13)-1)/(DATE(YEAR(Invoer!$A$5),12,31)-DATE(YEAR(Invoer!$A$5),1,1)+1))+2,1)</f>
        <v>73</v>
      </c>
      <c r="B13" t="str">
        <f ca="1">TEXT(DATE(YEAR(Invoer!$A$5),1,1)+MOD(ROWS(B$2:B13)-1,DATE(YEAR(Invoer!$A$5),12,31)-DATE(YEAR(Invoer!$A$5),1,1)+1),"jjjjmmdd")</f>
        <v>19450112</v>
      </c>
      <c r="C13" s="9">
        <v>1</v>
      </c>
      <c r="D13" s="14">
        <f t="shared" ca="1" si="0"/>
        <v>148</v>
      </c>
      <c r="E13" s="15">
        <f t="shared" ca="1" si="1"/>
        <v>0</v>
      </c>
    </row>
    <row r="14" spans="1:5" x14ac:dyDescent="0.25">
      <c r="A14" s="8">
        <f ca="1">INDEX(Stations,INT((ROWS(A$2:A14)-1)/(DATE(YEAR(Invoer!$A$5),12,31)-DATE(YEAR(Invoer!$A$5),1,1)+1))+2,1)</f>
        <v>73</v>
      </c>
      <c r="B14" t="str">
        <f ca="1">TEXT(DATE(YEAR(Invoer!$A$5),1,1)+MOD(ROWS(B$2:B14)-1,DATE(YEAR(Invoer!$A$5),12,31)-DATE(YEAR(Invoer!$A$5),1,1)+1),"jjjjmmdd")</f>
        <v>19450113</v>
      </c>
      <c r="C14" s="9">
        <v>1</v>
      </c>
      <c r="D14" s="14">
        <f t="shared" ca="1" si="0"/>
        <v>0</v>
      </c>
      <c r="E14" s="15">
        <f t="shared" ca="1" si="1"/>
        <v>0</v>
      </c>
    </row>
    <row r="15" spans="1:5" x14ac:dyDescent="0.25">
      <c r="A15" s="8">
        <f ca="1">INDEX(Stations,INT((ROWS(A$2:A15)-1)/(DATE(YEAR(Invoer!$A$5),12,31)-DATE(YEAR(Invoer!$A$5),1,1)+1))+2,1)</f>
        <v>73</v>
      </c>
      <c r="B15" t="str">
        <f ca="1">TEXT(DATE(YEAR(Invoer!$A$5),1,1)+MOD(ROWS(B$2:B15)-1,DATE(YEAR(Invoer!$A$5),12,31)-DATE(YEAR(Invoer!$A$5),1,1)+1),"jjjjmmdd")</f>
        <v>19450114</v>
      </c>
      <c r="C15" s="9">
        <v>1</v>
      </c>
      <c r="D15" s="14">
        <f t="shared" ca="1" si="0"/>
        <v>0</v>
      </c>
      <c r="E15" s="15">
        <f t="shared" ca="1" si="1"/>
        <v>0</v>
      </c>
    </row>
    <row r="16" spans="1:5" x14ac:dyDescent="0.25">
      <c r="A16" s="8">
        <f ca="1">INDEX(Stations,INT((ROWS(A$2:A16)-1)/(DATE(YEAR(Invoer!$A$5),12,31)-DATE(YEAR(Invoer!$A$5),1,1)+1))+2,1)</f>
        <v>73</v>
      </c>
      <c r="B16" t="str">
        <f ca="1">TEXT(DATE(YEAR(Invoer!$A$5),1,1)+MOD(ROWS(B$2:B16)-1,DATE(YEAR(Invoer!$A$5),12,31)-DATE(YEAR(Invoer!$A$5),1,1)+1),"jjjjmmdd")</f>
        <v>19450115</v>
      </c>
      <c r="C16" s="9">
        <v>1</v>
      </c>
      <c r="D16" s="14">
        <f t="shared" ca="1" si="0"/>
        <v>0</v>
      </c>
      <c r="E16" s="15">
        <f t="shared" ca="1" si="1"/>
        <v>0</v>
      </c>
    </row>
    <row r="17" spans="1:5" x14ac:dyDescent="0.25">
      <c r="A17" s="8">
        <f ca="1">INDEX(Stations,INT((ROWS(A$2:A17)-1)/(DATE(YEAR(Invoer!$A$5),12,31)-DATE(YEAR(Invoer!$A$5),1,1)+1))+2,1)</f>
        <v>73</v>
      </c>
      <c r="B17" t="str">
        <f ca="1">TEXT(DATE(YEAR(Invoer!$A$5),1,1)+MOD(ROWS(B$2:B17)-1,DATE(YEAR(Invoer!$A$5),12,31)-DATE(YEAR(Invoer!$A$5),1,1)+1),"jjjjmmdd")</f>
        <v>19450116</v>
      </c>
      <c r="C17" s="9">
        <v>1</v>
      </c>
      <c r="D17" s="14">
        <f t="shared" ca="1" si="0"/>
        <v>0</v>
      </c>
      <c r="E17" s="15">
        <f t="shared" ca="1" si="1"/>
        <v>0</v>
      </c>
    </row>
    <row r="18" spans="1:5" x14ac:dyDescent="0.25">
      <c r="A18" s="8">
        <f ca="1">INDEX(Stations,INT((ROWS(A$2:A18)-1)/(DATE(YEAR(Invoer!$A$5),12,31)-DATE(YEAR(Invoer!$A$5),1,1)+1))+2,1)</f>
        <v>73</v>
      </c>
      <c r="B18" t="str">
        <f ca="1">TEXT(DATE(YEAR(Invoer!$A$5),1,1)+MOD(ROWS(B$2:B18)-1,DATE(YEAR(Invoer!$A$5),12,31)-DATE(YEAR(Invoer!$A$5),1,1)+1),"jjjjmmdd")</f>
        <v>19450117</v>
      </c>
      <c r="C18" s="9">
        <v>1</v>
      </c>
      <c r="D18" s="14">
        <f t="shared" ca="1" si="0"/>
        <v>19</v>
      </c>
      <c r="E18" s="15">
        <f t="shared" ca="1" si="1"/>
        <v>0</v>
      </c>
    </row>
    <row r="19" spans="1:5" x14ac:dyDescent="0.25">
      <c r="A19" s="8">
        <f ca="1">INDEX(Stations,INT((ROWS(A$2:A19)-1)/(DATE(YEAR(Invoer!$A$5),12,31)-DATE(YEAR(Invoer!$A$5),1,1)+1))+2,1)</f>
        <v>73</v>
      </c>
      <c r="B19" t="str">
        <f ca="1">TEXT(DATE(YEAR(Invoer!$A$5),1,1)+MOD(ROWS(B$2:B19)-1,DATE(YEAR(Invoer!$A$5),12,31)-DATE(YEAR(Invoer!$A$5),1,1)+1),"jjjjmmdd")</f>
        <v>19450118</v>
      </c>
      <c r="C19" s="9">
        <v>1</v>
      </c>
      <c r="D19" s="14">
        <f t="shared" ca="1" si="0"/>
        <v>116</v>
      </c>
      <c r="E19" s="15">
        <f t="shared" ca="1" si="1"/>
        <v>0</v>
      </c>
    </row>
    <row r="20" spans="1:5" x14ac:dyDescent="0.25">
      <c r="A20" s="8">
        <f ca="1">INDEX(Stations,INT((ROWS(A$2:A20)-1)/(DATE(YEAR(Invoer!$A$5),12,31)-DATE(YEAR(Invoer!$A$5),1,1)+1))+2,1)</f>
        <v>73</v>
      </c>
      <c r="B20" t="str">
        <f ca="1">TEXT(DATE(YEAR(Invoer!$A$5),1,1)+MOD(ROWS(B$2:B20)-1,DATE(YEAR(Invoer!$A$5),12,31)-DATE(YEAR(Invoer!$A$5),1,1)+1),"jjjjmmdd")</f>
        <v>19450119</v>
      </c>
      <c r="C20" s="9">
        <v>1</v>
      </c>
      <c r="D20" s="14">
        <f t="shared" ca="1" si="0"/>
        <v>0</v>
      </c>
      <c r="E20" s="15">
        <f t="shared" ca="1" si="1"/>
        <v>0</v>
      </c>
    </row>
    <row r="21" spans="1:5" x14ac:dyDescent="0.25">
      <c r="A21" s="8">
        <f ca="1">INDEX(Stations,INT((ROWS(A$2:A21)-1)/(DATE(YEAR(Invoer!$A$5),12,31)-DATE(YEAR(Invoer!$A$5),1,1)+1))+2,1)</f>
        <v>73</v>
      </c>
      <c r="B21" t="str">
        <f ca="1">TEXT(DATE(YEAR(Invoer!$A$5),1,1)+MOD(ROWS(B$2:B21)-1,DATE(YEAR(Invoer!$A$5),12,31)-DATE(YEAR(Invoer!$A$5),1,1)+1),"jjjjmmdd")</f>
        <v>19450120</v>
      </c>
      <c r="C21" s="9">
        <v>1</v>
      </c>
      <c r="D21" s="14">
        <f t="shared" ca="1" si="0"/>
        <v>0</v>
      </c>
      <c r="E21" s="15">
        <f t="shared" ca="1" si="1"/>
        <v>0</v>
      </c>
    </row>
    <row r="22" spans="1:5" x14ac:dyDescent="0.25">
      <c r="A22" s="8">
        <f ca="1">INDEX(Stations,INT((ROWS(A$2:A22)-1)/(DATE(YEAR(Invoer!$A$5),12,31)-DATE(YEAR(Invoer!$A$5),1,1)+1))+2,1)</f>
        <v>73</v>
      </c>
      <c r="B22" t="str">
        <f ca="1">TEXT(DATE(YEAR(Invoer!$A$5),1,1)+MOD(ROWS(B$2:B22)-1,DATE(YEAR(Invoer!$A$5),12,31)-DATE(YEAR(Invoer!$A$5),1,1)+1),"jjjjmmdd")</f>
        <v>19450121</v>
      </c>
      <c r="C22" s="9">
        <v>1</v>
      </c>
      <c r="D22" s="14">
        <f t="shared" ca="1" si="0"/>
        <v>0</v>
      </c>
      <c r="E22" s="15">
        <f t="shared" ca="1" si="1"/>
        <v>0</v>
      </c>
    </row>
    <row r="23" spans="1:5" x14ac:dyDescent="0.25">
      <c r="A23" s="8">
        <f ca="1">INDEX(Stations,INT((ROWS(A$2:A23)-1)/(DATE(YEAR(Invoer!$A$5),12,31)-DATE(YEAR(Invoer!$A$5),1,1)+1))+2,1)</f>
        <v>73</v>
      </c>
      <c r="B23" t="str">
        <f ca="1">TEXT(DATE(YEAR(Invoer!$A$5),1,1)+MOD(ROWS(B$2:B23)-1,DATE(YEAR(Invoer!$A$5),12,31)-DATE(YEAR(Invoer!$A$5),1,1)+1),"jjjjmmdd")</f>
        <v>19450122</v>
      </c>
      <c r="C23" s="9">
        <v>1</v>
      </c>
      <c r="D23" s="14">
        <f t="shared" ca="1" si="0"/>
        <v>0</v>
      </c>
      <c r="E23" s="15">
        <f t="shared" ca="1" si="1"/>
        <v>0</v>
      </c>
    </row>
    <row r="24" spans="1:5" x14ac:dyDescent="0.25">
      <c r="A24" s="8">
        <f ca="1">INDEX(Stations,INT((ROWS(A$2:A24)-1)/(DATE(YEAR(Invoer!$A$5),12,31)-DATE(YEAR(Invoer!$A$5),1,1)+1))+2,1)</f>
        <v>73</v>
      </c>
      <c r="B24" t="str">
        <f ca="1">TEXT(DATE(YEAR(Invoer!$A$5),1,1)+MOD(ROWS(B$2:B24)-1,DATE(YEAR(Invoer!$A$5),12,31)-DATE(YEAR(Invoer!$A$5),1,1)+1),"jjjjmmdd")</f>
        <v>19450123</v>
      </c>
      <c r="C24" s="9">
        <v>1</v>
      </c>
      <c r="D24" s="14">
        <f t="shared" ca="1" si="0"/>
        <v>0</v>
      </c>
      <c r="E24" s="15">
        <f t="shared" ca="1" si="1"/>
        <v>0</v>
      </c>
    </row>
    <row r="25" spans="1:5" x14ac:dyDescent="0.25">
      <c r="A25" s="8">
        <f ca="1">INDEX(Stations,INT((ROWS(A$2:A25)-1)/(DATE(YEAR(Invoer!$A$5),12,31)-DATE(YEAR(Invoer!$A$5),1,1)+1))+2,1)</f>
        <v>73</v>
      </c>
      <c r="B25" t="str">
        <f ca="1">TEXT(DATE(YEAR(Invoer!$A$5),1,1)+MOD(ROWS(B$2:B25)-1,DATE(YEAR(Invoer!$A$5),12,31)-DATE(YEAR(Invoer!$A$5),1,1)+1),"jjjjmmdd")</f>
        <v>19450124</v>
      </c>
      <c r="C25" s="9">
        <v>1</v>
      </c>
      <c r="D25" s="14">
        <f t="shared" ca="1" si="0"/>
        <v>0</v>
      </c>
      <c r="E25" s="15">
        <f t="shared" ca="1" si="1"/>
        <v>0</v>
      </c>
    </row>
    <row r="26" spans="1:5" x14ac:dyDescent="0.25">
      <c r="A26" s="8">
        <f ca="1">INDEX(Stations,INT((ROWS(A$2:A26)-1)/(DATE(YEAR(Invoer!$A$5),12,31)-DATE(YEAR(Invoer!$A$5),1,1)+1))+2,1)</f>
        <v>73</v>
      </c>
      <c r="B26" t="str">
        <f ca="1">TEXT(DATE(YEAR(Invoer!$A$5),1,1)+MOD(ROWS(B$2:B26)-1,DATE(YEAR(Invoer!$A$5),12,31)-DATE(YEAR(Invoer!$A$5),1,1)+1),"jjjjmmdd")</f>
        <v>19450125</v>
      </c>
      <c r="C26" s="9">
        <v>1</v>
      </c>
      <c r="D26" s="14">
        <f t="shared" ca="1" si="0"/>
        <v>0</v>
      </c>
      <c r="E26" s="15">
        <f t="shared" ca="1" si="1"/>
        <v>0</v>
      </c>
    </row>
    <row r="27" spans="1:5" x14ac:dyDescent="0.25">
      <c r="A27" s="8">
        <f ca="1">INDEX(Stations,INT((ROWS(A$2:A27)-1)/(DATE(YEAR(Invoer!$A$5),12,31)-DATE(YEAR(Invoer!$A$5),1,1)+1))+2,1)</f>
        <v>73</v>
      </c>
      <c r="B27" t="str">
        <f ca="1">TEXT(DATE(YEAR(Invoer!$A$5),1,1)+MOD(ROWS(B$2:B27)-1,DATE(YEAR(Invoer!$A$5),12,31)-DATE(YEAR(Invoer!$A$5),1,1)+1),"jjjjmmdd")</f>
        <v>19450126</v>
      </c>
      <c r="C27" s="9">
        <v>1</v>
      </c>
      <c r="D27" s="14">
        <f t="shared" ca="1" si="0"/>
        <v>0</v>
      </c>
      <c r="E27" s="15">
        <f t="shared" ca="1" si="1"/>
        <v>0</v>
      </c>
    </row>
    <row r="28" spans="1:5" x14ac:dyDescent="0.25">
      <c r="A28" s="8">
        <f ca="1">INDEX(Stations,INT((ROWS(A$2:A28)-1)/(DATE(YEAR(Invoer!$A$5),12,31)-DATE(YEAR(Invoer!$A$5),1,1)+1))+2,1)</f>
        <v>73</v>
      </c>
      <c r="B28" t="str">
        <f ca="1">TEXT(DATE(YEAR(Invoer!$A$5),1,1)+MOD(ROWS(B$2:B28)-1,DATE(YEAR(Invoer!$A$5),12,31)-DATE(YEAR(Invoer!$A$5),1,1)+1),"jjjjmmdd")</f>
        <v>19450127</v>
      </c>
      <c r="C28" s="9">
        <v>1</v>
      </c>
      <c r="D28" s="14">
        <f t="shared" ca="1" si="0"/>
        <v>0</v>
      </c>
      <c r="E28" s="15">
        <f t="shared" ca="1" si="1"/>
        <v>0</v>
      </c>
    </row>
    <row r="29" spans="1:5" x14ac:dyDescent="0.25">
      <c r="A29" s="8">
        <f ca="1">INDEX(Stations,INT((ROWS(A$2:A29)-1)/(DATE(YEAR(Invoer!$A$5),12,31)-DATE(YEAR(Invoer!$A$5),1,1)+1))+2,1)</f>
        <v>73</v>
      </c>
      <c r="B29" t="str">
        <f ca="1">TEXT(DATE(YEAR(Invoer!$A$5),1,1)+MOD(ROWS(B$2:B29)-1,DATE(YEAR(Invoer!$A$5),12,31)-DATE(YEAR(Invoer!$A$5),1,1)+1),"jjjjmmdd")</f>
        <v>19450128</v>
      </c>
      <c r="C29" s="9">
        <v>1</v>
      </c>
      <c r="D29" s="14">
        <f t="shared" ca="1" si="0"/>
        <v>0</v>
      </c>
      <c r="E29" s="15">
        <f t="shared" ca="1" si="1"/>
        <v>0</v>
      </c>
    </row>
    <row r="30" spans="1:5" x14ac:dyDescent="0.25">
      <c r="A30" s="8">
        <f ca="1">INDEX(Stations,INT((ROWS(A$2:A30)-1)/(DATE(YEAR(Invoer!$A$5),12,31)-DATE(YEAR(Invoer!$A$5),1,1)+1))+2,1)</f>
        <v>73</v>
      </c>
      <c r="B30" t="str">
        <f ca="1">TEXT(DATE(YEAR(Invoer!$A$5),1,1)+MOD(ROWS(B$2:B30)-1,DATE(YEAR(Invoer!$A$5),12,31)-DATE(YEAR(Invoer!$A$5),1,1)+1),"jjjjmmdd")</f>
        <v>19450129</v>
      </c>
      <c r="C30" s="9">
        <v>1</v>
      </c>
      <c r="D30" s="14">
        <f t="shared" ca="1" si="0"/>
        <v>0</v>
      </c>
      <c r="E30" s="15">
        <f t="shared" ca="1" si="1"/>
        <v>0</v>
      </c>
    </row>
    <row r="31" spans="1:5" x14ac:dyDescent="0.25">
      <c r="A31" s="8">
        <f ca="1">INDEX(Stations,INT((ROWS(A$2:A31)-1)/(DATE(YEAR(Invoer!$A$5),12,31)-DATE(YEAR(Invoer!$A$5),1,1)+1))+2,1)</f>
        <v>73</v>
      </c>
      <c r="B31" t="str">
        <f ca="1">TEXT(DATE(YEAR(Invoer!$A$5),1,1)+MOD(ROWS(B$2:B31)-1,DATE(YEAR(Invoer!$A$5),12,31)-DATE(YEAR(Invoer!$A$5),1,1)+1),"jjjjmmdd")</f>
        <v>19450130</v>
      </c>
      <c r="C31" s="9">
        <v>1</v>
      </c>
      <c r="D31" s="14">
        <f t="shared" ca="1" si="0"/>
        <v>0</v>
      </c>
      <c r="E31" s="15">
        <f t="shared" ca="1" si="1"/>
        <v>0</v>
      </c>
    </row>
    <row r="32" spans="1:5" x14ac:dyDescent="0.25">
      <c r="A32" s="8">
        <f ca="1">INDEX(Stations,INT((ROWS(A$2:A32)-1)/(DATE(YEAR(Invoer!$A$5),12,31)-DATE(YEAR(Invoer!$A$5),1,1)+1))+2,1)</f>
        <v>73</v>
      </c>
      <c r="B32" t="str">
        <f ca="1">TEXT(DATE(YEAR(Invoer!$A$5),1,1)+MOD(ROWS(B$2:B32)-1,DATE(YEAR(Invoer!$A$5),12,31)-DATE(YEAR(Invoer!$A$5),1,1)+1),"jjjjmmdd")</f>
        <v>19450131</v>
      </c>
      <c r="C32" s="9">
        <v>1</v>
      </c>
      <c r="D32" s="14">
        <f t="shared" ca="1" si="0"/>
        <v>0</v>
      </c>
      <c r="E32" s="15">
        <f t="shared" ca="1" si="1"/>
        <v>0</v>
      </c>
    </row>
    <row r="33" spans="1:5" x14ac:dyDescent="0.25">
      <c r="A33" s="8">
        <f ca="1">INDEX(Stations,INT((ROWS(A$2:A33)-1)/(DATE(YEAR(Invoer!$A$5),12,31)-DATE(YEAR(Invoer!$A$5),1,1)+1))+2,1)</f>
        <v>73</v>
      </c>
      <c r="B33" t="str">
        <f ca="1">TEXT(DATE(YEAR(Invoer!$A$5),1,1)+MOD(ROWS(B$2:B33)-1,DATE(YEAR(Invoer!$A$5),12,31)-DATE(YEAR(Invoer!$A$5),1,1)+1),"jjjjmmdd")</f>
        <v>19450201</v>
      </c>
      <c r="C33" s="9">
        <v>1</v>
      </c>
      <c r="D33" s="14">
        <f t="shared" ca="1" si="0"/>
        <v>0</v>
      </c>
      <c r="E33" s="15">
        <f t="shared" ca="1" si="1"/>
        <v>0</v>
      </c>
    </row>
    <row r="34" spans="1:5" x14ac:dyDescent="0.25">
      <c r="A34" s="8">
        <f ca="1">INDEX(Stations,INT((ROWS(A$2:A34)-1)/(DATE(YEAR(Invoer!$A$5),12,31)-DATE(YEAR(Invoer!$A$5),1,1)+1))+2,1)</f>
        <v>73</v>
      </c>
      <c r="B34" t="str">
        <f ca="1">TEXT(DATE(YEAR(Invoer!$A$5),1,1)+MOD(ROWS(B$2:B34)-1,DATE(YEAR(Invoer!$A$5),12,31)-DATE(YEAR(Invoer!$A$5),1,1)+1),"jjjjmmdd")</f>
        <v>19450202</v>
      </c>
      <c r="C34" s="9">
        <v>1</v>
      </c>
      <c r="D34" s="14">
        <f t="shared" ca="1" si="0"/>
        <v>0</v>
      </c>
      <c r="E34" s="15">
        <f t="shared" ca="1" si="1"/>
        <v>0</v>
      </c>
    </row>
    <row r="35" spans="1:5" x14ac:dyDescent="0.25">
      <c r="A35" s="8">
        <f ca="1">INDEX(Stations,INT((ROWS(A$2:A35)-1)/(DATE(YEAR(Invoer!$A$5),12,31)-DATE(YEAR(Invoer!$A$5),1,1)+1))+2,1)</f>
        <v>73</v>
      </c>
      <c r="B35" t="str">
        <f ca="1">TEXT(DATE(YEAR(Invoer!$A$5),1,1)+MOD(ROWS(B$2:B35)-1,DATE(YEAR(Invoer!$A$5),12,31)-DATE(YEAR(Invoer!$A$5),1,1)+1),"jjjjmmdd")</f>
        <v>19450203</v>
      </c>
      <c r="C35" s="9">
        <v>1</v>
      </c>
      <c r="D35" s="14">
        <f t="shared" ca="1" si="0"/>
        <v>0</v>
      </c>
      <c r="E35" s="15">
        <f t="shared" ca="1" si="1"/>
        <v>0</v>
      </c>
    </row>
    <row r="36" spans="1:5" x14ac:dyDescent="0.25">
      <c r="A36" s="8">
        <f ca="1">INDEX(Stations,INT((ROWS(A$2:A36)-1)/(DATE(YEAR(Invoer!$A$5),12,31)-DATE(YEAR(Invoer!$A$5),1,1)+1))+2,1)</f>
        <v>73</v>
      </c>
      <c r="B36" t="str">
        <f ca="1">TEXT(DATE(YEAR(Invoer!$A$5),1,1)+MOD(ROWS(B$2:B36)-1,DATE(YEAR(Invoer!$A$5),12,31)-DATE(YEAR(Invoer!$A$5),1,1)+1),"jjjjmmdd")</f>
        <v>19450204</v>
      </c>
      <c r="C36" s="9">
        <v>1</v>
      </c>
      <c r="D36" s="14">
        <f t="shared" ca="1" si="0"/>
        <v>0</v>
      </c>
      <c r="E36" s="15">
        <f t="shared" ca="1" si="1"/>
        <v>0</v>
      </c>
    </row>
    <row r="37" spans="1:5" x14ac:dyDescent="0.25">
      <c r="A37" s="8">
        <f ca="1">INDEX(Stations,INT((ROWS(A$2:A37)-1)/(DATE(YEAR(Invoer!$A$5),12,31)-DATE(YEAR(Invoer!$A$5),1,1)+1))+2,1)</f>
        <v>73</v>
      </c>
      <c r="B37" t="str">
        <f ca="1">TEXT(DATE(YEAR(Invoer!$A$5),1,1)+MOD(ROWS(B$2:B37)-1,DATE(YEAR(Invoer!$A$5),12,31)-DATE(YEAR(Invoer!$A$5),1,1)+1),"jjjjmmdd")</f>
        <v>19450205</v>
      </c>
      <c r="C37" s="9">
        <v>1</v>
      </c>
      <c r="D37" s="14">
        <f t="shared" ca="1" si="0"/>
        <v>0</v>
      </c>
      <c r="E37" s="15">
        <f t="shared" ca="1" si="1"/>
        <v>0</v>
      </c>
    </row>
    <row r="38" spans="1:5" x14ac:dyDescent="0.25">
      <c r="A38" s="8">
        <f ca="1">INDEX(Stations,INT((ROWS(A$2:A38)-1)/(DATE(YEAR(Invoer!$A$5),12,31)-DATE(YEAR(Invoer!$A$5),1,1)+1))+2,1)</f>
        <v>73</v>
      </c>
      <c r="B38" t="str">
        <f ca="1">TEXT(DATE(YEAR(Invoer!$A$5),1,1)+MOD(ROWS(B$2:B38)-1,DATE(YEAR(Invoer!$A$5),12,31)-DATE(YEAR(Invoer!$A$5),1,1)+1),"jjjjmmdd")</f>
        <v>19450206</v>
      </c>
      <c r="C38" s="9">
        <v>1</v>
      </c>
      <c r="D38" s="14">
        <f t="shared" ca="1" si="0"/>
        <v>18</v>
      </c>
      <c r="E38" s="15">
        <f t="shared" ca="1" si="1"/>
        <v>0</v>
      </c>
    </row>
    <row r="39" spans="1:5" x14ac:dyDescent="0.25">
      <c r="A39" s="8">
        <f ca="1">INDEX(Stations,INT((ROWS(A$2:A39)-1)/(DATE(YEAR(Invoer!$A$5),12,31)-DATE(YEAR(Invoer!$A$5),1,1)+1))+2,1)</f>
        <v>73</v>
      </c>
      <c r="B39" t="str">
        <f ca="1">TEXT(DATE(YEAR(Invoer!$A$5),1,1)+MOD(ROWS(B$2:B39)-1,DATE(YEAR(Invoer!$A$5),12,31)-DATE(YEAR(Invoer!$A$5),1,1)+1),"jjjjmmdd")</f>
        <v>19450207</v>
      </c>
      <c r="C39" s="9">
        <v>1</v>
      </c>
      <c r="D39" s="14">
        <f t="shared" ca="1" si="0"/>
        <v>0</v>
      </c>
      <c r="E39" s="15">
        <f t="shared" ca="1" si="1"/>
        <v>0</v>
      </c>
    </row>
    <row r="40" spans="1:5" x14ac:dyDescent="0.25">
      <c r="A40" s="8">
        <f ca="1">INDEX(Stations,INT((ROWS(A$2:A40)-1)/(DATE(YEAR(Invoer!$A$5),12,31)-DATE(YEAR(Invoer!$A$5),1,1)+1))+2,1)</f>
        <v>73</v>
      </c>
      <c r="B40" t="str">
        <f ca="1">TEXT(DATE(YEAR(Invoer!$A$5),1,1)+MOD(ROWS(B$2:B40)-1,DATE(YEAR(Invoer!$A$5),12,31)-DATE(YEAR(Invoer!$A$5),1,1)+1),"jjjjmmdd")</f>
        <v>19450208</v>
      </c>
      <c r="C40" s="9">
        <v>1</v>
      </c>
      <c r="D40" s="14">
        <f t="shared" ca="1" si="0"/>
        <v>0</v>
      </c>
      <c r="E40" s="15">
        <f t="shared" ca="1" si="1"/>
        <v>0</v>
      </c>
    </row>
    <row r="41" spans="1:5" x14ac:dyDescent="0.25">
      <c r="A41" s="8">
        <f ca="1">INDEX(Stations,INT((ROWS(A$2:A41)-1)/(DATE(YEAR(Invoer!$A$5),12,31)-DATE(YEAR(Invoer!$A$5),1,1)+1))+2,1)</f>
        <v>73</v>
      </c>
      <c r="B41" t="str">
        <f ca="1">TEXT(DATE(YEAR(Invoer!$A$5),1,1)+MOD(ROWS(B$2:B41)-1,DATE(YEAR(Invoer!$A$5),12,31)-DATE(YEAR(Invoer!$A$5),1,1)+1),"jjjjmmdd")</f>
        <v>19450209</v>
      </c>
      <c r="C41" s="9">
        <v>1</v>
      </c>
      <c r="D41" s="14">
        <f t="shared" ca="1" si="0"/>
        <v>21</v>
      </c>
      <c r="E41" s="15">
        <f t="shared" ca="1" si="1"/>
        <v>0</v>
      </c>
    </row>
    <row r="42" spans="1:5" x14ac:dyDescent="0.25">
      <c r="A42" s="8">
        <f ca="1">INDEX(Stations,INT((ROWS(A$2:A42)-1)/(DATE(YEAR(Invoer!$A$5),12,31)-DATE(YEAR(Invoer!$A$5),1,1)+1))+2,1)</f>
        <v>73</v>
      </c>
      <c r="B42" t="str">
        <f ca="1">TEXT(DATE(YEAR(Invoer!$A$5),1,1)+MOD(ROWS(B$2:B42)-1,DATE(YEAR(Invoer!$A$5),12,31)-DATE(YEAR(Invoer!$A$5),1,1)+1),"jjjjmmdd")</f>
        <v>19450210</v>
      </c>
      <c r="C42" s="9">
        <v>1</v>
      </c>
      <c r="D42" s="14">
        <f t="shared" ca="1" si="0"/>
        <v>0</v>
      </c>
      <c r="E42" s="15">
        <f t="shared" ca="1" si="1"/>
        <v>0</v>
      </c>
    </row>
    <row r="43" spans="1:5" x14ac:dyDescent="0.25">
      <c r="A43" s="8">
        <f ca="1">INDEX(Stations,INT((ROWS(A$2:A43)-1)/(DATE(YEAR(Invoer!$A$5),12,31)-DATE(YEAR(Invoer!$A$5),1,1)+1))+2,1)</f>
        <v>73</v>
      </c>
      <c r="B43" t="str">
        <f ca="1">TEXT(DATE(YEAR(Invoer!$A$5),1,1)+MOD(ROWS(B$2:B43)-1,DATE(YEAR(Invoer!$A$5),12,31)-DATE(YEAR(Invoer!$A$5),1,1)+1),"jjjjmmdd")</f>
        <v>19450211</v>
      </c>
      <c r="C43" s="9">
        <v>1</v>
      </c>
      <c r="D43" s="14">
        <f t="shared" ca="1" si="0"/>
        <v>12</v>
      </c>
      <c r="E43" s="15">
        <f t="shared" ca="1" si="1"/>
        <v>0</v>
      </c>
    </row>
    <row r="44" spans="1:5" x14ac:dyDescent="0.25">
      <c r="A44" s="8">
        <f ca="1">INDEX(Stations,INT((ROWS(A$2:A44)-1)/(DATE(YEAR(Invoer!$A$5),12,31)-DATE(YEAR(Invoer!$A$5),1,1)+1))+2,1)</f>
        <v>73</v>
      </c>
      <c r="B44" t="str">
        <f ca="1">TEXT(DATE(YEAR(Invoer!$A$5),1,1)+MOD(ROWS(B$2:B44)-1,DATE(YEAR(Invoer!$A$5),12,31)-DATE(YEAR(Invoer!$A$5),1,1)+1),"jjjjmmdd")</f>
        <v>19450212</v>
      </c>
      <c r="C44" s="9">
        <v>1</v>
      </c>
      <c r="D44" s="14">
        <f t="shared" ca="1" si="0"/>
        <v>0</v>
      </c>
      <c r="E44" s="15">
        <f t="shared" ca="1" si="1"/>
        <v>0</v>
      </c>
    </row>
    <row r="45" spans="1:5" x14ac:dyDescent="0.25">
      <c r="A45" s="8">
        <f ca="1">INDEX(Stations,INT((ROWS(A$2:A45)-1)/(DATE(YEAR(Invoer!$A$5),12,31)-DATE(YEAR(Invoer!$A$5),1,1)+1))+2,1)</f>
        <v>73</v>
      </c>
      <c r="B45" t="str">
        <f ca="1">TEXT(DATE(YEAR(Invoer!$A$5),1,1)+MOD(ROWS(B$2:B45)-1,DATE(YEAR(Invoer!$A$5),12,31)-DATE(YEAR(Invoer!$A$5),1,1)+1),"jjjjmmdd")</f>
        <v>19450213</v>
      </c>
      <c r="C45" s="9">
        <v>1</v>
      </c>
      <c r="D45" s="14">
        <f t="shared" ca="1" si="0"/>
        <v>20</v>
      </c>
      <c r="E45" s="15">
        <f t="shared" ca="1" si="1"/>
        <v>0</v>
      </c>
    </row>
    <row r="46" spans="1:5" x14ac:dyDescent="0.25">
      <c r="A46" s="8">
        <f ca="1">INDEX(Stations,INT((ROWS(A$2:A46)-1)/(DATE(YEAR(Invoer!$A$5),12,31)-DATE(YEAR(Invoer!$A$5),1,1)+1))+2,1)</f>
        <v>73</v>
      </c>
      <c r="B46" t="str">
        <f ca="1">TEXT(DATE(YEAR(Invoer!$A$5),1,1)+MOD(ROWS(B$2:B46)-1,DATE(YEAR(Invoer!$A$5),12,31)-DATE(YEAR(Invoer!$A$5),1,1)+1),"jjjjmmdd")</f>
        <v>19450214</v>
      </c>
      <c r="C46" s="9">
        <v>1</v>
      </c>
      <c r="D46" s="14">
        <f t="shared" ca="1" si="0"/>
        <v>7</v>
      </c>
      <c r="E46" s="15">
        <f t="shared" ca="1" si="1"/>
        <v>0</v>
      </c>
    </row>
    <row r="47" spans="1:5" x14ac:dyDescent="0.25">
      <c r="A47" s="8">
        <f ca="1">INDEX(Stations,INT((ROWS(A$2:A47)-1)/(DATE(YEAR(Invoer!$A$5),12,31)-DATE(YEAR(Invoer!$A$5),1,1)+1))+2,1)</f>
        <v>73</v>
      </c>
      <c r="B47" t="str">
        <f ca="1">TEXT(DATE(YEAR(Invoer!$A$5),1,1)+MOD(ROWS(B$2:B47)-1,DATE(YEAR(Invoer!$A$5),12,31)-DATE(YEAR(Invoer!$A$5),1,1)+1),"jjjjmmdd")</f>
        <v>19450215</v>
      </c>
      <c r="C47" s="9">
        <v>1</v>
      </c>
      <c r="D47" s="14">
        <f t="shared" ca="1" si="0"/>
        <v>0</v>
      </c>
      <c r="E47" s="15">
        <f t="shared" ca="1" si="1"/>
        <v>0</v>
      </c>
    </row>
    <row r="48" spans="1:5" x14ac:dyDescent="0.25">
      <c r="A48" s="8">
        <f ca="1">INDEX(Stations,INT((ROWS(A$2:A48)-1)/(DATE(YEAR(Invoer!$A$5),12,31)-DATE(YEAR(Invoer!$A$5),1,1)+1))+2,1)</f>
        <v>73</v>
      </c>
      <c r="B48" t="str">
        <f ca="1">TEXT(DATE(YEAR(Invoer!$A$5),1,1)+MOD(ROWS(B$2:B48)-1,DATE(YEAR(Invoer!$A$5),12,31)-DATE(YEAR(Invoer!$A$5),1,1)+1),"jjjjmmdd")</f>
        <v>19450216</v>
      </c>
      <c r="C48" s="9">
        <v>1</v>
      </c>
      <c r="D48" s="14">
        <f t="shared" ca="1" si="0"/>
        <v>0</v>
      </c>
      <c r="E48" s="15">
        <f t="shared" ca="1" si="1"/>
        <v>0</v>
      </c>
    </row>
    <row r="49" spans="1:5" x14ac:dyDescent="0.25">
      <c r="A49" s="8">
        <f ca="1">INDEX(Stations,INT((ROWS(A$2:A49)-1)/(DATE(YEAR(Invoer!$A$5),12,31)-DATE(YEAR(Invoer!$A$5),1,1)+1))+2,1)</f>
        <v>73</v>
      </c>
      <c r="B49" t="str">
        <f ca="1">TEXT(DATE(YEAR(Invoer!$A$5),1,1)+MOD(ROWS(B$2:B49)-1,DATE(YEAR(Invoer!$A$5),12,31)-DATE(YEAR(Invoer!$A$5),1,1)+1),"jjjjmmdd")</f>
        <v>19450217</v>
      </c>
      <c r="C49" s="9">
        <v>1</v>
      </c>
      <c r="D49" s="14">
        <f t="shared" ca="1" si="0"/>
        <v>0</v>
      </c>
      <c r="E49" s="15">
        <f t="shared" ca="1" si="1"/>
        <v>0</v>
      </c>
    </row>
    <row r="50" spans="1:5" x14ac:dyDescent="0.25">
      <c r="A50" s="8">
        <f ca="1">INDEX(Stations,INT((ROWS(A$2:A50)-1)/(DATE(YEAR(Invoer!$A$5),12,31)-DATE(YEAR(Invoer!$A$5),1,1)+1))+2,1)</f>
        <v>73</v>
      </c>
      <c r="B50" t="str">
        <f ca="1">TEXT(DATE(YEAR(Invoer!$A$5),1,1)+MOD(ROWS(B$2:B50)-1,DATE(YEAR(Invoer!$A$5),12,31)-DATE(YEAR(Invoer!$A$5),1,1)+1),"jjjjmmdd")</f>
        <v>19450218</v>
      </c>
      <c r="C50" s="9">
        <v>1</v>
      </c>
      <c r="D50" s="14">
        <f t="shared" ca="1" si="0"/>
        <v>0</v>
      </c>
      <c r="E50" s="15">
        <f t="shared" ca="1" si="1"/>
        <v>0</v>
      </c>
    </row>
    <row r="51" spans="1:5" x14ac:dyDescent="0.25">
      <c r="A51" s="8">
        <f ca="1">INDEX(Stations,INT((ROWS(A$2:A51)-1)/(DATE(YEAR(Invoer!$A$5),12,31)-DATE(YEAR(Invoer!$A$5),1,1)+1))+2,1)</f>
        <v>73</v>
      </c>
      <c r="B51" t="str">
        <f ca="1">TEXT(DATE(YEAR(Invoer!$A$5),1,1)+MOD(ROWS(B$2:B51)-1,DATE(YEAR(Invoer!$A$5),12,31)-DATE(YEAR(Invoer!$A$5),1,1)+1),"jjjjmmdd")</f>
        <v>19450219</v>
      </c>
      <c r="C51" s="9">
        <v>1</v>
      </c>
      <c r="D51" s="14">
        <f t="shared" ca="1" si="0"/>
        <v>0</v>
      </c>
      <c r="E51" s="15">
        <f t="shared" ca="1" si="1"/>
        <v>0</v>
      </c>
    </row>
    <row r="52" spans="1:5" x14ac:dyDescent="0.25">
      <c r="A52" s="8">
        <f ca="1">INDEX(Stations,INT((ROWS(A$2:A52)-1)/(DATE(YEAR(Invoer!$A$5),12,31)-DATE(YEAR(Invoer!$A$5),1,1)+1))+2,1)</f>
        <v>73</v>
      </c>
      <c r="B52" t="str">
        <f ca="1">TEXT(DATE(YEAR(Invoer!$A$5),1,1)+MOD(ROWS(B$2:B52)-1,DATE(YEAR(Invoer!$A$5),12,31)-DATE(YEAR(Invoer!$A$5),1,1)+1),"jjjjmmdd")</f>
        <v>19450220</v>
      </c>
      <c r="C52" s="9">
        <v>1</v>
      </c>
      <c r="D52" s="14">
        <f t="shared" ca="1" si="0"/>
        <v>0</v>
      </c>
      <c r="E52" s="15">
        <f t="shared" ca="1" si="1"/>
        <v>0</v>
      </c>
    </row>
    <row r="53" spans="1:5" x14ac:dyDescent="0.25">
      <c r="A53" s="8">
        <f ca="1">INDEX(Stations,INT((ROWS(A$2:A53)-1)/(DATE(YEAR(Invoer!$A$5),12,31)-DATE(YEAR(Invoer!$A$5),1,1)+1))+2,1)</f>
        <v>73</v>
      </c>
      <c r="B53" t="str">
        <f ca="1">TEXT(DATE(YEAR(Invoer!$A$5),1,1)+MOD(ROWS(B$2:B53)-1,DATE(YEAR(Invoer!$A$5),12,31)-DATE(YEAR(Invoer!$A$5),1,1)+1),"jjjjmmdd")</f>
        <v>19450221</v>
      </c>
      <c r="C53" s="9">
        <v>1</v>
      </c>
      <c r="D53" s="14">
        <f t="shared" ca="1" si="0"/>
        <v>0</v>
      </c>
      <c r="E53" s="15">
        <f t="shared" ca="1" si="1"/>
        <v>0</v>
      </c>
    </row>
    <row r="54" spans="1:5" x14ac:dyDescent="0.25">
      <c r="A54" s="8">
        <f ca="1">INDEX(Stations,INT((ROWS(A$2:A54)-1)/(DATE(YEAR(Invoer!$A$5),12,31)-DATE(YEAR(Invoer!$A$5),1,1)+1))+2,1)</f>
        <v>73</v>
      </c>
      <c r="B54" t="str">
        <f ca="1">TEXT(DATE(YEAR(Invoer!$A$5),1,1)+MOD(ROWS(B$2:B54)-1,DATE(YEAR(Invoer!$A$5),12,31)-DATE(YEAR(Invoer!$A$5),1,1)+1),"jjjjmmdd")</f>
        <v>19450222</v>
      </c>
      <c r="C54" s="9">
        <v>1</v>
      </c>
      <c r="D54" s="14">
        <f t="shared" ca="1" si="0"/>
        <v>0</v>
      </c>
      <c r="E54" s="15">
        <f t="shared" ca="1" si="1"/>
        <v>0</v>
      </c>
    </row>
    <row r="55" spans="1:5" x14ac:dyDescent="0.25">
      <c r="A55" s="8">
        <f ca="1">INDEX(Stations,INT((ROWS(A$2:A55)-1)/(DATE(YEAR(Invoer!$A$5),12,31)-DATE(YEAR(Invoer!$A$5),1,1)+1))+2,1)</f>
        <v>73</v>
      </c>
      <c r="B55" t="str">
        <f ca="1">TEXT(DATE(YEAR(Invoer!$A$5),1,1)+MOD(ROWS(B$2:B55)-1,DATE(YEAR(Invoer!$A$5),12,31)-DATE(YEAR(Invoer!$A$5),1,1)+1),"jjjjmmdd")</f>
        <v>19450223</v>
      </c>
      <c r="C55" s="9">
        <v>1</v>
      </c>
      <c r="D55" s="14">
        <f t="shared" ca="1" si="0"/>
        <v>0</v>
      </c>
      <c r="E55" s="15">
        <f t="shared" ca="1" si="1"/>
        <v>0</v>
      </c>
    </row>
    <row r="56" spans="1:5" x14ac:dyDescent="0.25">
      <c r="A56" s="8">
        <f ca="1">INDEX(Stations,INT((ROWS(A$2:A56)-1)/(DATE(YEAR(Invoer!$A$5),12,31)-DATE(YEAR(Invoer!$A$5),1,1)+1))+2,1)</f>
        <v>73</v>
      </c>
      <c r="B56" t="str">
        <f ca="1">TEXT(DATE(YEAR(Invoer!$A$5),1,1)+MOD(ROWS(B$2:B56)-1,DATE(YEAR(Invoer!$A$5),12,31)-DATE(YEAR(Invoer!$A$5),1,1)+1),"jjjjmmdd")</f>
        <v>19450224</v>
      </c>
      <c r="C56" s="9">
        <v>1</v>
      </c>
      <c r="D56" s="14">
        <f t="shared" ca="1" si="0"/>
        <v>0</v>
      </c>
      <c r="E56" s="15">
        <f t="shared" ca="1" si="1"/>
        <v>0</v>
      </c>
    </row>
    <row r="57" spans="1:5" x14ac:dyDescent="0.25">
      <c r="A57" s="8">
        <f ca="1">INDEX(Stations,INT((ROWS(A$2:A57)-1)/(DATE(YEAR(Invoer!$A$5),12,31)-DATE(YEAR(Invoer!$A$5),1,1)+1))+2,1)</f>
        <v>73</v>
      </c>
      <c r="B57" t="str">
        <f ca="1">TEXT(DATE(YEAR(Invoer!$A$5),1,1)+MOD(ROWS(B$2:B57)-1,DATE(YEAR(Invoer!$A$5),12,31)-DATE(YEAR(Invoer!$A$5),1,1)+1),"jjjjmmdd")</f>
        <v>19450225</v>
      </c>
      <c r="C57" s="9">
        <v>1</v>
      </c>
      <c r="D57" s="14">
        <f t="shared" ca="1" si="0"/>
        <v>91</v>
      </c>
      <c r="E57" s="15">
        <f t="shared" ca="1" si="1"/>
        <v>0</v>
      </c>
    </row>
    <row r="58" spans="1:5" x14ac:dyDescent="0.25">
      <c r="A58" s="8">
        <f ca="1">INDEX(Stations,INT((ROWS(A$2:A58)-1)/(DATE(YEAR(Invoer!$A$5),12,31)-DATE(YEAR(Invoer!$A$5),1,1)+1))+2,1)</f>
        <v>73</v>
      </c>
      <c r="B58" t="str">
        <f ca="1">TEXT(DATE(YEAR(Invoer!$A$5),1,1)+MOD(ROWS(B$2:B58)-1,DATE(YEAR(Invoer!$A$5),12,31)-DATE(YEAR(Invoer!$A$5),1,1)+1),"jjjjmmdd")</f>
        <v>19450226</v>
      </c>
      <c r="C58" s="9">
        <v>1</v>
      </c>
      <c r="D58" s="14">
        <f t="shared" ca="1" si="0"/>
        <v>6</v>
      </c>
      <c r="E58" s="15">
        <f t="shared" ca="1" si="1"/>
        <v>0</v>
      </c>
    </row>
    <row r="59" spans="1:5" x14ac:dyDescent="0.25">
      <c r="A59" s="8">
        <f ca="1">INDEX(Stations,INT((ROWS(A$2:A59)-1)/(DATE(YEAR(Invoer!$A$5),12,31)-DATE(YEAR(Invoer!$A$5),1,1)+1))+2,1)</f>
        <v>73</v>
      </c>
      <c r="B59" t="str">
        <f ca="1">TEXT(DATE(YEAR(Invoer!$A$5),1,1)+MOD(ROWS(B$2:B59)-1,DATE(YEAR(Invoer!$A$5),12,31)-DATE(YEAR(Invoer!$A$5),1,1)+1),"jjjjmmdd")</f>
        <v>19450227</v>
      </c>
      <c r="C59" s="9">
        <v>1</v>
      </c>
      <c r="D59" s="14">
        <f t="shared" ca="1" si="0"/>
        <v>38</v>
      </c>
      <c r="E59" s="15">
        <f t="shared" ca="1" si="1"/>
        <v>0</v>
      </c>
    </row>
    <row r="60" spans="1:5" x14ac:dyDescent="0.25">
      <c r="A60" s="8">
        <f ca="1">INDEX(Stations,INT((ROWS(A$2:A60)-1)/(DATE(YEAR(Invoer!$A$5),12,31)-DATE(YEAR(Invoer!$A$5),1,1)+1))+2,1)</f>
        <v>73</v>
      </c>
      <c r="B60" t="str">
        <f ca="1">TEXT(DATE(YEAR(Invoer!$A$5),1,1)+MOD(ROWS(B$2:B60)-1,DATE(YEAR(Invoer!$A$5),12,31)-DATE(YEAR(Invoer!$A$5),1,1)+1),"jjjjmmdd")</f>
        <v>19450228</v>
      </c>
      <c r="C60" s="9">
        <v>1</v>
      </c>
      <c r="D60" s="14">
        <f t="shared" ca="1" si="0"/>
        <v>8</v>
      </c>
      <c r="E60" s="15">
        <f t="shared" ca="1" si="1"/>
        <v>0</v>
      </c>
    </row>
    <row r="61" spans="1:5" x14ac:dyDescent="0.25">
      <c r="A61" s="8">
        <f ca="1">INDEX(Stations,INT((ROWS(A$2:A61)-1)/(DATE(YEAR(Invoer!$A$5),12,31)-DATE(YEAR(Invoer!$A$5),1,1)+1))+2,1)</f>
        <v>73</v>
      </c>
      <c r="B61" t="str">
        <f ca="1">TEXT(DATE(YEAR(Invoer!$A$5),1,1)+MOD(ROWS(B$2:B61)-1,DATE(YEAR(Invoer!$A$5),12,31)-DATE(YEAR(Invoer!$A$5),1,1)+1),"jjjjmmdd")</f>
        <v>19450301</v>
      </c>
      <c r="C61" s="9">
        <v>1</v>
      </c>
      <c r="D61" s="14">
        <f t="shared" ca="1" si="0"/>
        <v>0</v>
      </c>
      <c r="E61" s="15">
        <f t="shared" ca="1" si="1"/>
        <v>0</v>
      </c>
    </row>
    <row r="62" spans="1:5" x14ac:dyDescent="0.25">
      <c r="A62" s="8">
        <f ca="1">INDEX(Stations,INT((ROWS(A$2:A62)-1)/(DATE(YEAR(Invoer!$A$5),12,31)-DATE(YEAR(Invoer!$A$5),1,1)+1))+2,1)</f>
        <v>73</v>
      </c>
      <c r="B62" t="str">
        <f ca="1">TEXT(DATE(YEAR(Invoer!$A$5),1,1)+MOD(ROWS(B$2:B62)-1,DATE(YEAR(Invoer!$A$5),12,31)-DATE(YEAR(Invoer!$A$5),1,1)+1),"jjjjmmdd")</f>
        <v>19450302</v>
      </c>
      <c r="C62" s="9">
        <v>1</v>
      </c>
      <c r="D62" s="14">
        <f t="shared" ca="1" si="0"/>
        <v>0</v>
      </c>
      <c r="E62" s="15">
        <f t="shared" ca="1" si="1"/>
        <v>0</v>
      </c>
    </row>
    <row r="63" spans="1:5" x14ac:dyDescent="0.25">
      <c r="A63" s="8">
        <f ca="1">INDEX(Stations,INT((ROWS(A$2:A63)-1)/(DATE(YEAR(Invoer!$A$5),12,31)-DATE(YEAR(Invoer!$A$5),1,1)+1))+2,1)</f>
        <v>73</v>
      </c>
      <c r="B63" t="str">
        <f ca="1">TEXT(DATE(YEAR(Invoer!$A$5),1,1)+MOD(ROWS(B$2:B63)-1,DATE(YEAR(Invoer!$A$5),12,31)-DATE(YEAR(Invoer!$A$5),1,1)+1),"jjjjmmdd")</f>
        <v>19450303</v>
      </c>
      <c r="C63" s="9">
        <v>1</v>
      </c>
      <c r="D63" s="14">
        <f t="shared" ca="1" si="0"/>
        <v>0</v>
      </c>
      <c r="E63" s="15">
        <f t="shared" ca="1" si="1"/>
        <v>0</v>
      </c>
    </row>
    <row r="64" spans="1:5" x14ac:dyDescent="0.25">
      <c r="A64" s="8">
        <f ca="1">INDEX(Stations,INT((ROWS(A$2:A64)-1)/(DATE(YEAR(Invoer!$A$5),12,31)-DATE(YEAR(Invoer!$A$5),1,1)+1))+2,1)</f>
        <v>73</v>
      </c>
      <c r="B64" t="str">
        <f ca="1">TEXT(DATE(YEAR(Invoer!$A$5),1,1)+MOD(ROWS(B$2:B64)-1,DATE(YEAR(Invoer!$A$5),12,31)-DATE(YEAR(Invoer!$A$5),1,1)+1),"jjjjmmdd")</f>
        <v>19450304</v>
      </c>
      <c r="C64" s="9">
        <v>1</v>
      </c>
      <c r="D64" s="14">
        <f t="shared" ca="1" si="0"/>
        <v>0</v>
      </c>
      <c r="E64" s="15">
        <f t="shared" ca="1" si="1"/>
        <v>0</v>
      </c>
    </row>
    <row r="65" spans="1:5" x14ac:dyDescent="0.25">
      <c r="A65" s="8">
        <f ca="1">INDEX(Stations,INT((ROWS(A$2:A65)-1)/(DATE(YEAR(Invoer!$A$5),12,31)-DATE(YEAR(Invoer!$A$5),1,1)+1))+2,1)</f>
        <v>73</v>
      </c>
      <c r="B65" t="str">
        <f ca="1">TEXT(DATE(YEAR(Invoer!$A$5),1,1)+MOD(ROWS(B$2:B65)-1,DATE(YEAR(Invoer!$A$5),12,31)-DATE(YEAR(Invoer!$A$5),1,1)+1),"jjjjmmdd")</f>
        <v>19450305</v>
      </c>
      <c r="C65" s="9">
        <v>1</v>
      </c>
      <c r="D65" s="14">
        <f t="shared" ca="1" si="0"/>
        <v>0</v>
      </c>
      <c r="E65" s="15">
        <f t="shared" ca="1" si="1"/>
        <v>0</v>
      </c>
    </row>
    <row r="66" spans="1:5" x14ac:dyDescent="0.25">
      <c r="A66" s="8">
        <f ca="1">INDEX(Stations,INT((ROWS(A$2:A66)-1)/(DATE(YEAR(Invoer!$A$5),12,31)-DATE(YEAR(Invoer!$A$5),1,1)+1))+2,1)</f>
        <v>73</v>
      </c>
      <c r="B66" t="str">
        <f ca="1">TEXT(DATE(YEAR(Invoer!$A$5),1,1)+MOD(ROWS(B$2:B66)-1,DATE(YEAR(Invoer!$A$5),12,31)-DATE(YEAR(Invoer!$A$5),1,1)+1),"jjjjmmdd")</f>
        <v>19450306</v>
      </c>
      <c r="C66" s="9">
        <v>1</v>
      </c>
      <c r="D66" s="14">
        <f t="shared" ref="D66:D129" ca="1" si="2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"—",VLOOKUP(DATEVALUE(LEFT(B66,4)&amp;"-"&amp;MID(B66,5,2)&amp;"-"&amp;RIGHT(B66,2)),Data,MATCH(VLOOKUP(A66,Stations,2,FALSE()),OFFSET(Data,1,0,1),0),FALSE()))</f>
        <v>0</v>
      </c>
      <c r="E66" s="15">
        <f t="shared" ref="E66:E129" ca="1" si="3">IF(OR(ISBLANK(VLOOKUP(DATEVALUE(LEFT(B66,4)&amp;"-"&amp;MID(B66,5,2)&amp;"-"&amp;RIGHT(B66,2)),Data,MATCH(VLOOKUP(A66,Stations,2,FALSE()),OFFSET(Data,1,0,1),0),FALSE())),ISTEXT(VLOOKUP(DATEVALUE(LEFT(B66,4)&amp;"-"&amp;MID(B66,5,2)&amp;"-"&amp;RIGHT(B66,2)),Data,MATCH(VLOOKUP(A66,Stations,2,FALSE()),OFFSET(Data,1,0,1),0),FALSE()))),Lacking,IF(ISNA(MATCH(DATEVALUE(LEFT(B66,4)&amp;"-"&amp;MID(B66,5,2)&amp;"-"&amp;RIGHT(B66,2)),OFFSET(Catalogus,0,0,,1),0)),Ok,VLOOKUP(DATEVALUE(LEFT(B66,4)&amp;"-"&amp;MID(B66,5,2)&amp;"-"&amp;RIGHT(B66,2)),Catalogus,MATCH(VLOOKUP(A66,Stations,2,FALSE()),OFFSET(Catalogus,1,0,1),0),FALSE())))</f>
        <v>0</v>
      </c>
    </row>
    <row r="67" spans="1:5" x14ac:dyDescent="0.25">
      <c r="A67" s="8">
        <f ca="1">INDEX(Stations,INT((ROWS(A$2:A67)-1)/(DATE(YEAR(Invoer!$A$5),12,31)-DATE(YEAR(Invoer!$A$5),1,1)+1))+2,1)</f>
        <v>73</v>
      </c>
      <c r="B67" t="str">
        <f ca="1">TEXT(DATE(YEAR(Invoer!$A$5),1,1)+MOD(ROWS(B$2:B67)-1,DATE(YEAR(Invoer!$A$5),12,31)-DATE(YEAR(Invoer!$A$5),1,1)+1),"jjjjmmdd")</f>
        <v>19450307</v>
      </c>
      <c r="C67" s="9">
        <v>1</v>
      </c>
      <c r="D67" s="14">
        <f t="shared" ca="1" si="2"/>
        <v>0</v>
      </c>
      <c r="E67" s="15">
        <f t="shared" ca="1" si="3"/>
        <v>0</v>
      </c>
    </row>
    <row r="68" spans="1:5" x14ac:dyDescent="0.25">
      <c r="A68" s="8">
        <f ca="1">INDEX(Stations,INT((ROWS(A$2:A68)-1)/(DATE(YEAR(Invoer!$A$5),12,31)-DATE(YEAR(Invoer!$A$5),1,1)+1))+2,1)</f>
        <v>73</v>
      </c>
      <c r="B68" t="str">
        <f ca="1">TEXT(DATE(YEAR(Invoer!$A$5),1,1)+MOD(ROWS(B$2:B68)-1,DATE(YEAR(Invoer!$A$5),12,31)-DATE(YEAR(Invoer!$A$5),1,1)+1),"jjjjmmdd")</f>
        <v>19450308</v>
      </c>
      <c r="C68" s="9">
        <v>1</v>
      </c>
      <c r="D68" s="14">
        <f t="shared" ca="1" si="2"/>
        <v>12</v>
      </c>
      <c r="E68" s="15">
        <f t="shared" ca="1" si="3"/>
        <v>0</v>
      </c>
    </row>
    <row r="69" spans="1:5" x14ac:dyDescent="0.25">
      <c r="A69" s="8">
        <f ca="1">INDEX(Stations,INT((ROWS(A$2:A69)-1)/(DATE(YEAR(Invoer!$A$5),12,31)-DATE(YEAR(Invoer!$A$5),1,1)+1))+2,1)</f>
        <v>73</v>
      </c>
      <c r="B69" t="str">
        <f ca="1">TEXT(DATE(YEAR(Invoer!$A$5),1,1)+MOD(ROWS(B$2:B69)-1,DATE(YEAR(Invoer!$A$5),12,31)-DATE(YEAR(Invoer!$A$5),1,1)+1),"jjjjmmdd")</f>
        <v>19450309</v>
      </c>
      <c r="C69" s="9">
        <v>1</v>
      </c>
      <c r="D69" s="14">
        <f t="shared" ca="1" si="2"/>
        <v>0</v>
      </c>
      <c r="E69" s="15">
        <f t="shared" ca="1" si="3"/>
        <v>0</v>
      </c>
    </row>
    <row r="70" spans="1:5" x14ac:dyDescent="0.25">
      <c r="A70" s="8">
        <f ca="1">INDEX(Stations,INT((ROWS(A$2:A70)-1)/(DATE(YEAR(Invoer!$A$5),12,31)-DATE(YEAR(Invoer!$A$5),1,1)+1))+2,1)</f>
        <v>73</v>
      </c>
      <c r="B70" t="str">
        <f ca="1">TEXT(DATE(YEAR(Invoer!$A$5),1,1)+MOD(ROWS(B$2:B70)-1,DATE(YEAR(Invoer!$A$5),12,31)-DATE(YEAR(Invoer!$A$5),1,1)+1),"jjjjmmdd")</f>
        <v>19450310</v>
      </c>
      <c r="C70" s="9">
        <v>1</v>
      </c>
      <c r="D70" s="14">
        <f t="shared" ca="1" si="2"/>
        <v>0</v>
      </c>
      <c r="E70" s="15">
        <f t="shared" ca="1" si="3"/>
        <v>0</v>
      </c>
    </row>
    <row r="71" spans="1:5" x14ac:dyDescent="0.25">
      <c r="A71" s="8">
        <f ca="1">INDEX(Stations,INT((ROWS(A$2:A71)-1)/(DATE(YEAR(Invoer!$A$5),12,31)-DATE(YEAR(Invoer!$A$5),1,1)+1))+2,1)</f>
        <v>73</v>
      </c>
      <c r="B71" t="str">
        <f ca="1">TEXT(DATE(YEAR(Invoer!$A$5),1,1)+MOD(ROWS(B$2:B71)-1,DATE(YEAR(Invoer!$A$5),12,31)-DATE(YEAR(Invoer!$A$5),1,1)+1),"jjjjmmdd")</f>
        <v>19450311</v>
      </c>
      <c r="C71" s="9">
        <v>1</v>
      </c>
      <c r="D71" s="14">
        <f t="shared" ca="1" si="2"/>
        <v>0</v>
      </c>
      <c r="E71" s="15">
        <f t="shared" ca="1" si="3"/>
        <v>0</v>
      </c>
    </row>
    <row r="72" spans="1:5" x14ac:dyDescent="0.25">
      <c r="A72" s="8">
        <f ca="1">INDEX(Stations,INT((ROWS(A$2:A72)-1)/(DATE(YEAR(Invoer!$A$5),12,31)-DATE(YEAR(Invoer!$A$5),1,1)+1))+2,1)</f>
        <v>73</v>
      </c>
      <c r="B72" t="str">
        <f ca="1">TEXT(DATE(YEAR(Invoer!$A$5),1,1)+MOD(ROWS(B$2:B72)-1,DATE(YEAR(Invoer!$A$5),12,31)-DATE(YEAR(Invoer!$A$5),1,1)+1),"jjjjmmdd")</f>
        <v>19450312</v>
      </c>
      <c r="C72" s="9">
        <v>1</v>
      </c>
      <c r="D72" s="14">
        <f t="shared" ca="1" si="2"/>
        <v>0</v>
      </c>
      <c r="E72" s="15">
        <f t="shared" ca="1" si="3"/>
        <v>0</v>
      </c>
    </row>
    <row r="73" spans="1:5" x14ac:dyDescent="0.25">
      <c r="A73" s="8">
        <f ca="1">INDEX(Stations,INT((ROWS(A$2:A73)-1)/(DATE(YEAR(Invoer!$A$5),12,31)-DATE(YEAR(Invoer!$A$5),1,1)+1))+2,1)</f>
        <v>73</v>
      </c>
      <c r="B73" t="str">
        <f ca="1">TEXT(DATE(YEAR(Invoer!$A$5),1,1)+MOD(ROWS(B$2:B73)-1,DATE(YEAR(Invoer!$A$5),12,31)-DATE(YEAR(Invoer!$A$5),1,1)+1),"jjjjmmdd")</f>
        <v>19450313</v>
      </c>
      <c r="C73" s="9">
        <v>1</v>
      </c>
      <c r="D73" s="14">
        <f t="shared" ca="1" si="2"/>
        <v>0</v>
      </c>
      <c r="E73" s="15">
        <f t="shared" ca="1" si="3"/>
        <v>0</v>
      </c>
    </row>
    <row r="74" spans="1:5" x14ac:dyDescent="0.25">
      <c r="A74" s="8">
        <f ca="1">INDEX(Stations,INT((ROWS(A$2:A74)-1)/(DATE(YEAR(Invoer!$A$5),12,31)-DATE(YEAR(Invoer!$A$5),1,1)+1))+2,1)</f>
        <v>73</v>
      </c>
      <c r="B74" t="str">
        <f ca="1">TEXT(DATE(YEAR(Invoer!$A$5),1,1)+MOD(ROWS(B$2:B74)-1,DATE(YEAR(Invoer!$A$5),12,31)-DATE(YEAR(Invoer!$A$5),1,1)+1),"jjjjmmdd")</f>
        <v>19450314</v>
      </c>
      <c r="C74" s="9">
        <v>1</v>
      </c>
      <c r="D74" s="14">
        <f t="shared" ca="1" si="2"/>
        <v>0</v>
      </c>
      <c r="E74" s="15">
        <f t="shared" ca="1" si="3"/>
        <v>0</v>
      </c>
    </row>
    <row r="75" spans="1:5" x14ac:dyDescent="0.25">
      <c r="A75" s="8">
        <f ca="1">INDEX(Stations,INT((ROWS(A$2:A75)-1)/(DATE(YEAR(Invoer!$A$5),12,31)-DATE(YEAR(Invoer!$A$5),1,1)+1))+2,1)</f>
        <v>73</v>
      </c>
      <c r="B75" t="str">
        <f ca="1">TEXT(DATE(YEAR(Invoer!$A$5),1,1)+MOD(ROWS(B$2:B75)-1,DATE(YEAR(Invoer!$A$5),12,31)-DATE(YEAR(Invoer!$A$5),1,1)+1),"jjjjmmdd")</f>
        <v>19450315</v>
      </c>
      <c r="C75" s="9">
        <v>1</v>
      </c>
      <c r="D75" s="14">
        <f t="shared" ca="1" si="2"/>
        <v>50</v>
      </c>
      <c r="E75" s="15">
        <f t="shared" ca="1" si="3"/>
        <v>0</v>
      </c>
    </row>
    <row r="76" spans="1:5" x14ac:dyDescent="0.25">
      <c r="A76" s="8">
        <f ca="1">INDEX(Stations,INT((ROWS(A$2:A76)-1)/(DATE(YEAR(Invoer!$A$5),12,31)-DATE(YEAR(Invoer!$A$5),1,1)+1))+2,1)</f>
        <v>73</v>
      </c>
      <c r="B76" t="str">
        <f ca="1">TEXT(DATE(YEAR(Invoer!$A$5),1,1)+MOD(ROWS(B$2:B76)-1,DATE(YEAR(Invoer!$A$5),12,31)-DATE(YEAR(Invoer!$A$5),1,1)+1),"jjjjmmdd")</f>
        <v>19450316</v>
      </c>
      <c r="C76" s="9">
        <v>1</v>
      </c>
      <c r="D76" s="14">
        <f t="shared" ca="1" si="2"/>
        <v>0</v>
      </c>
      <c r="E76" s="15">
        <f t="shared" ca="1" si="3"/>
        <v>0</v>
      </c>
    </row>
    <row r="77" spans="1:5" x14ac:dyDescent="0.25">
      <c r="A77" s="8">
        <f ca="1">INDEX(Stations,INT((ROWS(A$2:A77)-1)/(DATE(YEAR(Invoer!$A$5),12,31)-DATE(YEAR(Invoer!$A$5),1,1)+1))+2,1)</f>
        <v>73</v>
      </c>
      <c r="B77" t="str">
        <f ca="1">TEXT(DATE(YEAR(Invoer!$A$5),1,1)+MOD(ROWS(B$2:B77)-1,DATE(YEAR(Invoer!$A$5),12,31)-DATE(YEAR(Invoer!$A$5),1,1)+1),"jjjjmmdd")</f>
        <v>19450317</v>
      </c>
      <c r="C77" s="9">
        <v>1</v>
      </c>
      <c r="D77" s="14">
        <f t="shared" ca="1" si="2"/>
        <v>0</v>
      </c>
      <c r="E77" s="15">
        <f t="shared" ca="1" si="3"/>
        <v>0</v>
      </c>
    </row>
    <row r="78" spans="1:5" x14ac:dyDescent="0.25">
      <c r="A78" s="8">
        <f ca="1">INDEX(Stations,INT((ROWS(A$2:A78)-1)/(DATE(YEAR(Invoer!$A$5),12,31)-DATE(YEAR(Invoer!$A$5),1,1)+1))+2,1)</f>
        <v>73</v>
      </c>
      <c r="B78" t="str">
        <f ca="1">TEXT(DATE(YEAR(Invoer!$A$5),1,1)+MOD(ROWS(B$2:B78)-1,DATE(YEAR(Invoer!$A$5),12,31)-DATE(YEAR(Invoer!$A$5),1,1)+1),"jjjjmmdd")</f>
        <v>19450318</v>
      </c>
      <c r="C78" s="9">
        <v>1</v>
      </c>
      <c r="D78" s="14">
        <f t="shared" ca="1" si="2"/>
        <v>0</v>
      </c>
      <c r="E78" s="15">
        <f t="shared" ca="1" si="3"/>
        <v>0</v>
      </c>
    </row>
    <row r="79" spans="1:5" x14ac:dyDescent="0.25">
      <c r="A79" s="8">
        <f ca="1">INDEX(Stations,INT((ROWS(A$2:A79)-1)/(DATE(YEAR(Invoer!$A$5),12,31)-DATE(YEAR(Invoer!$A$5),1,1)+1))+2,1)</f>
        <v>73</v>
      </c>
      <c r="B79" t="str">
        <f ca="1">TEXT(DATE(YEAR(Invoer!$A$5),1,1)+MOD(ROWS(B$2:B79)-1,DATE(YEAR(Invoer!$A$5),12,31)-DATE(YEAR(Invoer!$A$5),1,1)+1),"jjjjmmdd")</f>
        <v>19450319</v>
      </c>
      <c r="C79" s="9">
        <v>1</v>
      </c>
      <c r="D79" s="14">
        <f t="shared" ca="1" si="2"/>
        <v>0</v>
      </c>
      <c r="E79" s="15">
        <f t="shared" ca="1" si="3"/>
        <v>0</v>
      </c>
    </row>
    <row r="80" spans="1:5" x14ac:dyDescent="0.25">
      <c r="A80" s="8">
        <f ca="1">INDEX(Stations,INT((ROWS(A$2:A80)-1)/(DATE(YEAR(Invoer!$A$5),12,31)-DATE(YEAR(Invoer!$A$5),1,1)+1))+2,1)</f>
        <v>73</v>
      </c>
      <c r="B80" t="str">
        <f ca="1">TEXT(DATE(YEAR(Invoer!$A$5),1,1)+MOD(ROWS(B$2:B80)-1,DATE(YEAR(Invoer!$A$5),12,31)-DATE(YEAR(Invoer!$A$5),1,1)+1),"jjjjmmdd")</f>
        <v>19450320</v>
      </c>
      <c r="C80" s="9">
        <v>1</v>
      </c>
      <c r="D80" s="14">
        <f t="shared" ca="1" si="2"/>
        <v>0</v>
      </c>
      <c r="E80" s="15">
        <f t="shared" ca="1" si="3"/>
        <v>0</v>
      </c>
    </row>
    <row r="81" spans="1:5" x14ac:dyDescent="0.25">
      <c r="A81" s="8">
        <f ca="1">INDEX(Stations,INT((ROWS(A$2:A81)-1)/(DATE(YEAR(Invoer!$A$5),12,31)-DATE(YEAR(Invoer!$A$5),1,1)+1))+2,1)</f>
        <v>73</v>
      </c>
      <c r="B81" t="str">
        <f ca="1">TEXT(DATE(YEAR(Invoer!$A$5),1,1)+MOD(ROWS(B$2:B81)-1,DATE(YEAR(Invoer!$A$5),12,31)-DATE(YEAR(Invoer!$A$5),1,1)+1),"jjjjmmdd")</f>
        <v>19450321</v>
      </c>
      <c r="C81" s="9">
        <v>1</v>
      </c>
      <c r="D81" s="14">
        <f t="shared" ca="1" si="2"/>
        <v>0</v>
      </c>
      <c r="E81" s="15">
        <f t="shared" ca="1" si="3"/>
        <v>0</v>
      </c>
    </row>
    <row r="82" spans="1:5" x14ac:dyDescent="0.25">
      <c r="A82" s="8">
        <f ca="1">INDEX(Stations,INT((ROWS(A$2:A82)-1)/(DATE(YEAR(Invoer!$A$5),12,31)-DATE(YEAR(Invoer!$A$5),1,1)+1))+2,1)</f>
        <v>73</v>
      </c>
      <c r="B82" t="str">
        <f ca="1">TEXT(DATE(YEAR(Invoer!$A$5),1,1)+MOD(ROWS(B$2:B82)-1,DATE(YEAR(Invoer!$A$5),12,31)-DATE(YEAR(Invoer!$A$5),1,1)+1),"jjjjmmdd")</f>
        <v>19450322</v>
      </c>
      <c r="C82" s="9">
        <v>1</v>
      </c>
      <c r="D82" s="14">
        <f t="shared" ca="1" si="2"/>
        <v>0</v>
      </c>
      <c r="E82" s="15">
        <f t="shared" ca="1" si="3"/>
        <v>0</v>
      </c>
    </row>
    <row r="83" spans="1:5" x14ac:dyDescent="0.25">
      <c r="A83" s="8">
        <f ca="1">INDEX(Stations,INT((ROWS(A$2:A83)-1)/(DATE(YEAR(Invoer!$A$5),12,31)-DATE(YEAR(Invoer!$A$5),1,1)+1))+2,1)</f>
        <v>73</v>
      </c>
      <c r="B83" t="str">
        <f ca="1">TEXT(DATE(YEAR(Invoer!$A$5),1,1)+MOD(ROWS(B$2:B83)-1,DATE(YEAR(Invoer!$A$5),12,31)-DATE(YEAR(Invoer!$A$5),1,1)+1),"jjjjmmdd")</f>
        <v>19450323</v>
      </c>
      <c r="C83" s="9">
        <v>1</v>
      </c>
      <c r="D83" s="14">
        <f t="shared" ca="1" si="2"/>
        <v>0</v>
      </c>
      <c r="E83" s="15">
        <f t="shared" ca="1" si="3"/>
        <v>0</v>
      </c>
    </row>
    <row r="84" spans="1:5" x14ac:dyDescent="0.25">
      <c r="A84" s="8">
        <f ca="1">INDEX(Stations,INT((ROWS(A$2:A84)-1)/(DATE(YEAR(Invoer!$A$5),12,31)-DATE(YEAR(Invoer!$A$5),1,1)+1))+2,1)</f>
        <v>73</v>
      </c>
      <c r="B84" t="str">
        <f ca="1">TEXT(DATE(YEAR(Invoer!$A$5),1,1)+MOD(ROWS(B$2:B84)-1,DATE(YEAR(Invoer!$A$5),12,31)-DATE(YEAR(Invoer!$A$5),1,1)+1),"jjjjmmdd")</f>
        <v>19450324</v>
      </c>
      <c r="C84" s="9">
        <v>1</v>
      </c>
      <c r="D84" s="14">
        <f t="shared" ca="1" si="2"/>
        <v>0</v>
      </c>
      <c r="E84" s="15">
        <f t="shared" ca="1" si="3"/>
        <v>0</v>
      </c>
    </row>
    <row r="85" spans="1:5" x14ac:dyDescent="0.25">
      <c r="A85" s="8">
        <f ca="1">INDEX(Stations,INT((ROWS(A$2:A85)-1)/(DATE(YEAR(Invoer!$A$5),12,31)-DATE(YEAR(Invoer!$A$5),1,1)+1))+2,1)</f>
        <v>73</v>
      </c>
      <c r="B85" t="str">
        <f ca="1">TEXT(DATE(YEAR(Invoer!$A$5),1,1)+MOD(ROWS(B$2:B85)-1,DATE(YEAR(Invoer!$A$5),12,31)-DATE(YEAR(Invoer!$A$5),1,1)+1),"jjjjmmdd")</f>
        <v>19450325</v>
      </c>
      <c r="C85" s="9">
        <v>1</v>
      </c>
      <c r="D85" s="14">
        <f t="shared" ca="1" si="2"/>
        <v>0</v>
      </c>
      <c r="E85" s="15">
        <f t="shared" ca="1" si="3"/>
        <v>0</v>
      </c>
    </row>
    <row r="86" spans="1:5" x14ac:dyDescent="0.25">
      <c r="A86" s="8">
        <f ca="1">INDEX(Stations,INT((ROWS(A$2:A86)-1)/(DATE(YEAR(Invoer!$A$5),12,31)-DATE(YEAR(Invoer!$A$5),1,1)+1))+2,1)</f>
        <v>73</v>
      </c>
      <c r="B86" t="str">
        <f ca="1">TEXT(DATE(YEAR(Invoer!$A$5),1,1)+MOD(ROWS(B$2:B86)-1,DATE(YEAR(Invoer!$A$5),12,31)-DATE(YEAR(Invoer!$A$5),1,1)+1),"jjjjmmdd")</f>
        <v>19450326</v>
      </c>
      <c r="C86" s="9">
        <v>1</v>
      </c>
      <c r="D86" s="14">
        <f t="shared" ca="1" si="2"/>
        <v>0</v>
      </c>
      <c r="E86" s="15">
        <f t="shared" ca="1" si="3"/>
        <v>0</v>
      </c>
    </row>
    <row r="87" spans="1:5" x14ac:dyDescent="0.25">
      <c r="A87" s="8">
        <f ca="1">INDEX(Stations,INT((ROWS(A$2:A87)-1)/(DATE(YEAR(Invoer!$A$5),12,31)-DATE(YEAR(Invoer!$A$5),1,1)+1))+2,1)</f>
        <v>73</v>
      </c>
      <c r="B87" t="str">
        <f ca="1">TEXT(DATE(YEAR(Invoer!$A$5),1,1)+MOD(ROWS(B$2:B87)-1,DATE(YEAR(Invoer!$A$5),12,31)-DATE(YEAR(Invoer!$A$5),1,1)+1),"jjjjmmdd")</f>
        <v>19450327</v>
      </c>
      <c r="C87" s="9">
        <v>1</v>
      </c>
      <c r="D87" s="14">
        <f t="shared" ca="1" si="2"/>
        <v>70</v>
      </c>
      <c r="E87" s="15">
        <f t="shared" ca="1" si="3"/>
        <v>0</v>
      </c>
    </row>
    <row r="88" spans="1:5" x14ac:dyDescent="0.25">
      <c r="A88" s="8">
        <f ca="1">INDEX(Stations,INT((ROWS(A$2:A88)-1)/(DATE(YEAR(Invoer!$A$5),12,31)-DATE(YEAR(Invoer!$A$5),1,1)+1))+2,1)</f>
        <v>73</v>
      </c>
      <c r="B88" t="str">
        <f ca="1">TEXT(DATE(YEAR(Invoer!$A$5),1,1)+MOD(ROWS(B$2:B88)-1,DATE(YEAR(Invoer!$A$5),12,31)-DATE(YEAR(Invoer!$A$5),1,1)+1),"jjjjmmdd")</f>
        <v>19450328</v>
      </c>
      <c r="C88" s="9">
        <v>1</v>
      </c>
      <c r="D88" s="14">
        <f t="shared" ca="1" si="2"/>
        <v>0</v>
      </c>
      <c r="E88" s="15">
        <f t="shared" ca="1" si="3"/>
        <v>0</v>
      </c>
    </row>
    <row r="89" spans="1:5" x14ac:dyDescent="0.25">
      <c r="A89" s="8">
        <f ca="1">INDEX(Stations,INT((ROWS(A$2:A89)-1)/(DATE(YEAR(Invoer!$A$5),12,31)-DATE(YEAR(Invoer!$A$5),1,1)+1))+2,1)</f>
        <v>73</v>
      </c>
      <c r="B89" t="str">
        <f ca="1">TEXT(DATE(YEAR(Invoer!$A$5),1,1)+MOD(ROWS(B$2:B89)-1,DATE(YEAR(Invoer!$A$5),12,31)-DATE(YEAR(Invoer!$A$5),1,1)+1),"jjjjmmdd")</f>
        <v>19450329</v>
      </c>
      <c r="C89" s="9">
        <v>1</v>
      </c>
      <c r="D89" s="14">
        <f t="shared" ca="1" si="2"/>
        <v>0</v>
      </c>
      <c r="E89" s="15">
        <f t="shared" ca="1" si="3"/>
        <v>0</v>
      </c>
    </row>
    <row r="90" spans="1:5" x14ac:dyDescent="0.25">
      <c r="A90" s="8">
        <f ca="1">INDEX(Stations,INT((ROWS(A$2:A90)-1)/(DATE(YEAR(Invoer!$A$5),12,31)-DATE(YEAR(Invoer!$A$5),1,1)+1))+2,1)</f>
        <v>73</v>
      </c>
      <c r="B90" t="str">
        <f ca="1">TEXT(DATE(YEAR(Invoer!$A$5),1,1)+MOD(ROWS(B$2:B90)-1,DATE(YEAR(Invoer!$A$5),12,31)-DATE(YEAR(Invoer!$A$5),1,1)+1),"jjjjmmdd")</f>
        <v>19450330</v>
      </c>
      <c r="C90" s="9">
        <v>1</v>
      </c>
      <c r="D90" s="14">
        <f t="shared" ca="1" si="2"/>
        <v>0</v>
      </c>
      <c r="E90" s="15">
        <f t="shared" ca="1" si="3"/>
        <v>0</v>
      </c>
    </row>
    <row r="91" spans="1:5" x14ac:dyDescent="0.25">
      <c r="A91" s="8">
        <f ca="1">INDEX(Stations,INT((ROWS(A$2:A91)-1)/(DATE(YEAR(Invoer!$A$5),12,31)-DATE(YEAR(Invoer!$A$5),1,1)+1))+2,1)</f>
        <v>73</v>
      </c>
      <c r="B91" t="str">
        <f ca="1">TEXT(DATE(YEAR(Invoer!$A$5),1,1)+MOD(ROWS(B$2:B91)-1,DATE(YEAR(Invoer!$A$5),12,31)-DATE(YEAR(Invoer!$A$5),1,1)+1),"jjjjmmdd")</f>
        <v>19450331</v>
      </c>
      <c r="C91" s="9">
        <v>1</v>
      </c>
      <c r="D91" s="14">
        <f t="shared" ca="1" si="2"/>
        <v>0</v>
      </c>
      <c r="E91" s="15">
        <f t="shared" ca="1" si="3"/>
        <v>0</v>
      </c>
    </row>
    <row r="92" spans="1:5" x14ac:dyDescent="0.25">
      <c r="A92" s="8">
        <f ca="1">INDEX(Stations,INT((ROWS(A$2:A92)-1)/(DATE(YEAR(Invoer!$A$5),12,31)-DATE(YEAR(Invoer!$A$5),1,1)+1))+2,1)</f>
        <v>73</v>
      </c>
      <c r="B92" t="str">
        <f ca="1">TEXT(DATE(YEAR(Invoer!$A$5),1,1)+MOD(ROWS(B$2:B92)-1,DATE(YEAR(Invoer!$A$5),12,31)-DATE(YEAR(Invoer!$A$5),1,1)+1),"jjjjmmdd")</f>
        <v>19450401</v>
      </c>
      <c r="C92" s="9">
        <v>1</v>
      </c>
      <c r="D92" s="14">
        <f t="shared" ca="1" si="2"/>
        <v>20</v>
      </c>
      <c r="E92" s="15">
        <f t="shared" ca="1" si="3"/>
        <v>0</v>
      </c>
    </row>
    <row r="93" spans="1:5" x14ac:dyDescent="0.25">
      <c r="A93" s="8">
        <f ca="1">INDEX(Stations,INT((ROWS(A$2:A93)-1)/(DATE(YEAR(Invoer!$A$5),12,31)-DATE(YEAR(Invoer!$A$5),1,1)+1))+2,1)</f>
        <v>73</v>
      </c>
      <c r="B93" t="str">
        <f ca="1">TEXT(DATE(YEAR(Invoer!$A$5),1,1)+MOD(ROWS(B$2:B93)-1,DATE(YEAR(Invoer!$A$5),12,31)-DATE(YEAR(Invoer!$A$5),1,1)+1),"jjjjmmdd")</f>
        <v>19450402</v>
      </c>
      <c r="C93" s="9">
        <v>1</v>
      </c>
      <c r="D93" s="14">
        <f t="shared" ca="1" si="2"/>
        <v>30</v>
      </c>
      <c r="E93" s="15">
        <f t="shared" ca="1" si="3"/>
        <v>0</v>
      </c>
    </row>
    <row r="94" spans="1:5" x14ac:dyDescent="0.25">
      <c r="A94" s="8">
        <f ca="1">INDEX(Stations,INT((ROWS(A$2:A94)-1)/(DATE(YEAR(Invoer!$A$5),12,31)-DATE(YEAR(Invoer!$A$5),1,1)+1))+2,1)</f>
        <v>73</v>
      </c>
      <c r="B94" t="str">
        <f ca="1">TEXT(DATE(YEAR(Invoer!$A$5),1,1)+MOD(ROWS(B$2:B94)-1,DATE(YEAR(Invoer!$A$5),12,31)-DATE(YEAR(Invoer!$A$5),1,1)+1),"jjjjmmdd")</f>
        <v>19450403</v>
      </c>
      <c r="C94" s="9">
        <v>1</v>
      </c>
      <c r="D94" s="14">
        <f t="shared" ca="1" si="2"/>
        <v>0</v>
      </c>
      <c r="E94" s="15">
        <f t="shared" ca="1" si="3"/>
        <v>0</v>
      </c>
    </row>
    <row r="95" spans="1:5" x14ac:dyDescent="0.25">
      <c r="A95" s="8">
        <f ca="1">INDEX(Stations,INT((ROWS(A$2:A95)-1)/(DATE(YEAR(Invoer!$A$5),12,31)-DATE(YEAR(Invoer!$A$5),1,1)+1))+2,1)</f>
        <v>73</v>
      </c>
      <c r="B95" t="str">
        <f ca="1">TEXT(DATE(YEAR(Invoer!$A$5),1,1)+MOD(ROWS(B$2:B95)-1,DATE(YEAR(Invoer!$A$5),12,31)-DATE(YEAR(Invoer!$A$5),1,1)+1),"jjjjmmdd")</f>
        <v>19450404</v>
      </c>
      <c r="C95" s="9">
        <v>1</v>
      </c>
      <c r="D95" s="14">
        <f t="shared" ca="1" si="2"/>
        <v>0</v>
      </c>
      <c r="E95" s="15">
        <f t="shared" ca="1" si="3"/>
        <v>0</v>
      </c>
    </row>
    <row r="96" spans="1:5" x14ac:dyDescent="0.25">
      <c r="A96" s="8">
        <f ca="1">INDEX(Stations,INT((ROWS(A$2:A96)-1)/(DATE(YEAR(Invoer!$A$5),12,31)-DATE(YEAR(Invoer!$A$5),1,1)+1))+2,1)</f>
        <v>73</v>
      </c>
      <c r="B96" t="str">
        <f ca="1">TEXT(DATE(YEAR(Invoer!$A$5),1,1)+MOD(ROWS(B$2:B96)-1,DATE(YEAR(Invoer!$A$5),12,31)-DATE(YEAR(Invoer!$A$5),1,1)+1),"jjjjmmdd")</f>
        <v>19450405</v>
      </c>
      <c r="C96" s="9">
        <v>1</v>
      </c>
      <c r="D96" s="14">
        <f t="shared" ca="1" si="2"/>
        <v>0</v>
      </c>
      <c r="E96" s="15">
        <f t="shared" ca="1" si="3"/>
        <v>0</v>
      </c>
    </row>
    <row r="97" spans="1:5" x14ac:dyDescent="0.25">
      <c r="A97" s="8">
        <f ca="1">INDEX(Stations,INT((ROWS(A$2:A97)-1)/(DATE(YEAR(Invoer!$A$5),12,31)-DATE(YEAR(Invoer!$A$5),1,1)+1))+2,1)</f>
        <v>73</v>
      </c>
      <c r="B97" t="str">
        <f ca="1">TEXT(DATE(YEAR(Invoer!$A$5),1,1)+MOD(ROWS(B$2:B97)-1,DATE(YEAR(Invoer!$A$5),12,31)-DATE(YEAR(Invoer!$A$5),1,1)+1),"jjjjmmdd")</f>
        <v>19450406</v>
      </c>
      <c r="C97" s="9">
        <v>1</v>
      </c>
      <c r="D97" s="14">
        <f t="shared" ca="1" si="2"/>
        <v>0</v>
      </c>
      <c r="E97" s="15">
        <f t="shared" ca="1" si="3"/>
        <v>0</v>
      </c>
    </row>
    <row r="98" spans="1:5" x14ac:dyDescent="0.25">
      <c r="A98" s="8">
        <f ca="1">INDEX(Stations,INT((ROWS(A$2:A98)-1)/(DATE(YEAR(Invoer!$A$5),12,31)-DATE(YEAR(Invoer!$A$5),1,1)+1))+2,1)</f>
        <v>73</v>
      </c>
      <c r="B98" t="str">
        <f ca="1">TEXT(DATE(YEAR(Invoer!$A$5),1,1)+MOD(ROWS(B$2:B98)-1,DATE(YEAR(Invoer!$A$5),12,31)-DATE(YEAR(Invoer!$A$5),1,1)+1),"jjjjmmdd")</f>
        <v>19450407</v>
      </c>
      <c r="C98" s="9">
        <v>1</v>
      </c>
      <c r="D98" s="14">
        <f t="shared" ca="1" si="2"/>
        <v>0</v>
      </c>
      <c r="E98" s="15">
        <f t="shared" ca="1" si="3"/>
        <v>0</v>
      </c>
    </row>
    <row r="99" spans="1:5" x14ac:dyDescent="0.25">
      <c r="A99" s="8">
        <f ca="1">INDEX(Stations,INT((ROWS(A$2:A99)-1)/(DATE(YEAR(Invoer!$A$5),12,31)-DATE(YEAR(Invoer!$A$5),1,1)+1))+2,1)</f>
        <v>73</v>
      </c>
      <c r="B99" t="str">
        <f ca="1">TEXT(DATE(YEAR(Invoer!$A$5),1,1)+MOD(ROWS(B$2:B99)-1,DATE(YEAR(Invoer!$A$5),12,31)-DATE(YEAR(Invoer!$A$5),1,1)+1),"jjjjmmdd")</f>
        <v>19450408</v>
      </c>
      <c r="C99" s="9">
        <v>1</v>
      </c>
      <c r="D99" s="14">
        <f t="shared" ca="1" si="2"/>
        <v>0</v>
      </c>
      <c r="E99" s="15">
        <f t="shared" ca="1" si="3"/>
        <v>0</v>
      </c>
    </row>
    <row r="100" spans="1:5" x14ac:dyDescent="0.25">
      <c r="A100" s="8">
        <f ca="1">INDEX(Stations,INT((ROWS(A$2:A100)-1)/(DATE(YEAR(Invoer!$A$5),12,31)-DATE(YEAR(Invoer!$A$5),1,1)+1))+2,1)</f>
        <v>73</v>
      </c>
      <c r="B100" t="str">
        <f ca="1">TEXT(DATE(YEAR(Invoer!$A$5),1,1)+MOD(ROWS(B$2:B100)-1,DATE(YEAR(Invoer!$A$5),12,31)-DATE(YEAR(Invoer!$A$5),1,1)+1),"jjjjmmdd")</f>
        <v>19450409</v>
      </c>
      <c r="C100" s="9">
        <v>1</v>
      </c>
      <c r="D100" s="14">
        <f t="shared" ca="1" si="2"/>
        <v>0</v>
      </c>
      <c r="E100" s="15">
        <f t="shared" ca="1" si="3"/>
        <v>0</v>
      </c>
    </row>
    <row r="101" spans="1:5" x14ac:dyDescent="0.25">
      <c r="A101" s="8">
        <f ca="1">INDEX(Stations,INT((ROWS(A$2:A101)-1)/(DATE(YEAR(Invoer!$A$5),12,31)-DATE(YEAR(Invoer!$A$5),1,1)+1))+2,1)</f>
        <v>73</v>
      </c>
      <c r="B101" t="str">
        <f ca="1">TEXT(DATE(YEAR(Invoer!$A$5),1,1)+MOD(ROWS(B$2:B101)-1,DATE(YEAR(Invoer!$A$5),12,31)-DATE(YEAR(Invoer!$A$5),1,1)+1),"jjjjmmdd")</f>
        <v>19450410</v>
      </c>
      <c r="C101" s="9">
        <v>1</v>
      </c>
      <c r="D101" s="14">
        <f t="shared" ca="1" si="2"/>
        <v>0</v>
      </c>
      <c r="E101" s="15">
        <f t="shared" ca="1" si="3"/>
        <v>0</v>
      </c>
    </row>
    <row r="102" spans="1:5" x14ac:dyDescent="0.25">
      <c r="A102" s="8">
        <f ca="1">INDEX(Stations,INT((ROWS(A$2:A102)-1)/(DATE(YEAR(Invoer!$A$5),12,31)-DATE(YEAR(Invoer!$A$5),1,1)+1))+2,1)</f>
        <v>73</v>
      </c>
      <c r="B102" t="str">
        <f ca="1">TEXT(DATE(YEAR(Invoer!$A$5),1,1)+MOD(ROWS(B$2:B102)-1,DATE(YEAR(Invoer!$A$5),12,31)-DATE(YEAR(Invoer!$A$5),1,1)+1),"jjjjmmdd")</f>
        <v>19450411</v>
      </c>
      <c r="C102" s="9">
        <v>1</v>
      </c>
      <c r="D102" s="14">
        <f t="shared" ca="1" si="2"/>
        <v>41</v>
      </c>
      <c r="E102" s="15">
        <f t="shared" ca="1" si="3"/>
        <v>0</v>
      </c>
    </row>
    <row r="103" spans="1:5" x14ac:dyDescent="0.25">
      <c r="A103" s="8">
        <f ca="1">INDEX(Stations,INT((ROWS(A$2:A103)-1)/(DATE(YEAR(Invoer!$A$5),12,31)-DATE(YEAR(Invoer!$A$5),1,1)+1))+2,1)</f>
        <v>73</v>
      </c>
      <c r="B103" t="str">
        <f ca="1">TEXT(DATE(YEAR(Invoer!$A$5),1,1)+MOD(ROWS(B$2:B103)-1,DATE(YEAR(Invoer!$A$5),12,31)-DATE(YEAR(Invoer!$A$5),1,1)+1),"jjjjmmdd")</f>
        <v>19450412</v>
      </c>
      <c r="C103" s="9">
        <v>1</v>
      </c>
      <c r="D103" s="14">
        <f t="shared" ca="1" si="2"/>
        <v>4</v>
      </c>
      <c r="E103" s="15">
        <f t="shared" ca="1" si="3"/>
        <v>0</v>
      </c>
    </row>
    <row r="104" spans="1:5" x14ac:dyDescent="0.25">
      <c r="A104" s="8">
        <f ca="1">INDEX(Stations,INT((ROWS(A$2:A104)-1)/(DATE(YEAR(Invoer!$A$5),12,31)-DATE(YEAR(Invoer!$A$5),1,1)+1))+2,1)</f>
        <v>73</v>
      </c>
      <c r="B104" t="str">
        <f ca="1">TEXT(DATE(YEAR(Invoer!$A$5),1,1)+MOD(ROWS(B$2:B104)-1,DATE(YEAR(Invoer!$A$5),12,31)-DATE(YEAR(Invoer!$A$5),1,1)+1),"jjjjmmdd")</f>
        <v>19450413</v>
      </c>
      <c r="C104" s="9">
        <v>1</v>
      </c>
      <c r="D104" s="14">
        <f t="shared" ca="1" si="2"/>
        <v>0</v>
      </c>
      <c r="E104" s="15">
        <f t="shared" ca="1" si="3"/>
        <v>0</v>
      </c>
    </row>
    <row r="105" spans="1:5" x14ac:dyDescent="0.25">
      <c r="A105" s="8">
        <f ca="1">INDEX(Stations,INT((ROWS(A$2:A105)-1)/(DATE(YEAR(Invoer!$A$5),12,31)-DATE(YEAR(Invoer!$A$5),1,1)+1))+2,1)</f>
        <v>73</v>
      </c>
      <c r="B105" t="str">
        <f ca="1">TEXT(DATE(YEAR(Invoer!$A$5),1,1)+MOD(ROWS(B$2:B105)-1,DATE(YEAR(Invoer!$A$5),12,31)-DATE(YEAR(Invoer!$A$5),1,1)+1),"jjjjmmdd")</f>
        <v>19450414</v>
      </c>
      <c r="C105" s="9">
        <v>1</v>
      </c>
      <c r="D105" s="14">
        <f t="shared" ca="1" si="2"/>
        <v>42</v>
      </c>
      <c r="E105" s="15">
        <f t="shared" ca="1" si="3"/>
        <v>0</v>
      </c>
    </row>
    <row r="106" spans="1:5" x14ac:dyDescent="0.25">
      <c r="A106" s="8">
        <f ca="1">INDEX(Stations,INT((ROWS(A$2:A106)-1)/(DATE(YEAR(Invoer!$A$5),12,31)-DATE(YEAR(Invoer!$A$5),1,1)+1))+2,1)</f>
        <v>73</v>
      </c>
      <c r="B106" t="str">
        <f ca="1">TEXT(DATE(YEAR(Invoer!$A$5),1,1)+MOD(ROWS(B$2:B106)-1,DATE(YEAR(Invoer!$A$5),12,31)-DATE(YEAR(Invoer!$A$5),1,1)+1),"jjjjmmdd")</f>
        <v>19450415</v>
      </c>
      <c r="C106" s="9">
        <v>1</v>
      </c>
      <c r="D106" s="14">
        <f t="shared" ca="1" si="2"/>
        <v>74</v>
      </c>
      <c r="E106" s="15">
        <f t="shared" ca="1" si="3"/>
        <v>0</v>
      </c>
    </row>
    <row r="107" spans="1:5" x14ac:dyDescent="0.25">
      <c r="A107" s="8">
        <f ca="1">INDEX(Stations,INT((ROWS(A$2:A107)-1)/(DATE(YEAR(Invoer!$A$5),12,31)-DATE(YEAR(Invoer!$A$5),1,1)+1))+2,1)</f>
        <v>73</v>
      </c>
      <c r="B107" t="str">
        <f ca="1">TEXT(DATE(YEAR(Invoer!$A$5),1,1)+MOD(ROWS(B$2:B107)-1,DATE(YEAR(Invoer!$A$5),12,31)-DATE(YEAR(Invoer!$A$5),1,1)+1),"jjjjmmdd")</f>
        <v>19450416</v>
      </c>
      <c r="C107" s="9">
        <v>1</v>
      </c>
      <c r="D107" s="14">
        <f t="shared" ca="1" si="2"/>
        <v>22</v>
      </c>
      <c r="E107" s="15">
        <f t="shared" ca="1" si="3"/>
        <v>0</v>
      </c>
    </row>
    <row r="108" spans="1:5" x14ac:dyDescent="0.25">
      <c r="A108" s="8">
        <f ca="1">INDEX(Stations,INT((ROWS(A$2:A108)-1)/(DATE(YEAR(Invoer!$A$5),12,31)-DATE(YEAR(Invoer!$A$5),1,1)+1))+2,1)</f>
        <v>73</v>
      </c>
      <c r="B108" t="str">
        <f ca="1">TEXT(DATE(YEAR(Invoer!$A$5),1,1)+MOD(ROWS(B$2:B108)-1,DATE(YEAR(Invoer!$A$5),12,31)-DATE(YEAR(Invoer!$A$5),1,1)+1),"jjjjmmdd")</f>
        <v>19450417</v>
      </c>
      <c r="C108" s="9">
        <v>1</v>
      </c>
      <c r="D108" s="14">
        <f t="shared" ca="1" si="2"/>
        <v>0</v>
      </c>
      <c r="E108" s="15">
        <f t="shared" ca="1" si="3"/>
        <v>0</v>
      </c>
    </row>
    <row r="109" spans="1:5" x14ac:dyDescent="0.25">
      <c r="A109" s="8">
        <f ca="1">INDEX(Stations,INT((ROWS(A$2:A109)-1)/(DATE(YEAR(Invoer!$A$5),12,31)-DATE(YEAR(Invoer!$A$5),1,1)+1))+2,1)</f>
        <v>73</v>
      </c>
      <c r="B109" t="str">
        <f ca="1">TEXT(DATE(YEAR(Invoer!$A$5),1,1)+MOD(ROWS(B$2:B109)-1,DATE(YEAR(Invoer!$A$5),12,31)-DATE(YEAR(Invoer!$A$5),1,1)+1),"jjjjmmdd")</f>
        <v>19450418</v>
      </c>
      <c r="C109" s="9">
        <v>1</v>
      </c>
      <c r="D109" s="14">
        <f t="shared" ca="1" si="2"/>
        <v>0</v>
      </c>
      <c r="E109" s="15">
        <f t="shared" ca="1" si="3"/>
        <v>0</v>
      </c>
    </row>
    <row r="110" spans="1:5" x14ac:dyDescent="0.25">
      <c r="A110" s="8">
        <f ca="1">INDEX(Stations,INT((ROWS(A$2:A110)-1)/(DATE(YEAR(Invoer!$A$5),12,31)-DATE(YEAR(Invoer!$A$5),1,1)+1))+2,1)</f>
        <v>73</v>
      </c>
      <c r="B110" t="str">
        <f ca="1">TEXT(DATE(YEAR(Invoer!$A$5),1,1)+MOD(ROWS(B$2:B110)-1,DATE(YEAR(Invoer!$A$5),12,31)-DATE(YEAR(Invoer!$A$5),1,1)+1),"jjjjmmdd")</f>
        <v>19450419</v>
      </c>
      <c r="C110" s="9">
        <v>1</v>
      </c>
      <c r="D110" s="14">
        <f t="shared" ca="1" si="2"/>
        <v>0</v>
      </c>
      <c r="E110" s="15">
        <f t="shared" ca="1" si="3"/>
        <v>0</v>
      </c>
    </row>
    <row r="111" spans="1:5" x14ac:dyDescent="0.25">
      <c r="A111" s="8">
        <f ca="1">INDEX(Stations,INT((ROWS(A$2:A111)-1)/(DATE(YEAR(Invoer!$A$5),12,31)-DATE(YEAR(Invoer!$A$5),1,1)+1))+2,1)</f>
        <v>73</v>
      </c>
      <c r="B111" t="str">
        <f ca="1">TEXT(DATE(YEAR(Invoer!$A$5),1,1)+MOD(ROWS(B$2:B111)-1,DATE(YEAR(Invoer!$A$5),12,31)-DATE(YEAR(Invoer!$A$5),1,1)+1),"jjjjmmdd")</f>
        <v>19450420</v>
      </c>
      <c r="C111" s="9">
        <v>1</v>
      </c>
      <c r="D111" s="14">
        <f t="shared" ca="1" si="2"/>
        <v>0</v>
      </c>
      <c r="E111" s="15">
        <f t="shared" ca="1" si="3"/>
        <v>0</v>
      </c>
    </row>
    <row r="112" spans="1:5" x14ac:dyDescent="0.25">
      <c r="A112" s="8">
        <f ca="1">INDEX(Stations,INT((ROWS(A$2:A112)-1)/(DATE(YEAR(Invoer!$A$5),12,31)-DATE(YEAR(Invoer!$A$5),1,1)+1))+2,1)</f>
        <v>73</v>
      </c>
      <c r="B112" t="str">
        <f ca="1">TEXT(DATE(YEAR(Invoer!$A$5),1,1)+MOD(ROWS(B$2:B112)-1,DATE(YEAR(Invoer!$A$5),12,31)-DATE(YEAR(Invoer!$A$5),1,1)+1),"jjjjmmdd")</f>
        <v>19450421</v>
      </c>
      <c r="C112" s="9">
        <v>1</v>
      </c>
      <c r="D112" s="14">
        <f t="shared" ca="1" si="2"/>
        <v>0</v>
      </c>
      <c r="E112" s="15">
        <f t="shared" ca="1" si="3"/>
        <v>0</v>
      </c>
    </row>
    <row r="113" spans="1:5" x14ac:dyDescent="0.25">
      <c r="A113" s="8">
        <f ca="1">INDEX(Stations,INT((ROWS(A$2:A113)-1)/(DATE(YEAR(Invoer!$A$5),12,31)-DATE(YEAR(Invoer!$A$5),1,1)+1))+2,1)</f>
        <v>73</v>
      </c>
      <c r="B113" t="str">
        <f ca="1">TEXT(DATE(YEAR(Invoer!$A$5),1,1)+MOD(ROWS(B$2:B113)-1,DATE(YEAR(Invoer!$A$5),12,31)-DATE(YEAR(Invoer!$A$5),1,1)+1),"jjjjmmdd")</f>
        <v>19450422</v>
      </c>
      <c r="C113" s="9">
        <v>1</v>
      </c>
      <c r="D113" s="14">
        <f t="shared" ca="1" si="2"/>
        <v>0</v>
      </c>
      <c r="E113" s="15">
        <f t="shared" ca="1" si="3"/>
        <v>0</v>
      </c>
    </row>
    <row r="114" spans="1:5" x14ac:dyDescent="0.25">
      <c r="A114" s="8">
        <f ca="1">INDEX(Stations,INT((ROWS(A$2:A114)-1)/(DATE(YEAR(Invoer!$A$5),12,31)-DATE(YEAR(Invoer!$A$5),1,1)+1))+2,1)</f>
        <v>73</v>
      </c>
      <c r="B114" t="str">
        <f ca="1">TEXT(DATE(YEAR(Invoer!$A$5),1,1)+MOD(ROWS(B$2:B114)-1,DATE(YEAR(Invoer!$A$5),12,31)-DATE(YEAR(Invoer!$A$5),1,1)+1),"jjjjmmdd")</f>
        <v>19450423</v>
      </c>
      <c r="C114" s="9">
        <v>1</v>
      </c>
      <c r="D114" s="14">
        <f t="shared" ca="1" si="2"/>
        <v>58</v>
      </c>
      <c r="E114" s="15">
        <f t="shared" ca="1" si="3"/>
        <v>0</v>
      </c>
    </row>
    <row r="115" spans="1:5" x14ac:dyDescent="0.25">
      <c r="A115" s="8">
        <f ca="1">INDEX(Stations,INT((ROWS(A$2:A115)-1)/(DATE(YEAR(Invoer!$A$5),12,31)-DATE(YEAR(Invoer!$A$5),1,1)+1))+2,1)</f>
        <v>73</v>
      </c>
      <c r="B115" t="str">
        <f ca="1">TEXT(DATE(YEAR(Invoer!$A$5),1,1)+MOD(ROWS(B$2:B115)-1,DATE(YEAR(Invoer!$A$5),12,31)-DATE(YEAR(Invoer!$A$5),1,1)+1),"jjjjmmdd")</f>
        <v>19450424</v>
      </c>
      <c r="C115" s="9">
        <v>1</v>
      </c>
      <c r="D115" s="14">
        <f t="shared" ca="1" si="2"/>
        <v>0</v>
      </c>
      <c r="E115" s="15">
        <f t="shared" ca="1" si="3"/>
        <v>0</v>
      </c>
    </row>
    <row r="116" spans="1:5" x14ac:dyDescent="0.25">
      <c r="A116" s="8">
        <f ca="1">INDEX(Stations,INT((ROWS(A$2:A116)-1)/(DATE(YEAR(Invoer!$A$5),12,31)-DATE(YEAR(Invoer!$A$5),1,1)+1))+2,1)</f>
        <v>73</v>
      </c>
      <c r="B116" t="str">
        <f ca="1">TEXT(DATE(YEAR(Invoer!$A$5),1,1)+MOD(ROWS(B$2:B116)-1,DATE(YEAR(Invoer!$A$5),12,31)-DATE(YEAR(Invoer!$A$5),1,1)+1),"jjjjmmdd")</f>
        <v>19450425</v>
      </c>
      <c r="C116" s="9">
        <v>1</v>
      </c>
      <c r="D116" s="14">
        <f t="shared" ca="1" si="2"/>
        <v>0</v>
      </c>
      <c r="E116" s="15">
        <f t="shared" ca="1" si="3"/>
        <v>0</v>
      </c>
    </row>
    <row r="117" spans="1:5" x14ac:dyDescent="0.25">
      <c r="A117" s="8">
        <f ca="1">INDEX(Stations,INT((ROWS(A$2:A117)-1)/(DATE(YEAR(Invoer!$A$5),12,31)-DATE(YEAR(Invoer!$A$5),1,1)+1))+2,1)</f>
        <v>73</v>
      </c>
      <c r="B117" t="str">
        <f ca="1">TEXT(DATE(YEAR(Invoer!$A$5),1,1)+MOD(ROWS(B$2:B117)-1,DATE(YEAR(Invoer!$A$5),12,31)-DATE(YEAR(Invoer!$A$5),1,1)+1),"jjjjmmdd")</f>
        <v>19450426</v>
      </c>
      <c r="C117" s="9">
        <v>1</v>
      </c>
      <c r="D117" s="14">
        <f t="shared" ca="1" si="2"/>
        <v>0</v>
      </c>
      <c r="E117" s="15">
        <f t="shared" ca="1" si="3"/>
        <v>0</v>
      </c>
    </row>
    <row r="118" spans="1:5" x14ac:dyDescent="0.25">
      <c r="A118" s="8">
        <f ca="1">INDEX(Stations,INT((ROWS(A$2:A118)-1)/(DATE(YEAR(Invoer!$A$5),12,31)-DATE(YEAR(Invoer!$A$5),1,1)+1))+2,1)</f>
        <v>73</v>
      </c>
      <c r="B118" t="str">
        <f ca="1">TEXT(DATE(YEAR(Invoer!$A$5),1,1)+MOD(ROWS(B$2:B118)-1,DATE(YEAR(Invoer!$A$5),12,31)-DATE(YEAR(Invoer!$A$5),1,1)+1),"jjjjmmdd")</f>
        <v>19450427</v>
      </c>
      <c r="C118" s="9">
        <v>1</v>
      </c>
      <c r="D118" s="14">
        <f t="shared" ca="1" si="2"/>
        <v>0</v>
      </c>
      <c r="E118" s="15">
        <f t="shared" ca="1" si="3"/>
        <v>0</v>
      </c>
    </row>
    <row r="119" spans="1:5" x14ac:dyDescent="0.25">
      <c r="A119" s="8">
        <f ca="1">INDEX(Stations,INT((ROWS(A$2:A119)-1)/(DATE(YEAR(Invoer!$A$5),12,31)-DATE(YEAR(Invoer!$A$5),1,1)+1))+2,1)</f>
        <v>73</v>
      </c>
      <c r="B119" t="str">
        <f ca="1">TEXT(DATE(YEAR(Invoer!$A$5),1,1)+MOD(ROWS(B$2:B119)-1,DATE(YEAR(Invoer!$A$5),12,31)-DATE(YEAR(Invoer!$A$5),1,1)+1),"jjjjmmdd")</f>
        <v>19450428</v>
      </c>
      <c r="C119" s="9">
        <v>1</v>
      </c>
      <c r="D119" s="14">
        <f t="shared" ca="1" si="2"/>
        <v>0</v>
      </c>
      <c r="E119" s="15">
        <f t="shared" ca="1" si="3"/>
        <v>0</v>
      </c>
    </row>
    <row r="120" spans="1:5" x14ac:dyDescent="0.25">
      <c r="A120" s="8">
        <f ca="1">INDEX(Stations,INT((ROWS(A$2:A120)-1)/(DATE(YEAR(Invoer!$A$5),12,31)-DATE(YEAR(Invoer!$A$5),1,1)+1))+2,1)</f>
        <v>73</v>
      </c>
      <c r="B120" t="str">
        <f ca="1">TEXT(DATE(YEAR(Invoer!$A$5),1,1)+MOD(ROWS(B$2:B120)-1,DATE(YEAR(Invoer!$A$5),12,31)-DATE(YEAR(Invoer!$A$5),1,1)+1),"jjjjmmdd")</f>
        <v>19450429</v>
      </c>
      <c r="C120" s="9">
        <v>1</v>
      </c>
      <c r="D120" s="14">
        <f t="shared" ca="1" si="2"/>
        <v>0</v>
      </c>
      <c r="E120" s="15">
        <f t="shared" ca="1" si="3"/>
        <v>0</v>
      </c>
    </row>
    <row r="121" spans="1:5" x14ac:dyDescent="0.25">
      <c r="A121" s="8">
        <f ca="1">INDEX(Stations,INT((ROWS(A$2:A121)-1)/(DATE(YEAR(Invoer!$A$5),12,31)-DATE(YEAR(Invoer!$A$5),1,1)+1))+2,1)</f>
        <v>73</v>
      </c>
      <c r="B121" t="str">
        <f ca="1">TEXT(DATE(YEAR(Invoer!$A$5),1,1)+MOD(ROWS(B$2:B121)-1,DATE(YEAR(Invoer!$A$5),12,31)-DATE(YEAR(Invoer!$A$5),1,1)+1),"jjjjmmdd")</f>
        <v>19450430</v>
      </c>
      <c r="C121" s="9">
        <v>1</v>
      </c>
      <c r="D121" s="14">
        <f t="shared" ca="1" si="2"/>
        <v>0</v>
      </c>
      <c r="E121" s="15">
        <f t="shared" ca="1" si="3"/>
        <v>0</v>
      </c>
    </row>
    <row r="122" spans="1:5" x14ac:dyDescent="0.25">
      <c r="A122" s="8">
        <f ca="1">INDEX(Stations,INT((ROWS(A$2:A122)-1)/(DATE(YEAR(Invoer!$A$5),12,31)-DATE(YEAR(Invoer!$A$5),1,1)+1))+2,1)</f>
        <v>73</v>
      </c>
      <c r="B122" t="str">
        <f ca="1">TEXT(DATE(YEAR(Invoer!$A$5),1,1)+MOD(ROWS(B$2:B122)-1,DATE(YEAR(Invoer!$A$5),12,31)-DATE(YEAR(Invoer!$A$5),1,1)+1),"jjjjmmdd")</f>
        <v>19450501</v>
      </c>
      <c r="C122" s="9">
        <v>1</v>
      </c>
      <c r="D122" s="14">
        <f t="shared" ca="1" si="2"/>
        <v>0</v>
      </c>
      <c r="E122" s="15">
        <f t="shared" ca="1" si="3"/>
        <v>0</v>
      </c>
    </row>
    <row r="123" spans="1:5" x14ac:dyDescent="0.25">
      <c r="A123" s="8">
        <f ca="1">INDEX(Stations,INT((ROWS(A$2:A123)-1)/(DATE(YEAR(Invoer!$A$5),12,31)-DATE(YEAR(Invoer!$A$5),1,1)+1))+2,1)</f>
        <v>73</v>
      </c>
      <c r="B123" t="str">
        <f ca="1">TEXT(DATE(YEAR(Invoer!$A$5),1,1)+MOD(ROWS(B$2:B123)-1,DATE(YEAR(Invoer!$A$5),12,31)-DATE(YEAR(Invoer!$A$5),1,1)+1),"jjjjmmdd")</f>
        <v>19450502</v>
      </c>
      <c r="C123" s="9">
        <v>1</v>
      </c>
      <c r="D123" s="14">
        <f t="shared" ca="1" si="2"/>
        <v>0</v>
      </c>
      <c r="E123" s="15">
        <f t="shared" ca="1" si="3"/>
        <v>0</v>
      </c>
    </row>
    <row r="124" spans="1:5" x14ac:dyDescent="0.25">
      <c r="A124" s="8">
        <f ca="1">INDEX(Stations,INT((ROWS(A$2:A124)-1)/(DATE(YEAR(Invoer!$A$5),12,31)-DATE(YEAR(Invoer!$A$5),1,1)+1))+2,1)</f>
        <v>73</v>
      </c>
      <c r="B124" t="str">
        <f ca="1">TEXT(DATE(YEAR(Invoer!$A$5),1,1)+MOD(ROWS(B$2:B124)-1,DATE(YEAR(Invoer!$A$5),12,31)-DATE(YEAR(Invoer!$A$5),1,1)+1),"jjjjmmdd")</f>
        <v>19450503</v>
      </c>
      <c r="C124" s="9">
        <v>1</v>
      </c>
      <c r="D124" s="14">
        <f t="shared" ca="1" si="2"/>
        <v>0</v>
      </c>
      <c r="E124" s="15">
        <f t="shared" ca="1" si="3"/>
        <v>0</v>
      </c>
    </row>
    <row r="125" spans="1:5" x14ac:dyDescent="0.25">
      <c r="A125" s="8">
        <f ca="1">INDEX(Stations,INT((ROWS(A$2:A125)-1)/(DATE(YEAR(Invoer!$A$5),12,31)-DATE(YEAR(Invoer!$A$5),1,1)+1))+2,1)</f>
        <v>73</v>
      </c>
      <c r="B125" t="str">
        <f ca="1">TEXT(DATE(YEAR(Invoer!$A$5),1,1)+MOD(ROWS(B$2:B125)-1,DATE(YEAR(Invoer!$A$5),12,31)-DATE(YEAR(Invoer!$A$5),1,1)+1),"jjjjmmdd")</f>
        <v>19450504</v>
      </c>
      <c r="C125" s="9">
        <v>1</v>
      </c>
      <c r="D125" s="14">
        <f t="shared" ca="1" si="2"/>
        <v>0</v>
      </c>
      <c r="E125" s="15">
        <f t="shared" ca="1" si="3"/>
        <v>0</v>
      </c>
    </row>
    <row r="126" spans="1:5" x14ac:dyDescent="0.25">
      <c r="A126" s="8">
        <f ca="1">INDEX(Stations,INT((ROWS(A$2:A126)-1)/(DATE(YEAR(Invoer!$A$5),12,31)-DATE(YEAR(Invoer!$A$5),1,1)+1))+2,1)</f>
        <v>73</v>
      </c>
      <c r="B126" t="str">
        <f ca="1">TEXT(DATE(YEAR(Invoer!$A$5),1,1)+MOD(ROWS(B$2:B126)-1,DATE(YEAR(Invoer!$A$5),12,31)-DATE(YEAR(Invoer!$A$5),1,1)+1),"jjjjmmdd")</f>
        <v>19450505</v>
      </c>
      <c r="C126" s="9">
        <v>1</v>
      </c>
      <c r="D126" s="14">
        <f t="shared" ca="1" si="2"/>
        <v>0</v>
      </c>
      <c r="E126" s="15">
        <f t="shared" ca="1" si="3"/>
        <v>0</v>
      </c>
    </row>
    <row r="127" spans="1:5" x14ac:dyDescent="0.25">
      <c r="A127" s="8">
        <f ca="1">INDEX(Stations,INT((ROWS(A$2:A127)-1)/(DATE(YEAR(Invoer!$A$5),12,31)-DATE(YEAR(Invoer!$A$5),1,1)+1))+2,1)</f>
        <v>73</v>
      </c>
      <c r="B127" t="str">
        <f ca="1">TEXT(DATE(YEAR(Invoer!$A$5),1,1)+MOD(ROWS(B$2:B127)-1,DATE(YEAR(Invoer!$A$5),12,31)-DATE(YEAR(Invoer!$A$5),1,1)+1),"jjjjmmdd")</f>
        <v>19450506</v>
      </c>
      <c r="C127" s="9">
        <v>1</v>
      </c>
      <c r="D127" s="14">
        <f t="shared" ca="1" si="2"/>
        <v>0</v>
      </c>
      <c r="E127" s="15">
        <f t="shared" ca="1" si="3"/>
        <v>0</v>
      </c>
    </row>
    <row r="128" spans="1:5" x14ac:dyDescent="0.25">
      <c r="A128" s="8">
        <f ca="1">INDEX(Stations,INT((ROWS(A$2:A128)-1)/(DATE(YEAR(Invoer!$A$5),12,31)-DATE(YEAR(Invoer!$A$5),1,1)+1))+2,1)</f>
        <v>73</v>
      </c>
      <c r="B128" t="str">
        <f ca="1">TEXT(DATE(YEAR(Invoer!$A$5),1,1)+MOD(ROWS(B$2:B128)-1,DATE(YEAR(Invoer!$A$5),12,31)-DATE(YEAR(Invoer!$A$5),1,1)+1),"jjjjmmdd")</f>
        <v>19450507</v>
      </c>
      <c r="C128" s="9">
        <v>1</v>
      </c>
      <c r="D128" s="14">
        <f t="shared" ca="1" si="2"/>
        <v>0</v>
      </c>
      <c r="E128" s="15">
        <f t="shared" ca="1" si="3"/>
        <v>0</v>
      </c>
    </row>
    <row r="129" spans="1:5" x14ac:dyDescent="0.25">
      <c r="A129" s="8">
        <f ca="1">INDEX(Stations,INT((ROWS(A$2:A129)-1)/(DATE(YEAR(Invoer!$A$5),12,31)-DATE(YEAR(Invoer!$A$5),1,1)+1))+2,1)</f>
        <v>73</v>
      </c>
      <c r="B129" t="str">
        <f ca="1">TEXT(DATE(YEAR(Invoer!$A$5),1,1)+MOD(ROWS(B$2:B129)-1,DATE(YEAR(Invoer!$A$5),12,31)-DATE(YEAR(Invoer!$A$5),1,1)+1),"jjjjmmdd")</f>
        <v>19450508</v>
      </c>
      <c r="C129" s="9">
        <v>1</v>
      </c>
      <c r="D129" s="14">
        <f t="shared" ca="1" si="2"/>
        <v>40</v>
      </c>
      <c r="E129" s="15">
        <f t="shared" ca="1" si="3"/>
        <v>0</v>
      </c>
    </row>
    <row r="130" spans="1:5" x14ac:dyDescent="0.25">
      <c r="A130" s="8">
        <f ca="1">INDEX(Stations,INT((ROWS(A$2:A130)-1)/(DATE(YEAR(Invoer!$A$5),12,31)-DATE(YEAR(Invoer!$A$5),1,1)+1))+2,1)</f>
        <v>73</v>
      </c>
      <c r="B130" t="str">
        <f ca="1">TEXT(DATE(YEAR(Invoer!$A$5),1,1)+MOD(ROWS(B$2:B130)-1,DATE(YEAR(Invoer!$A$5),12,31)-DATE(YEAR(Invoer!$A$5),1,1)+1),"jjjjmmdd")</f>
        <v>19450509</v>
      </c>
      <c r="C130" s="9">
        <v>1</v>
      </c>
      <c r="D130" s="14">
        <f t="shared" ref="D130:D193" ca="1" si="4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"—",VLOOKUP(DATEVALUE(LEFT(B130,4)&amp;"-"&amp;MID(B130,5,2)&amp;"-"&amp;RIGHT(B130,2)),Data,MATCH(VLOOKUP(A130,Stations,2,FALSE()),OFFSET(Data,1,0,1),0),FALSE()))</f>
        <v>0</v>
      </c>
      <c r="E130" s="15">
        <f t="shared" ref="E130:E193" ca="1" si="5">IF(OR(ISBLANK(VLOOKUP(DATEVALUE(LEFT(B130,4)&amp;"-"&amp;MID(B130,5,2)&amp;"-"&amp;RIGHT(B130,2)),Data,MATCH(VLOOKUP(A130,Stations,2,FALSE()),OFFSET(Data,1,0,1),0),FALSE())),ISTEXT(VLOOKUP(DATEVALUE(LEFT(B130,4)&amp;"-"&amp;MID(B130,5,2)&amp;"-"&amp;RIGHT(B130,2)),Data,MATCH(VLOOKUP(A130,Stations,2,FALSE()),OFFSET(Data,1,0,1),0),FALSE()))),Lacking,IF(ISNA(MATCH(DATEVALUE(LEFT(B130,4)&amp;"-"&amp;MID(B130,5,2)&amp;"-"&amp;RIGHT(B130,2)),OFFSET(Catalogus,0,0,,1),0)),Ok,VLOOKUP(DATEVALUE(LEFT(B130,4)&amp;"-"&amp;MID(B130,5,2)&amp;"-"&amp;RIGHT(B130,2)),Catalogus,MATCH(VLOOKUP(A130,Stations,2,FALSE()),OFFSET(Catalogus,1,0,1),0),FALSE())))</f>
        <v>0</v>
      </c>
    </row>
    <row r="131" spans="1:5" x14ac:dyDescent="0.25">
      <c r="A131" s="8">
        <f ca="1">INDEX(Stations,INT((ROWS(A$2:A131)-1)/(DATE(YEAR(Invoer!$A$5),12,31)-DATE(YEAR(Invoer!$A$5),1,1)+1))+2,1)</f>
        <v>73</v>
      </c>
      <c r="B131" t="str">
        <f ca="1">TEXT(DATE(YEAR(Invoer!$A$5),1,1)+MOD(ROWS(B$2:B131)-1,DATE(YEAR(Invoer!$A$5),12,31)-DATE(YEAR(Invoer!$A$5),1,1)+1),"jjjjmmdd")</f>
        <v>19450510</v>
      </c>
      <c r="C131" s="9">
        <v>1</v>
      </c>
      <c r="D131" s="14">
        <f t="shared" ca="1" si="4"/>
        <v>0</v>
      </c>
      <c r="E131" s="15">
        <f t="shared" ca="1" si="5"/>
        <v>0</v>
      </c>
    </row>
    <row r="132" spans="1:5" x14ac:dyDescent="0.25">
      <c r="A132" s="8">
        <f ca="1">INDEX(Stations,INT((ROWS(A$2:A132)-1)/(DATE(YEAR(Invoer!$A$5),12,31)-DATE(YEAR(Invoer!$A$5),1,1)+1))+2,1)</f>
        <v>73</v>
      </c>
      <c r="B132" t="str">
        <f ca="1">TEXT(DATE(YEAR(Invoer!$A$5),1,1)+MOD(ROWS(B$2:B132)-1,DATE(YEAR(Invoer!$A$5),12,31)-DATE(YEAR(Invoer!$A$5),1,1)+1),"jjjjmmdd")</f>
        <v>19450511</v>
      </c>
      <c r="C132" s="9">
        <v>1</v>
      </c>
      <c r="D132" s="14">
        <f t="shared" ca="1" si="4"/>
        <v>200</v>
      </c>
      <c r="E132" s="15">
        <f t="shared" ca="1" si="5"/>
        <v>0</v>
      </c>
    </row>
    <row r="133" spans="1:5" x14ac:dyDescent="0.25">
      <c r="A133" s="8">
        <f ca="1">INDEX(Stations,INT((ROWS(A$2:A133)-1)/(DATE(YEAR(Invoer!$A$5),12,31)-DATE(YEAR(Invoer!$A$5),1,1)+1))+2,1)</f>
        <v>73</v>
      </c>
      <c r="B133" t="str">
        <f ca="1">TEXT(DATE(YEAR(Invoer!$A$5),1,1)+MOD(ROWS(B$2:B133)-1,DATE(YEAR(Invoer!$A$5),12,31)-DATE(YEAR(Invoer!$A$5),1,1)+1),"jjjjmmdd")</f>
        <v>19450512</v>
      </c>
      <c r="C133" s="9">
        <v>1</v>
      </c>
      <c r="D133" s="14">
        <f t="shared" ca="1" si="4"/>
        <v>450</v>
      </c>
      <c r="E133" s="15">
        <f t="shared" ca="1" si="5"/>
        <v>0</v>
      </c>
    </row>
    <row r="134" spans="1:5" x14ac:dyDescent="0.25">
      <c r="A134" s="8">
        <f ca="1">INDEX(Stations,INT((ROWS(A$2:A134)-1)/(DATE(YEAR(Invoer!$A$5),12,31)-DATE(YEAR(Invoer!$A$5),1,1)+1))+2,1)</f>
        <v>73</v>
      </c>
      <c r="B134" t="str">
        <f ca="1">TEXT(DATE(YEAR(Invoer!$A$5),1,1)+MOD(ROWS(B$2:B134)-1,DATE(YEAR(Invoer!$A$5),12,31)-DATE(YEAR(Invoer!$A$5),1,1)+1),"jjjjmmdd")</f>
        <v>19450513</v>
      </c>
      <c r="C134" s="9">
        <v>1</v>
      </c>
      <c r="D134" s="14">
        <f t="shared" ca="1" si="4"/>
        <v>62</v>
      </c>
      <c r="E134" s="15">
        <f t="shared" ca="1" si="5"/>
        <v>0</v>
      </c>
    </row>
    <row r="135" spans="1:5" x14ac:dyDescent="0.25">
      <c r="A135" s="8">
        <f ca="1">INDEX(Stations,INT((ROWS(A$2:A135)-1)/(DATE(YEAR(Invoer!$A$5),12,31)-DATE(YEAR(Invoer!$A$5),1,1)+1))+2,1)</f>
        <v>73</v>
      </c>
      <c r="B135" t="str">
        <f ca="1">TEXT(DATE(YEAR(Invoer!$A$5),1,1)+MOD(ROWS(B$2:B135)-1,DATE(YEAR(Invoer!$A$5),12,31)-DATE(YEAR(Invoer!$A$5),1,1)+1),"jjjjmmdd")</f>
        <v>19450514</v>
      </c>
      <c r="C135" s="9">
        <v>1</v>
      </c>
      <c r="D135" s="14">
        <f t="shared" ca="1" si="4"/>
        <v>0</v>
      </c>
      <c r="E135" s="15">
        <f t="shared" ca="1" si="5"/>
        <v>0</v>
      </c>
    </row>
    <row r="136" spans="1:5" x14ac:dyDescent="0.25">
      <c r="A136" s="8">
        <f ca="1">INDEX(Stations,INT((ROWS(A$2:A136)-1)/(DATE(YEAR(Invoer!$A$5),12,31)-DATE(YEAR(Invoer!$A$5),1,1)+1))+2,1)</f>
        <v>73</v>
      </c>
      <c r="B136" t="str">
        <f ca="1">TEXT(DATE(YEAR(Invoer!$A$5),1,1)+MOD(ROWS(B$2:B136)-1,DATE(YEAR(Invoer!$A$5),12,31)-DATE(YEAR(Invoer!$A$5),1,1)+1),"jjjjmmdd")</f>
        <v>19450515</v>
      </c>
      <c r="C136" s="9">
        <v>1</v>
      </c>
      <c r="D136" s="14">
        <f t="shared" ca="1" si="4"/>
        <v>0</v>
      </c>
      <c r="E136" s="15">
        <f t="shared" ca="1" si="5"/>
        <v>0</v>
      </c>
    </row>
    <row r="137" spans="1:5" x14ac:dyDescent="0.25">
      <c r="A137" s="8">
        <f ca="1">INDEX(Stations,INT((ROWS(A$2:A137)-1)/(DATE(YEAR(Invoer!$A$5),12,31)-DATE(YEAR(Invoer!$A$5),1,1)+1))+2,1)</f>
        <v>73</v>
      </c>
      <c r="B137" t="str">
        <f ca="1">TEXT(DATE(YEAR(Invoer!$A$5),1,1)+MOD(ROWS(B$2:B137)-1,DATE(YEAR(Invoer!$A$5),12,31)-DATE(YEAR(Invoer!$A$5),1,1)+1),"jjjjmmdd")</f>
        <v>19450516</v>
      </c>
      <c r="C137" s="9">
        <v>1</v>
      </c>
      <c r="D137" s="14">
        <f t="shared" ca="1" si="4"/>
        <v>0</v>
      </c>
      <c r="E137" s="15">
        <f t="shared" ca="1" si="5"/>
        <v>0</v>
      </c>
    </row>
    <row r="138" spans="1:5" x14ac:dyDescent="0.25">
      <c r="A138" s="8">
        <f ca="1">INDEX(Stations,INT((ROWS(A$2:A138)-1)/(DATE(YEAR(Invoer!$A$5),12,31)-DATE(YEAR(Invoer!$A$5),1,1)+1))+2,1)</f>
        <v>73</v>
      </c>
      <c r="B138" t="str">
        <f ca="1">TEXT(DATE(YEAR(Invoer!$A$5),1,1)+MOD(ROWS(B$2:B138)-1,DATE(YEAR(Invoer!$A$5),12,31)-DATE(YEAR(Invoer!$A$5),1,1)+1),"jjjjmmdd")</f>
        <v>19450517</v>
      </c>
      <c r="C138" s="9">
        <v>1</v>
      </c>
      <c r="D138" s="14">
        <f t="shared" ca="1" si="4"/>
        <v>26</v>
      </c>
      <c r="E138" s="15">
        <f t="shared" ca="1" si="5"/>
        <v>0</v>
      </c>
    </row>
    <row r="139" spans="1:5" x14ac:dyDescent="0.25">
      <c r="A139" s="8">
        <f ca="1">INDEX(Stations,INT((ROWS(A$2:A139)-1)/(DATE(YEAR(Invoer!$A$5),12,31)-DATE(YEAR(Invoer!$A$5),1,1)+1))+2,1)</f>
        <v>73</v>
      </c>
      <c r="B139" t="str">
        <f ca="1">TEXT(DATE(YEAR(Invoer!$A$5),1,1)+MOD(ROWS(B$2:B139)-1,DATE(YEAR(Invoer!$A$5),12,31)-DATE(YEAR(Invoer!$A$5),1,1)+1),"jjjjmmdd")</f>
        <v>19450518</v>
      </c>
      <c r="C139" s="9">
        <v>1</v>
      </c>
      <c r="D139" s="14">
        <f t="shared" ca="1" si="4"/>
        <v>13</v>
      </c>
      <c r="E139" s="15">
        <f t="shared" ca="1" si="5"/>
        <v>0</v>
      </c>
    </row>
    <row r="140" spans="1:5" x14ac:dyDescent="0.25">
      <c r="A140" s="8">
        <f ca="1">INDEX(Stations,INT((ROWS(A$2:A140)-1)/(DATE(YEAR(Invoer!$A$5),12,31)-DATE(YEAR(Invoer!$A$5),1,1)+1))+2,1)</f>
        <v>73</v>
      </c>
      <c r="B140" t="str">
        <f ca="1">TEXT(DATE(YEAR(Invoer!$A$5),1,1)+MOD(ROWS(B$2:B140)-1,DATE(YEAR(Invoer!$A$5),12,31)-DATE(YEAR(Invoer!$A$5),1,1)+1),"jjjjmmdd")</f>
        <v>19450519</v>
      </c>
      <c r="C140" s="9">
        <v>1</v>
      </c>
      <c r="D140" s="14">
        <f t="shared" ca="1" si="4"/>
        <v>0</v>
      </c>
      <c r="E140" s="15">
        <f t="shared" ca="1" si="5"/>
        <v>0</v>
      </c>
    </row>
    <row r="141" spans="1:5" x14ac:dyDescent="0.25">
      <c r="A141" s="8">
        <f ca="1">INDEX(Stations,INT((ROWS(A$2:A141)-1)/(DATE(YEAR(Invoer!$A$5),12,31)-DATE(YEAR(Invoer!$A$5),1,1)+1))+2,1)</f>
        <v>73</v>
      </c>
      <c r="B141" t="str">
        <f ca="1">TEXT(DATE(YEAR(Invoer!$A$5),1,1)+MOD(ROWS(B$2:B141)-1,DATE(YEAR(Invoer!$A$5),12,31)-DATE(YEAR(Invoer!$A$5),1,1)+1),"jjjjmmdd")</f>
        <v>19450520</v>
      </c>
      <c r="C141" s="9">
        <v>1</v>
      </c>
      <c r="D141" s="14">
        <f t="shared" ca="1" si="4"/>
        <v>0</v>
      </c>
      <c r="E141" s="15">
        <f t="shared" ca="1" si="5"/>
        <v>0</v>
      </c>
    </row>
    <row r="142" spans="1:5" x14ac:dyDescent="0.25">
      <c r="A142" s="8">
        <f ca="1">INDEX(Stations,INT((ROWS(A$2:A142)-1)/(DATE(YEAR(Invoer!$A$5),12,31)-DATE(YEAR(Invoer!$A$5),1,1)+1))+2,1)</f>
        <v>73</v>
      </c>
      <c r="B142" t="str">
        <f ca="1">TEXT(DATE(YEAR(Invoer!$A$5),1,1)+MOD(ROWS(B$2:B142)-1,DATE(YEAR(Invoer!$A$5),12,31)-DATE(YEAR(Invoer!$A$5),1,1)+1),"jjjjmmdd")</f>
        <v>19450521</v>
      </c>
      <c r="C142" s="9">
        <v>1</v>
      </c>
      <c r="D142" s="14">
        <f t="shared" ca="1" si="4"/>
        <v>248</v>
      </c>
      <c r="E142" s="15">
        <f t="shared" ca="1" si="5"/>
        <v>0</v>
      </c>
    </row>
    <row r="143" spans="1:5" x14ac:dyDescent="0.25">
      <c r="A143" s="8">
        <f ca="1">INDEX(Stations,INT((ROWS(A$2:A143)-1)/(DATE(YEAR(Invoer!$A$5),12,31)-DATE(YEAR(Invoer!$A$5),1,1)+1))+2,1)</f>
        <v>73</v>
      </c>
      <c r="B143" t="str">
        <f ca="1">TEXT(DATE(YEAR(Invoer!$A$5),1,1)+MOD(ROWS(B$2:B143)-1,DATE(YEAR(Invoer!$A$5),12,31)-DATE(YEAR(Invoer!$A$5),1,1)+1),"jjjjmmdd")</f>
        <v>19450522</v>
      </c>
      <c r="C143" s="9">
        <v>1</v>
      </c>
      <c r="D143" s="14">
        <f t="shared" ca="1" si="4"/>
        <v>0</v>
      </c>
      <c r="E143" s="15">
        <f t="shared" ca="1" si="5"/>
        <v>0</v>
      </c>
    </row>
    <row r="144" spans="1:5" x14ac:dyDescent="0.25">
      <c r="A144" s="8">
        <f ca="1">INDEX(Stations,INT((ROWS(A$2:A144)-1)/(DATE(YEAR(Invoer!$A$5),12,31)-DATE(YEAR(Invoer!$A$5),1,1)+1))+2,1)</f>
        <v>73</v>
      </c>
      <c r="B144" t="str">
        <f ca="1">TEXT(DATE(YEAR(Invoer!$A$5),1,1)+MOD(ROWS(B$2:B144)-1,DATE(YEAR(Invoer!$A$5),12,31)-DATE(YEAR(Invoer!$A$5),1,1)+1),"jjjjmmdd")</f>
        <v>19450523</v>
      </c>
      <c r="C144" s="9">
        <v>1</v>
      </c>
      <c r="D144" s="14">
        <f t="shared" ca="1" si="4"/>
        <v>0</v>
      </c>
      <c r="E144" s="15">
        <f t="shared" ca="1" si="5"/>
        <v>0</v>
      </c>
    </row>
    <row r="145" spans="1:5" x14ac:dyDescent="0.25">
      <c r="A145" s="8">
        <f ca="1">INDEX(Stations,INT((ROWS(A$2:A145)-1)/(DATE(YEAR(Invoer!$A$5),12,31)-DATE(YEAR(Invoer!$A$5),1,1)+1))+2,1)</f>
        <v>73</v>
      </c>
      <c r="B145" t="str">
        <f ca="1">TEXT(DATE(YEAR(Invoer!$A$5),1,1)+MOD(ROWS(B$2:B145)-1,DATE(YEAR(Invoer!$A$5),12,31)-DATE(YEAR(Invoer!$A$5),1,1)+1),"jjjjmmdd")</f>
        <v>19450524</v>
      </c>
      <c r="C145" s="9">
        <v>1</v>
      </c>
      <c r="D145" s="14">
        <f t="shared" ca="1" si="4"/>
        <v>0</v>
      </c>
      <c r="E145" s="15">
        <f t="shared" ca="1" si="5"/>
        <v>0</v>
      </c>
    </row>
    <row r="146" spans="1:5" x14ac:dyDescent="0.25">
      <c r="A146" s="8">
        <f ca="1">INDEX(Stations,INT((ROWS(A$2:A146)-1)/(DATE(YEAR(Invoer!$A$5),12,31)-DATE(YEAR(Invoer!$A$5),1,1)+1))+2,1)</f>
        <v>73</v>
      </c>
      <c r="B146" t="str">
        <f ca="1">TEXT(DATE(YEAR(Invoer!$A$5),1,1)+MOD(ROWS(B$2:B146)-1,DATE(YEAR(Invoer!$A$5),12,31)-DATE(YEAR(Invoer!$A$5),1,1)+1),"jjjjmmdd")</f>
        <v>19450525</v>
      </c>
      <c r="C146" s="9">
        <v>1</v>
      </c>
      <c r="D146" s="14">
        <f t="shared" ca="1" si="4"/>
        <v>0</v>
      </c>
      <c r="E146" s="15">
        <f t="shared" ca="1" si="5"/>
        <v>0</v>
      </c>
    </row>
    <row r="147" spans="1:5" x14ac:dyDescent="0.25">
      <c r="A147" s="8">
        <f ca="1">INDEX(Stations,INT((ROWS(A$2:A147)-1)/(DATE(YEAR(Invoer!$A$5),12,31)-DATE(YEAR(Invoer!$A$5),1,1)+1))+2,1)</f>
        <v>73</v>
      </c>
      <c r="B147" t="str">
        <f ca="1">TEXT(DATE(YEAR(Invoer!$A$5),1,1)+MOD(ROWS(B$2:B147)-1,DATE(YEAR(Invoer!$A$5),12,31)-DATE(YEAR(Invoer!$A$5),1,1)+1),"jjjjmmdd")</f>
        <v>19450526</v>
      </c>
      <c r="C147" s="9">
        <v>1</v>
      </c>
      <c r="D147" s="14">
        <f t="shared" ca="1" si="4"/>
        <v>0</v>
      </c>
      <c r="E147" s="15">
        <f t="shared" ca="1" si="5"/>
        <v>0</v>
      </c>
    </row>
    <row r="148" spans="1:5" x14ac:dyDescent="0.25">
      <c r="A148" s="8">
        <f ca="1">INDEX(Stations,INT((ROWS(A$2:A148)-1)/(DATE(YEAR(Invoer!$A$5),12,31)-DATE(YEAR(Invoer!$A$5),1,1)+1))+2,1)</f>
        <v>73</v>
      </c>
      <c r="B148" t="str">
        <f ca="1">TEXT(DATE(YEAR(Invoer!$A$5),1,1)+MOD(ROWS(B$2:B148)-1,DATE(YEAR(Invoer!$A$5),12,31)-DATE(YEAR(Invoer!$A$5),1,1)+1),"jjjjmmdd")</f>
        <v>19450527</v>
      </c>
      <c r="C148" s="9">
        <v>1</v>
      </c>
      <c r="D148" s="14">
        <f t="shared" ca="1" si="4"/>
        <v>0</v>
      </c>
      <c r="E148" s="15">
        <f t="shared" ca="1" si="5"/>
        <v>0</v>
      </c>
    </row>
    <row r="149" spans="1:5" x14ac:dyDescent="0.25">
      <c r="A149" s="8">
        <f ca="1">INDEX(Stations,INT((ROWS(A$2:A149)-1)/(DATE(YEAR(Invoer!$A$5),12,31)-DATE(YEAR(Invoer!$A$5),1,1)+1))+2,1)</f>
        <v>73</v>
      </c>
      <c r="B149" t="str">
        <f ca="1">TEXT(DATE(YEAR(Invoer!$A$5),1,1)+MOD(ROWS(B$2:B149)-1,DATE(YEAR(Invoer!$A$5),12,31)-DATE(YEAR(Invoer!$A$5),1,1)+1),"jjjjmmdd")</f>
        <v>19450528</v>
      </c>
      <c r="C149" s="9">
        <v>1</v>
      </c>
      <c r="D149" s="14">
        <f t="shared" ca="1" si="4"/>
        <v>54</v>
      </c>
      <c r="E149" s="15">
        <f t="shared" ca="1" si="5"/>
        <v>0</v>
      </c>
    </row>
    <row r="150" spans="1:5" x14ac:dyDescent="0.25">
      <c r="A150" s="8">
        <f ca="1">INDEX(Stations,INT((ROWS(A$2:A150)-1)/(DATE(YEAR(Invoer!$A$5),12,31)-DATE(YEAR(Invoer!$A$5),1,1)+1))+2,1)</f>
        <v>73</v>
      </c>
      <c r="B150" t="str">
        <f ca="1">TEXT(DATE(YEAR(Invoer!$A$5),1,1)+MOD(ROWS(B$2:B150)-1,DATE(YEAR(Invoer!$A$5),12,31)-DATE(YEAR(Invoer!$A$5),1,1)+1),"jjjjmmdd")</f>
        <v>19450529</v>
      </c>
      <c r="C150" s="9">
        <v>1</v>
      </c>
      <c r="D150" s="14">
        <f t="shared" ca="1" si="4"/>
        <v>55</v>
      </c>
      <c r="E150" s="15">
        <f t="shared" ca="1" si="5"/>
        <v>0</v>
      </c>
    </row>
    <row r="151" spans="1:5" x14ac:dyDescent="0.25">
      <c r="A151" s="8">
        <f ca="1">INDEX(Stations,INT((ROWS(A$2:A151)-1)/(DATE(YEAR(Invoer!$A$5),12,31)-DATE(YEAR(Invoer!$A$5),1,1)+1))+2,1)</f>
        <v>73</v>
      </c>
      <c r="B151" t="str">
        <f ca="1">TEXT(DATE(YEAR(Invoer!$A$5),1,1)+MOD(ROWS(B$2:B151)-1,DATE(YEAR(Invoer!$A$5),12,31)-DATE(YEAR(Invoer!$A$5),1,1)+1),"jjjjmmdd")</f>
        <v>19450530</v>
      </c>
      <c r="C151" s="9">
        <v>1</v>
      </c>
      <c r="D151" s="14">
        <f t="shared" ca="1" si="4"/>
        <v>0</v>
      </c>
      <c r="E151" s="15">
        <f t="shared" ca="1" si="5"/>
        <v>0</v>
      </c>
    </row>
    <row r="152" spans="1:5" x14ac:dyDescent="0.25">
      <c r="A152" s="8">
        <f ca="1">INDEX(Stations,INT((ROWS(A$2:A152)-1)/(DATE(YEAR(Invoer!$A$5),12,31)-DATE(YEAR(Invoer!$A$5),1,1)+1))+2,1)</f>
        <v>73</v>
      </c>
      <c r="B152" t="str">
        <f ca="1">TEXT(DATE(YEAR(Invoer!$A$5),1,1)+MOD(ROWS(B$2:B152)-1,DATE(YEAR(Invoer!$A$5),12,31)-DATE(YEAR(Invoer!$A$5),1,1)+1),"jjjjmmdd")</f>
        <v>19450531</v>
      </c>
      <c r="C152" s="9">
        <v>1</v>
      </c>
      <c r="D152" s="14">
        <f t="shared" ca="1" si="4"/>
        <v>0</v>
      </c>
      <c r="E152" s="15">
        <f t="shared" ca="1" si="5"/>
        <v>0</v>
      </c>
    </row>
    <row r="153" spans="1:5" x14ac:dyDescent="0.25">
      <c r="A153" s="8">
        <f ca="1">INDEX(Stations,INT((ROWS(A$2:A153)-1)/(DATE(YEAR(Invoer!$A$5),12,31)-DATE(YEAR(Invoer!$A$5),1,1)+1))+2,1)</f>
        <v>73</v>
      </c>
      <c r="B153" t="str">
        <f ca="1">TEXT(DATE(YEAR(Invoer!$A$5),1,1)+MOD(ROWS(B$2:B153)-1,DATE(YEAR(Invoer!$A$5),12,31)-DATE(YEAR(Invoer!$A$5),1,1)+1),"jjjjmmdd")</f>
        <v>19450601</v>
      </c>
      <c r="C153" s="9">
        <v>1</v>
      </c>
      <c r="D153" s="14">
        <f t="shared" ca="1" si="4"/>
        <v>0</v>
      </c>
      <c r="E153" s="15">
        <f t="shared" ca="1" si="5"/>
        <v>0</v>
      </c>
    </row>
    <row r="154" spans="1:5" x14ac:dyDescent="0.25">
      <c r="A154" s="8">
        <f ca="1">INDEX(Stations,INT((ROWS(A$2:A154)-1)/(DATE(YEAR(Invoer!$A$5),12,31)-DATE(YEAR(Invoer!$A$5),1,1)+1))+2,1)</f>
        <v>73</v>
      </c>
      <c r="B154" t="str">
        <f ca="1">TEXT(DATE(YEAR(Invoer!$A$5),1,1)+MOD(ROWS(B$2:B154)-1,DATE(YEAR(Invoer!$A$5),12,31)-DATE(YEAR(Invoer!$A$5),1,1)+1),"jjjjmmdd")</f>
        <v>19450602</v>
      </c>
      <c r="C154" s="9">
        <v>1</v>
      </c>
      <c r="D154" s="14">
        <f t="shared" ca="1" si="4"/>
        <v>0</v>
      </c>
      <c r="E154" s="15">
        <f t="shared" ca="1" si="5"/>
        <v>0</v>
      </c>
    </row>
    <row r="155" spans="1:5" x14ac:dyDescent="0.25">
      <c r="A155" s="8">
        <f ca="1">INDEX(Stations,INT((ROWS(A$2:A155)-1)/(DATE(YEAR(Invoer!$A$5),12,31)-DATE(YEAR(Invoer!$A$5),1,1)+1))+2,1)</f>
        <v>73</v>
      </c>
      <c r="B155" t="str">
        <f ca="1">TEXT(DATE(YEAR(Invoer!$A$5),1,1)+MOD(ROWS(B$2:B155)-1,DATE(YEAR(Invoer!$A$5),12,31)-DATE(YEAR(Invoer!$A$5),1,1)+1),"jjjjmmdd")</f>
        <v>19450603</v>
      </c>
      <c r="C155" s="9">
        <v>1</v>
      </c>
      <c r="D155" s="14">
        <f t="shared" ca="1" si="4"/>
        <v>0</v>
      </c>
      <c r="E155" s="15">
        <f t="shared" ca="1" si="5"/>
        <v>0</v>
      </c>
    </row>
    <row r="156" spans="1:5" x14ac:dyDescent="0.25">
      <c r="A156" s="8">
        <f ca="1">INDEX(Stations,INT((ROWS(A$2:A156)-1)/(DATE(YEAR(Invoer!$A$5),12,31)-DATE(YEAR(Invoer!$A$5),1,1)+1))+2,1)</f>
        <v>73</v>
      </c>
      <c r="B156" t="str">
        <f ca="1">TEXT(DATE(YEAR(Invoer!$A$5),1,1)+MOD(ROWS(B$2:B156)-1,DATE(YEAR(Invoer!$A$5),12,31)-DATE(YEAR(Invoer!$A$5),1,1)+1),"jjjjmmdd")</f>
        <v>19450604</v>
      </c>
      <c r="C156" s="9">
        <v>1</v>
      </c>
      <c r="D156" s="14">
        <f t="shared" ca="1" si="4"/>
        <v>36</v>
      </c>
      <c r="E156" s="15">
        <f t="shared" ca="1" si="5"/>
        <v>0</v>
      </c>
    </row>
    <row r="157" spans="1:5" x14ac:dyDescent="0.25">
      <c r="A157" s="8">
        <f ca="1">INDEX(Stations,INT((ROWS(A$2:A157)-1)/(DATE(YEAR(Invoer!$A$5),12,31)-DATE(YEAR(Invoer!$A$5),1,1)+1))+2,1)</f>
        <v>73</v>
      </c>
      <c r="B157" t="str">
        <f ca="1">TEXT(DATE(YEAR(Invoer!$A$5),1,1)+MOD(ROWS(B$2:B157)-1,DATE(YEAR(Invoer!$A$5),12,31)-DATE(YEAR(Invoer!$A$5),1,1)+1),"jjjjmmdd")</f>
        <v>19450605</v>
      </c>
      <c r="C157" s="9">
        <v>1</v>
      </c>
      <c r="D157" s="14">
        <f t="shared" ca="1" si="4"/>
        <v>0</v>
      </c>
      <c r="E157" s="15">
        <f t="shared" ca="1" si="5"/>
        <v>0</v>
      </c>
    </row>
    <row r="158" spans="1:5" x14ac:dyDescent="0.25">
      <c r="A158" s="8">
        <f ca="1">INDEX(Stations,INT((ROWS(A$2:A158)-1)/(DATE(YEAR(Invoer!$A$5),12,31)-DATE(YEAR(Invoer!$A$5),1,1)+1))+2,1)</f>
        <v>73</v>
      </c>
      <c r="B158" t="str">
        <f ca="1">TEXT(DATE(YEAR(Invoer!$A$5),1,1)+MOD(ROWS(B$2:B158)-1,DATE(YEAR(Invoer!$A$5),12,31)-DATE(YEAR(Invoer!$A$5),1,1)+1),"jjjjmmdd")</f>
        <v>19450606</v>
      </c>
      <c r="C158" s="9">
        <v>1</v>
      </c>
      <c r="D158" s="14">
        <f t="shared" ca="1" si="4"/>
        <v>0</v>
      </c>
      <c r="E158" s="15">
        <f t="shared" ca="1" si="5"/>
        <v>0</v>
      </c>
    </row>
    <row r="159" spans="1:5" x14ac:dyDescent="0.25">
      <c r="A159" s="8">
        <f ca="1">INDEX(Stations,INT((ROWS(A$2:A159)-1)/(DATE(YEAR(Invoer!$A$5),12,31)-DATE(YEAR(Invoer!$A$5),1,1)+1))+2,1)</f>
        <v>73</v>
      </c>
      <c r="B159" t="str">
        <f ca="1">TEXT(DATE(YEAR(Invoer!$A$5),1,1)+MOD(ROWS(B$2:B159)-1,DATE(YEAR(Invoer!$A$5),12,31)-DATE(YEAR(Invoer!$A$5),1,1)+1),"jjjjmmdd")</f>
        <v>19450607</v>
      </c>
      <c r="C159" s="9">
        <v>1</v>
      </c>
      <c r="D159" s="14">
        <f t="shared" ca="1" si="4"/>
        <v>0</v>
      </c>
      <c r="E159" s="15">
        <f t="shared" ca="1" si="5"/>
        <v>0</v>
      </c>
    </row>
    <row r="160" spans="1:5" x14ac:dyDescent="0.25">
      <c r="A160" s="8">
        <f ca="1">INDEX(Stations,INT((ROWS(A$2:A160)-1)/(DATE(YEAR(Invoer!$A$5),12,31)-DATE(YEAR(Invoer!$A$5),1,1)+1))+2,1)</f>
        <v>73</v>
      </c>
      <c r="B160" t="str">
        <f ca="1">TEXT(DATE(YEAR(Invoer!$A$5),1,1)+MOD(ROWS(B$2:B160)-1,DATE(YEAR(Invoer!$A$5),12,31)-DATE(YEAR(Invoer!$A$5),1,1)+1),"jjjjmmdd")</f>
        <v>19450608</v>
      </c>
      <c r="C160" s="9">
        <v>1</v>
      </c>
      <c r="D160" s="14">
        <f t="shared" ca="1" si="4"/>
        <v>0</v>
      </c>
      <c r="E160" s="15">
        <f t="shared" ca="1" si="5"/>
        <v>0</v>
      </c>
    </row>
    <row r="161" spans="1:5" x14ac:dyDescent="0.25">
      <c r="A161" s="8">
        <f ca="1">INDEX(Stations,INT((ROWS(A$2:A161)-1)/(DATE(YEAR(Invoer!$A$5),12,31)-DATE(YEAR(Invoer!$A$5),1,1)+1))+2,1)</f>
        <v>73</v>
      </c>
      <c r="B161" t="str">
        <f ca="1">TEXT(DATE(YEAR(Invoer!$A$5),1,1)+MOD(ROWS(B$2:B161)-1,DATE(YEAR(Invoer!$A$5),12,31)-DATE(YEAR(Invoer!$A$5),1,1)+1),"jjjjmmdd")</f>
        <v>19450609</v>
      </c>
      <c r="C161" s="9">
        <v>1</v>
      </c>
      <c r="D161" s="14">
        <f t="shared" ca="1" si="4"/>
        <v>0</v>
      </c>
      <c r="E161" s="15">
        <f t="shared" ca="1" si="5"/>
        <v>0</v>
      </c>
    </row>
    <row r="162" spans="1:5" x14ac:dyDescent="0.25">
      <c r="A162" s="8">
        <f ca="1">INDEX(Stations,INT((ROWS(A$2:A162)-1)/(DATE(YEAR(Invoer!$A$5),12,31)-DATE(YEAR(Invoer!$A$5),1,1)+1))+2,1)</f>
        <v>73</v>
      </c>
      <c r="B162" t="str">
        <f ca="1">TEXT(DATE(YEAR(Invoer!$A$5),1,1)+MOD(ROWS(B$2:B162)-1,DATE(YEAR(Invoer!$A$5),12,31)-DATE(YEAR(Invoer!$A$5),1,1)+1),"jjjjmmdd")</f>
        <v>19450610</v>
      </c>
      <c r="C162" s="9">
        <v>1</v>
      </c>
      <c r="D162" s="14">
        <f t="shared" ca="1" si="4"/>
        <v>0</v>
      </c>
      <c r="E162" s="15">
        <f t="shared" ca="1" si="5"/>
        <v>0</v>
      </c>
    </row>
    <row r="163" spans="1:5" x14ac:dyDescent="0.25">
      <c r="A163" s="8">
        <f ca="1">INDEX(Stations,INT((ROWS(A$2:A163)-1)/(DATE(YEAR(Invoer!$A$5),12,31)-DATE(YEAR(Invoer!$A$5),1,1)+1))+2,1)</f>
        <v>73</v>
      </c>
      <c r="B163" t="str">
        <f ca="1">TEXT(DATE(YEAR(Invoer!$A$5),1,1)+MOD(ROWS(B$2:B163)-1,DATE(YEAR(Invoer!$A$5),12,31)-DATE(YEAR(Invoer!$A$5),1,1)+1),"jjjjmmdd")</f>
        <v>19450611</v>
      </c>
      <c r="C163" s="9">
        <v>1</v>
      </c>
      <c r="D163" s="14">
        <f t="shared" ca="1" si="4"/>
        <v>0</v>
      </c>
      <c r="E163" s="15">
        <f t="shared" ca="1" si="5"/>
        <v>0</v>
      </c>
    </row>
    <row r="164" spans="1:5" x14ac:dyDescent="0.25">
      <c r="A164" s="8">
        <f ca="1">INDEX(Stations,INT((ROWS(A$2:A164)-1)/(DATE(YEAR(Invoer!$A$5),12,31)-DATE(YEAR(Invoer!$A$5),1,1)+1))+2,1)</f>
        <v>73</v>
      </c>
      <c r="B164" t="str">
        <f ca="1">TEXT(DATE(YEAR(Invoer!$A$5),1,1)+MOD(ROWS(B$2:B164)-1,DATE(YEAR(Invoer!$A$5),12,31)-DATE(YEAR(Invoer!$A$5),1,1)+1),"jjjjmmdd")</f>
        <v>19450612</v>
      </c>
      <c r="C164" s="9">
        <v>1</v>
      </c>
      <c r="D164" s="14">
        <f t="shared" ca="1" si="4"/>
        <v>23</v>
      </c>
      <c r="E164" s="15">
        <f t="shared" ca="1" si="5"/>
        <v>0</v>
      </c>
    </row>
    <row r="165" spans="1:5" x14ac:dyDescent="0.25">
      <c r="A165" s="8">
        <f ca="1">INDEX(Stations,INT((ROWS(A$2:A165)-1)/(DATE(YEAR(Invoer!$A$5),12,31)-DATE(YEAR(Invoer!$A$5),1,1)+1))+2,1)</f>
        <v>73</v>
      </c>
      <c r="B165" t="str">
        <f ca="1">TEXT(DATE(YEAR(Invoer!$A$5),1,1)+MOD(ROWS(B$2:B165)-1,DATE(YEAR(Invoer!$A$5),12,31)-DATE(YEAR(Invoer!$A$5),1,1)+1),"jjjjmmdd")</f>
        <v>19450613</v>
      </c>
      <c r="C165" s="9">
        <v>1</v>
      </c>
      <c r="D165" s="14">
        <f t="shared" ca="1" si="4"/>
        <v>0</v>
      </c>
      <c r="E165" s="15">
        <f t="shared" ca="1" si="5"/>
        <v>0</v>
      </c>
    </row>
    <row r="166" spans="1:5" x14ac:dyDescent="0.25">
      <c r="A166" s="8">
        <f ca="1">INDEX(Stations,INT((ROWS(A$2:A166)-1)/(DATE(YEAR(Invoer!$A$5),12,31)-DATE(YEAR(Invoer!$A$5),1,1)+1))+2,1)</f>
        <v>73</v>
      </c>
      <c r="B166" t="str">
        <f ca="1">TEXT(DATE(YEAR(Invoer!$A$5),1,1)+MOD(ROWS(B$2:B166)-1,DATE(YEAR(Invoer!$A$5),12,31)-DATE(YEAR(Invoer!$A$5),1,1)+1),"jjjjmmdd")</f>
        <v>19450614</v>
      </c>
      <c r="C166" s="9">
        <v>1</v>
      </c>
      <c r="D166" s="14">
        <f t="shared" ca="1" si="4"/>
        <v>0</v>
      </c>
      <c r="E166" s="15">
        <f t="shared" ca="1" si="5"/>
        <v>0</v>
      </c>
    </row>
    <row r="167" spans="1:5" x14ac:dyDescent="0.25">
      <c r="A167" s="8">
        <f ca="1">INDEX(Stations,INT((ROWS(A$2:A167)-1)/(DATE(YEAR(Invoer!$A$5),12,31)-DATE(YEAR(Invoer!$A$5),1,1)+1))+2,1)</f>
        <v>73</v>
      </c>
      <c r="B167" t="str">
        <f ca="1">TEXT(DATE(YEAR(Invoer!$A$5),1,1)+MOD(ROWS(B$2:B167)-1,DATE(YEAR(Invoer!$A$5),12,31)-DATE(YEAR(Invoer!$A$5),1,1)+1),"jjjjmmdd")</f>
        <v>19450615</v>
      </c>
      <c r="C167" s="9">
        <v>1</v>
      </c>
      <c r="D167" s="14">
        <f t="shared" ca="1" si="4"/>
        <v>0</v>
      </c>
      <c r="E167" s="15">
        <f t="shared" ca="1" si="5"/>
        <v>0</v>
      </c>
    </row>
    <row r="168" spans="1:5" x14ac:dyDescent="0.25">
      <c r="A168" s="8">
        <f ca="1">INDEX(Stations,INT((ROWS(A$2:A168)-1)/(DATE(YEAR(Invoer!$A$5),12,31)-DATE(YEAR(Invoer!$A$5),1,1)+1))+2,1)</f>
        <v>73</v>
      </c>
      <c r="B168" t="str">
        <f ca="1">TEXT(DATE(YEAR(Invoer!$A$5),1,1)+MOD(ROWS(B$2:B168)-1,DATE(YEAR(Invoer!$A$5),12,31)-DATE(YEAR(Invoer!$A$5),1,1)+1),"jjjjmmdd")</f>
        <v>19450616</v>
      </c>
      <c r="C168" s="9">
        <v>1</v>
      </c>
      <c r="D168" s="14">
        <f t="shared" ca="1" si="4"/>
        <v>0</v>
      </c>
      <c r="E168" s="15">
        <f t="shared" ca="1" si="5"/>
        <v>0</v>
      </c>
    </row>
    <row r="169" spans="1:5" x14ac:dyDescent="0.25">
      <c r="A169" s="8">
        <f ca="1">INDEX(Stations,INT((ROWS(A$2:A169)-1)/(DATE(YEAR(Invoer!$A$5),12,31)-DATE(YEAR(Invoer!$A$5),1,1)+1))+2,1)</f>
        <v>73</v>
      </c>
      <c r="B169" t="str">
        <f ca="1">TEXT(DATE(YEAR(Invoer!$A$5),1,1)+MOD(ROWS(B$2:B169)-1,DATE(YEAR(Invoer!$A$5),12,31)-DATE(YEAR(Invoer!$A$5),1,1)+1),"jjjjmmdd")</f>
        <v>19450617</v>
      </c>
      <c r="C169" s="9">
        <v>1</v>
      </c>
      <c r="D169" s="14">
        <f t="shared" ca="1" si="4"/>
        <v>25</v>
      </c>
      <c r="E169" s="15">
        <f t="shared" ca="1" si="5"/>
        <v>0</v>
      </c>
    </row>
    <row r="170" spans="1:5" x14ac:dyDescent="0.25">
      <c r="A170" s="8">
        <f ca="1">INDEX(Stations,INT((ROWS(A$2:A170)-1)/(DATE(YEAR(Invoer!$A$5),12,31)-DATE(YEAR(Invoer!$A$5),1,1)+1))+2,1)</f>
        <v>73</v>
      </c>
      <c r="B170" t="str">
        <f ca="1">TEXT(DATE(YEAR(Invoer!$A$5),1,1)+MOD(ROWS(B$2:B170)-1,DATE(YEAR(Invoer!$A$5),12,31)-DATE(YEAR(Invoer!$A$5),1,1)+1),"jjjjmmdd")</f>
        <v>19450618</v>
      </c>
      <c r="C170" s="9">
        <v>1</v>
      </c>
      <c r="D170" s="14">
        <f t="shared" ca="1" si="4"/>
        <v>74</v>
      </c>
      <c r="E170" s="15">
        <f t="shared" ca="1" si="5"/>
        <v>0</v>
      </c>
    </row>
    <row r="171" spans="1:5" x14ac:dyDescent="0.25">
      <c r="A171" s="8">
        <f ca="1">INDEX(Stations,INT((ROWS(A$2:A171)-1)/(DATE(YEAR(Invoer!$A$5),12,31)-DATE(YEAR(Invoer!$A$5),1,1)+1))+2,1)</f>
        <v>73</v>
      </c>
      <c r="B171" t="str">
        <f ca="1">TEXT(DATE(YEAR(Invoer!$A$5),1,1)+MOD(ROWS(B$2:B171)-1,DATE(YEAR(Invoer!$A$5),12,31)-DATE(YEAR(Invoer!$A$5),1,1)+1),"jjjjmmdd")</f>
        <v>19450619</v>
      </c>
      <c r="C171" s="9">
        <v>1</v>
      </c>
      <c r="D171" s="14">
        <f t="shared" ca="1" si="4"/>
        <v>0</v>
      </c>
      <c r="E171" s="15">
        <f t="shared" ca="1" si="5"/>
        <v>0</v>
      </c>
    </row>
    <row r="172" spans="1:5" x14ac:dyDescent="0.25">
      <c r="A172" s="8">
        <f ca="1">INDEX(Stations,INT((ROWS(A$2:A172)-1)/(DATE(YEAR(Invoer!$A$5),12,31)-DATE(YEAR(Invoer!$A$5),1,1)+1))+2,1)</f>
        <v>73</v>
      </c>
      <c r="B172" t="str">
        <f ca="1">TEXT(DATE(YEAR(Invoer!$A$5),1,1)+MOD(ROWS(B$2:B172)-1,DATE(YEAR(Invoer!$A$5),12,31)-DATE(YEAR(Invoer!$A$5),1,1)+1),"jjjjmmdd")</f>
        <v>19450620</v>
      </c>
      <c r="C172" s="9">
        <v>1</v>
      </c>
      <c r="D172" s="14">
        <f t="shared" ca="1" si="4"/>
        <v>0</v>
      </c>
      <c r="E172" s="15">
        <f t="shared" ca="1" si="5"/>
        <v>0</v>
      </c>
    </row>
    <row r="173" spans="1:5" x14ac:dyDescent="0.25">
      <c r="A173" s="8">
        <f ca="1">INDEX(Stations,INT((ROWS(A$2:A173)-1)/(DATE(YEAR(Invoer!$A$5),12,31)-DATE(YEAR(Invoer!$A$5),1,1)+1))+2,1)</f>
        <v>73</v>
      </c>
      <c r="B173" t="str">
        <f ca="1">TEXT(DATE(YEAR(Invoer!$A$5),1,1)+MOD(ROWS(B$2:B173)-1,DATE(YEAR(Invoer!$A$5),12,31)-DATE(YEAR(Invoer!$A$5),1,1)+1),"jjjjmmdd")</f>
        <v>19450621</v>
      </c>
      <c r="C173" s="9">
        <v>1</v>
      </c>
      <c r="D173" s="14">
        <f t="shared" ca="1" si="4"/>
        <v>0</v>
      </c>
      <c r="E173" s="15">
        <f t="shared" ca="1" si="5"/>
        <v>0</v>
      </c>
    </row>
    <row r="174" spans="1:5" x14ac:dyDescent="0.25">
      <c r="A174" s="8">
        <f ca="1">INDEX(Stations,INT((ROWS(A$2:A174)-1)/(DATE(YEAR(Invoer!$A$5),12,31)-DATE(YEAR(Invoer!$A$5),1,1)+1))+2,1)</f>
        <v>73</v>
      </c>
      <c r="B174" t="str">
        <f ca="1">TEXT(DATE(YEAR(Invoer!$A$5),1,1)+MOD(ROWS(B$2:B174)-1,DATE(YEAR(Invoer!$A$5),12,31)-DATE(YEAR(Invoer!$A$5),1,1)+1),"jjjjmmdd")</f>
        <v>19450622</v>
      </c>
      <c r="C174" s="9">
        <v>1</v>
      </c>
      <c r="D174" s="14">
        <f t="shared" ca="1" si="4"/>
        <v>0</v>
      </c>
      <c r="E174" s="15">
        <f t="shared" ca="1" si="5"/>
        <v>0</v>
      </c>
    </row>
    <row r="175" spans="1:5" x14ac:dyDescent="0.25">
      <c r="A175" s="8">
        <f ca="1">INDEX(Stations,INT((ROWS(A$2:A175)-1)/(DATE(YEAR(Invoer!$A$5),12,31)-DATE(YEAR(Invoer!$A$5),1,1)+1))+2,1)</f>
        <v>73</v>
      </c>
      <c r="B175" t="str">
        <f ca="1">TEXT(DATE(YEAR(Invoer!$A$5),1,1)+MOD(ROWS(B$2:B175)-1,DATE(YEAR(Invoer!$A$5),12,31)-DATE(YEAR(Invoer!$A$5),1,1)+1),"jjjjmmdd")</f>
        <v>19450623</v>
      </c>
      <c r="C175" s="9">
        <v>1</v>
      </c>
      <c r="D175" s="14">
        <f t="shared" ca="1" si="4"/>
        <v>0</v>
      </c>
      <c r="E175" s="15">
        <f t="shared" ca="1" si="5"/>
        <v>0</v>
      </c>
    </row>
    <row r="176" spans="1:5" x14ac:dyDescent="0.25">
      <c r="A176" s="8">
        <f ca="1">INDEX(Stations,INT((ROWS(A$2:A176)-1)/(DATE(YEAR(Invoer!$A$5),12,31)-DATE(YEAR(Invoer!$A$5),1,1)+1))+2,1)</f>
        <v>73</v>
      </c>
      <c r="B176" t="str">
        <f ca="1">TEXT(DATE(YEAR(Invoer!$A$5),1,1)+MOD(ROWS(B$2:B176)-1,DATE(YEAR(Invoer!$A$5),12,31)-DATE(YEAR(Invoer!$A$5),1,1)+1),"jjjjmmdd")</f>
        <v>19450624</v>
      </c>
      <c r="C176" s="9">
        <v>1</v>
      </c>
      <c r="D176" s="14">
        <f t="shared" ca="1" si="4"/>
        <v>30</v>
      </c>
      <c r="E176" s="15">
        <f t="shared" ca="1" si="5"/>
        <v>0</v>
      </c>
    </row>
    <row r="177" spans="1:5" x14ac:dyDescent="0.25">
      <c r="A177" s="8">
        <f ca="1">INDEX(Stations,INT((ROWS(A$2:A177)-1)/(DATE(YEAR(Invoer!$A$5),12,31)-DATE(YEAR(Invoer!$A$5),1,1)+1))+2,1)</f>
        <v>73</v>
      </c>
      <c r="B177" t="str">
        <f ca="1">TEXT(DATE(YEAR(Invoer!$A$5),1,1)+MOD(ROWS(B$2:B177)-1,DATE(YEAR(Invoer!$A$5),12,31)-DATE(YEAR(Invoer!$A$5),1,1)+1),"jjjjmmdd")</f>
        <v>19450625</v>
      </c>
      <c r="C177" s="9">
        <v>1</v>
      </c>
      <c r="D177" s="14">
        <f t="shared" ca="1" si="4"/>
        <v>38</v>
      </c>
      <c r="E177" s="15">
        <f t="shared" ca="1" si="5"/>
        <v>0</v>
      </c>
    </row>
    <row r="178" spans="1:5" x14ac:dyDescent="0.25">
      <c r="A178" s="8">
        <f ca="1">INDEX(Stations,INT((ROWS(A$2:A178)-1)/(DATE(YEAR(Invoer!$A$5),12,31)-DATE(YEAR(Invoer!$A$5),1,1)+1))+2,1)</f>
        <v>73</v>
      </c>
      <c r="B178" t="str">
        <f ca="1">TEXT(DATE(YEAR(Invoer!$A$5),1,1)+MOD(ROWS(B$2:B178)-1,DATE(YEAR(Invoer!$A$5),12,31)-DATE(YEAR(Invoer!$A$5),1,1)+1),"jjjjmmdd")</f>
        <v>19450626</v>
      </c>
      <c r="C178" s="9">
        <v>1</v>
      </c>
      <c r="D178" s="14">
        <f t="shared" ca="1" si="4"/>
        <v>133</v>
      </c>
      <c r="E178" s="15">
        <f t="shared" ca="1" si="5"/>
        <v>0</v>
      </c>
    </row>
    <row r="179" spans="1:5" x14ac:dyDescent="0.25">
      <c r="A179" s="8">
        <f ca="1">INDEX(Stations,INT((ROWS(A$2:A179)-1)/(DATE(YEAR(Invoer!$A$5),12,31)-DATE(YEAR(Invoer!$A$5),1,1)+1))+2,1)</f>
        <v>73</v>
      </c>
      <c r="B179" t="str">
        <f ca="1">TEXT(DATE(YEAR(Invoer!$A$5),1,1)+MOD(ROWS(B$2:B179)-1,DATE(YEAR(Invoer!$A$5),12,31)-DATE(YEAR(Invoer!$A$5),1,1)+1),"jjjjmmdd")</f>
        <v>19450627</v>
      </c>
      <c r="C179" s="9">
        <v>1</v>
      </c>
      <c r="D179" s="14">
        <f t="shared" ca="1" si="4"/>
        <v>0</v>
      </c>
      <c r="E179" s="15">
        <f t="shared" ca="1" si="5"/>
        <v>0</v>
      </c>
    </row>
    <row r="180" spans="1:5" x14ac:dyDescent="0.25">
      <c r="A180" s="8">
        <f ca="1">INDEX(Stations,INT((ROWS(A$2:A180)-1)/(DATE(YEAR(Invoer!$A$5),12,31)-DATE(YEAR(Invoer!$A$5),1,1)+1))+2,1)</f>
        <v>73</v>
      </c>
      <c r="B180" t="str">
        <f ca="1">TEXT(DATE(YEAR(Invoer!$A$5),1,1)+MOD(ROWS(B$2:B180)-1,DATE(YEAR(Invoer!$A$5),12,31)-DATE(YEAR(Invoer!$A$5),1,1)+1),"jjjjmmdd")</f>
        <v>19450628</v>
      </c>
      <c r="C180" s="9">
        <v>1</v>
      </c>
      <c r="D180" s="14">
        <f t="shared" ca="1" si="4"/>
        <v>0</v>
      </c>
      <c r="E180" s="15">
        <f t="shared" ca="1" si="5"/>
        <v>0</v>
      </c>
    </row>
    <row r="181" spans="1:5" x14ac:dyDescent="0.25">
      <c r="A181" s="8">
        <f ca="1">INDEX(Stations,INT((ROWS(A$2:A181)-1)/(DATE(YEAR(Invoer!$A$5),12,31)-DATE(YEAR(Invoer!$A$5),1,1)+1))+2,1)</f>
        <v>73</v>
      </c>
      <c r="B181" t="str">
        <f ca="1">TEXT(DATE(YEAR(Invoer!$A$5),1,1)+MOD(ROWS(B$2:B181)-1,DATE(YEAR(Invoer!$A$5),12,31)-DATE(YEAR(Invoer!$A$5),1,1)+1),"jjjjmmdd")</f>
        <v>19450629</v>
      </c>
      <c r="C181" s="9">
        <v>1</v>
      </c>
      <c r="D181" s="14">
        <f t="shared" ca="1" si="4"/>
        <v>0</v>
      </c>
      <c r="E181" s="15">
        <f t="shared" ca="1" si="5"/>
        <v>0</v>
      </c>
    </row>
    <row r="182" spans="1:5" x14ac:dyDescent="0.25">
      <c r="A182" s="8">
        <f ca="1">INDEX(Stations,INT((ROWS(A$2:A182)-1)/(DATE(YEAR(Invoer!$A$5),12,31)-DATE(YEAR(Invoer!$A$5),1,1)+1))+2,1)</f>
        <v>73</v>
      </c>
      <c r="B182" t="str">
        <f ca="1">TEXT(DATE(YEAR(Invoer!$A$5),1,1)+MOD(ROWS(B$2:B182)-1,DATE(YEAR(Invoer!$A$5),12,31)-DATE(YEAR(Invoer!$A$5),1,1)+1),"jjjjmmdd")</f>
        <v>19450630</v>
      </c>
      <c r="C182" s="9">
        <v>1</v>
      </c>
      <c r="D182" s="14">
        <f t="shared" ca="1" si="4"/>
        <v>0</v>
      </c>
      <c r="E182" s="15">
        <f t="shared" ca="1" si="5"/>
        <v>0</v>
      </c>
    </row>
    <row r="183" spans="1:5" x14ac:dyDescent="0.25">
      <c r="A183" s="8">
        <f ca="1">INDEX(Stations,INT((ROWS(A$2:A183)-1)/(DATE(YEAR(Invoer!$A$5),12,31)-DATE(YEAR(Invoer!$A$5),1,1)+1))+2,1)</f>
        <v>73</v>
      </c>
      <c r="B183" t="str">
        <f ca="1">TEXT(DATE(YEAR(Invoer!$A$5),1,1)+MOD(ROWS(B$2:B183)-1,DATE(YEAR(Invoer!$A$5),12,31)-DATE(YEAR(Invoer!$A$5),1,1)+1),"jjjjmmdd")</f>
        <v>19450701</v>
      </c>
      <c r="C183" s="9">
        <v>1</v>
      </c>
      <c r="D183" s="14">
        <f t="shared" ca="1" si="4"/>
        <v>0</v>
      </c>
      <c r="E183" s="15">
        <f t="shared" ca="1" si="5"/>
        <v>0</v>
      </c>
    </row>
    <row r="184" spans="1:5" x14ac:dyDescent="0.25">
      <c r="A184" s="8">
        <f ca="1">INDEX(Stations,INT((ROWS(A$2:A184)-1)/(DATE(YEAR(Invoer!$A$5),12,31)-DATE(YEAR(Invoer!$A$5),1,1)+1))+2,1)</f>
        <v>73</v>
      </c>
      <c r="B184" t="str">
        <f ca="1">TEXT(DATE(YEAR(Invoer!$A$5),1,1)+MOD(ROWS(B$2:B184)-1,DATE(YEAR(Invoer!$A$5),12,31)-DATE(YEAR(Invoer!$A$5),1,1)+1),"jjjjmmdd")</f>
        <v>19450702</v>
      </c>
      <c r="C184" s="9">
        <v>1</v>
      </c>
      <c r="D184" s="14">
        <f t="shared" ca="1" si="4"/>
        <v>160</v>
      </c>
      <c r="E184" s="15">
        <f t="shared" ca="1" si="5"/>
        <v>0</v>
      </c>
    </row>
    <row r="185" spans="1:5" x14ac:dyDescent="0.25">
      <c r="A185" s="8">
        <f ca="1">INDEX(Stations,INT((ROWS(A$2:A185)-1)/(DATE(YEAR(Invoer!$A$5),12,31)-DATE(YEAR(Invoer!$A$5),1,1)+1))+2,1)</f>
        <v>73</v>
      </c>
      <c r="B185" t="str">
        <f ca="1">TEXT(DATE(YEAR(Invoer!$A$5),1,1)+MOD(ROWS(B$2:B185)-1,DATE(YEAR(Invoer!$A$5),12,31)-DATE(YEAR(Invoer!$A$5),1,1)+1),"jjjjmmdd")</f>
        <v>19450703</v>
      </c>
      <c r="C185" s="9">
        <v>1</v>
      </c>
      <c r="D185" s="14">
        <f t="shared" ca="1" si="4"/>
        <v>375</v>
      </c>
      <c r="E185" s="15">
        <f t="shared" ca="1" si="5"/>
        <v>0</v>
      </c>
    </row>
    <row r="186" spans="1:5" x14ac:dyDescent="0.25">
      <c r="A186" s="8">
        <f ca="1">INDEX(Stations,INT((ROWS(A$2:A186)-1)/(DATE(YEAR(Invoer!$A$5),12,31)-DATE(YEAR(Invoer!$A$5),1,1)+1))+2,1)</f>
        <v>73</v>
      </c>
      <c r="B186" t="str">
        <f ca="1">TEXT(DATE(YEAR(Invoer!$A$5),1,1)+MOD(ROWS(B$2:B186)-1,DATE(YEAR(Invoer!$A$5),12,31)-DATE(YEAR(Invoer!$A$5),1,1)+1),"jjjjmmdd")</f>
        <v>19450704</v>
      </c>
      <c r="C186" s="9">
        <v>1</v>
      </c>
      <c r="D186" s="14">
        <f t="shared" ca="1" si="4"/>
        <v>7</v>
      </c>
      <c r="E186" s="15">
        <f t="shared" ca="1" si="5"/>
        <v>0</v>
      </c>
    </row>
    <row r="187" spans="1:5" x14ac:dyDescent="0.25">
      <c r="A187" s="8">
        <f ca="1">INDEX(Stations,INT((ROWS(A$2:A187)-1)/(DATE(YEAR(Invoer!$A$5),12,31)-DATE(YEAR(Invoer!$A$5),1,1)+1))+2,1)</f>
        <v>73</v>
      </c>
      <c r="B187" t="str">
        <f ca="1">TEXT(DATE(YEAR(Invoer!$A$5),1,1)+MOD(ROWS(B$2:B187)-1,DATE(YEAR(Invoer!$A$5),12,31)-DATE(YEAR(Invoer!$A$5),1,1)+1),"jjjjmmdd")</f>
        <v>19450705</v>
      </c>
      <c r="C187" s="9">
        <v>1</v>
      </c>
      <c r="D187" s="14">
        <f t="shared" ca="1" si="4"/>
        <v>0</v>
      </c>
      <c r="E187" s="15">
        <f t="shared" ca="1" si="5"/>
        <v>0</v>
      </c>
    </row>
    <row r="188" spans="1:5" x14ac:dyDescent="0.25">
      <c r="A188" s="8">
        <f ca="1">INDEX(Stations,INT((ROWS(A$2:A188)-1)/(DATE(YEAR(Invoer!$A$5),12,31)-DATE(YEAR(Invoer!$A$5),1,1)+1))+2,1)</f>
        <v>73</v>
      </c>
      <c r="B188" t="str">
        <f ca="1">TEXT(DATE(YEAR(Invoer!$A$5),1,1)+MOD(ROWS(B$2:B188)-1,DATE(YEAR(Invoer!$A$5),12,31)-DATE(YEAR(Invoer!$A$5),1,1)+1),"jjjjmmdd")</f>
        <v>19450706</v>
      </c>
      <c r="C188" s="9">
        <v>1</v>
      </c>
      <c r="D188" s="14">
        <f t="shared" ca="1" si="4"/>
        <v>34</v>
      </c>
      <c r="E188" s="15">
        <f t="shared" ca="1" si="5"/>
        <v>0</v>
      </c>
    </row>
    <row r="189" spans="1:5" x14ac:dyDescent="0.25">
      <c r="A189" s="8">
        <f ca="1">INDEX(Stations,INT((ROWS(A$2:A189)-1)/(DATE(YEAR(Invoer!$A$5),12,31)-DATE(YEAR(Invoer!$A$5),1,1)+1))+2,1)</f>
        <v>73</v>
      </c>
      <c r="B189" t="str">
        <f ca="1">TEXT(DATE(YEAR(Invoer!$A$5),1,1)+MOD(ROWS(B$2:B189)-1,DATE(YEAR(Invoer!$A$5),12,31)-DATE(YEAR(Invoer!$A$5),1,1)+1),"jjjjmmdd")</f>
        <v>19450707</v>
      </c>
      <c r="C189" s="9">
        <v>1</v>
      </c>
      <c r="D189" s="14">
        <f t="shared" ca="1" si="4"/>
        <v>0</v>
      </c>
      <c r="E189" s="15">
        <f t="shared" ca="1" si="5"/>
        <v>0</v>
      </c>
    </row>
    <row r="190" spans="1:5" x14ac:dyDescent="0.25">
      <c r="A190" s="8">
        <f ca="1">INDEX(Stations,INT((ROWS(A$2:A190)-1)/(DATE(YEAR(Invoer!$A$5),12,31)-DATE(YEAR(Invoer!$A$5),1,1)+1))+2,1)</f>
        <v>73</v>
      </c>
      <c r="B190" t="str">
        <f ca="1">TEXT(DATE(YEAR(Invoer!$A$5),1,1)+MOD(ROWS(B$2:B190)-1,DATE(YEAR(Invoer!$A$5),12,31)-DATE(YEAR(Invoer!$A$5),1,1)+1),"jjjjmmdd")</f>
        <v>19450708</v>
      </c>
      <c r="C190" s="9">
        <v>1</v>
      </c>
      <c r="D190" s="14">
        <f t="shared" ca="1" si="4"/>
        <v>0</v>
      </c>
      <c r="E190" s="15">
        <f t="shared" ca="1" si="5"/>
        <v>0</v>
      </c>
    </row>
    <row r="191" spans="1:5" x14ac:dyDescent="0.25">
      <c r="A191" s="8">
        <f ca="1">INDEX(Stations,INT((ROWS(A$2:A191)-1)/(DATE(YEAR(Invoer!$A$5),12,31)-DATE(YEAR(Invoer!$A$5),1,1)+1))+2,1)</f>
        <v>73</v>
      </c>
      <c r="B191" t="str">
        <f ca="1">TEXT(DATE(YEAR(Invoer!$A$5),1,1)+MOD(ROWS(B$2:B191)-1,DATE(YEAR(Invoer!$A$5),12,31)-DATE(YEAR(Invoer!$A$5),1,1)+1),"jjjjmmdd")</f>
        <v>19450709</v>
      </c>
      <c r="C191" s="9">
        <v>1</v>
      </c>
      <c r="D191" s="14">
        <f t="shared" ca="1" si="4"/>
        <v>0</v>
      </c>
      <c r="E191" s="15">
        <f t="shared" ca="1" si="5"/>
        <v>0</v>
      </c>
    </row>
    <row r="192" spans="1:5" x14ac:dyDescent="0.25">
      <c r="A192" s="8">
        <f ca="1">INDEX(Stations,INT((ROWS(A$2:A192)-1)/(DATE(YEAR(Invoer!$A$5),12,31)-DATE(YEAR(Invoer!$A$5),1,1)+1))+2,1)</f>
        <v>73</v>
      </c>
      <c r="B192" t="str">
        <f ca="1">TEXT(DATE(YEAR(Invoer!$A$5),1,1)+MOD(ROWS(B$2:B192)-1,DATE(YEAR(Invoer!$A$5),12,31)-DATE(YEAR(Invoer!$A$5),1,1)+1),"jjjjmmdd")</f>
        <v>19450710</v>
      </c>
      <c r="C192" s="9">
        <v>1</v>
      </c>
      <c r="D192" s="14">
        <f t="shared" ca="1" si="4"/>
        <v>0</v>
      </c>
      <c r="E192" s="15">
        <f t="shared" ca="1" si="5"/>
        <v>0</v>
      </c>
    </row>
    <row r="193" spans="1:5" x14ac:dyDescent="0.25">
      <c r="A193" s="8">
        <f ca="1">INDEX(Stations,INT((ROWS(A$2:A193)-1)/(DATE(YEAR(Invoer!$A$5),12,31)-DATE(YEAR(Invoer!$A$5),1,1)+1))+2,1)</f>
        <v>73</v>
      </c>
      <c r="B193" t="str">
        <f ca="1">TEXT(DATE(YEAR(Invoer!$A$5),1,1)+MOD(ROWS(B$2:B193)-1,DATE(YEAR(Invoer!$A$5),12,31)-DATE(YEAR(Invoer!$A$5),1,1)+1),"jjjjmmdd")</f>
        <v>19450711</v>
      </c>
      <c r="C193" s="9">
        <v>1</v>
      </c>
      <c r="D193" s="14">
        <f t="shared" ca="1" si="4"/>
        <v>0</v>
      </c>
      <c r="E193" s="15">
        <f t="shared" ca="1" si="5"/>
        <v>0</v>
      </c>
    </row>
    <row r="194" spans="1:5" x14ac:dyDescent="0.25">
      <c r="A194" s="8">
        <f ca="1">INDEX(Stations,INT((ROWS(A$2:A194)-1)/(DATE(YEAR(Invoer!$A$5),12,31)-DATE(YEAR(Invoer!$A$5),1,1)+1))+2,1)</f>
        <v>73</v>
      </c>
      <c r="B194" t="str">
        <f ca="1">TEXT(DATE(YEAR(Invoer!$A$5),1,1)+MOD(ROWS(B$2:B194)-1,DATE(YEAR(Invoer!$A$5),12,31)-DATE(YEAR(Invoer!$A$5),1,1)+1),"jjjjmmdd")</f>
        <v>19450712</v>
      </c>
      <c r="C194" s="9">
        <v>1</v>
      </c>
      <c r="D194" s="14">
        <f t="shared" ref="D194:D257" ca="1" si="6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"—",VLOOKUP(DATEVALUE(LEFT(B194,4)&amp;"-"&amp;MID(B194,5,2)&amp;"-"&amp;RIGHT(B194,2)),Data,MATCH(VLOOKUP(A194,Stations,2,FALSE()),OFFSET(Data,1,0,1),0),FALSE()))</f>
        <v>0</v>
      </c>
      <c r="E194" s="15">
        <f t="shared" ref="E194:E257" ca="1" si="7">IF(OR(ISBLANK(VLOOKUP(DATEVALUE(LEFT(B194,4)&amp;"-"&amp;MID(B194,5,2)&amp;"-"&amp;RIGHT(B194,2)),Data,MATCH(VLOOKUP(A194,Stations,2,FALSE()),OFFSET(Data,1,0,1),0),FALSE())),ISTEXT(VLOOKUP(DATEVALUE(LEFT(B194,4)&amp;"-"&amp;MID(B194,5,2)&amp;"-"&amp;RIGHT(B194,2)),Data,MATCH(VLOOKUP(A194,Stations,2,FALSE()),OFFSET(Data,1,0,1),0),FALSE()))),Lacking,IF(ISNA(MATCH(DATEVALUE(LEFT(B194,4)&amp;"-"&amp;MID(B194,5,2)&amp;"-"&amp;RIGHT(B194,2)),OFFSET(Catalogus,0,0,,1),0)),Ok,VLOOKUP(DATEVALUE(LEFT(B194,4)&amp;"-"&amp;MID(B194,5,2)&amp;"-"&amp;RIGHT(B194,2)),Catalogus,MATCH(VLOOKUP(A194,Stations,2,FALSE()),OFFSET(Catalogus,1,0,1),0),FALSE())))</f>
        <v>0</v>
      </c>
    </row>
    <row r="195" spans="1:5" x14ac:dyDescent="0.25">
      <c r="A195" s="8">
        <f ca="1">INDEX(Stations,INT((ROWS(A$2:A195)-1)/(DATE(YEAR(Invoer!$A$5),12,31)-DATE(YEAR(Invoer!$A$5),1,1)+1))+2,1)</f>
        <v>73</v>
      </c>
      <c r="B195" t="str">
        <f ca="1">TEXT(DATE(YEAR(Invoer!$A$5),1,1)+MOD(ROWS(B$2:B195)-1,DATE(YEAR(Invoer!$A$5),12,31)-DATE(YEAR(Invoer!$A$5),1,1)+1),"jjjjmmdd")</f>
        <v>19450713</v>
      </c>
      <c r="C195" s="9">
        <v>1</v>
      </c>
      <c r="D195" s="14">
        <f t="shared" ca="1" si="6"/>
        <v>0</v>
      </c>
      <c r="E195" s="15">
        <f t="shared" ca="1" si="7"/>
        <v>0</v>
      </c>
    </row>
    <row r="196" spans="1:5" x14ac:dyDescent="0.25">
      <c r="A196" s="8">
        <f ca="1">INDEX(Stations,INT((ROWS(A$2:A196)-1)/(DATE(YEAR(Invoer!$A$5),12,31)-DATE(YEAR(Invoer!$A$5),1,1)+1))+2,1)</f>
        <v>73</v>
      </c>
      <c r="B196" t="str">
        <f ca="1">TEXT(DATE(YEAR(Invoer!$A$5),1,1)+MOD(ROWS(B$2:B196)-1,DATE(YEAR(Invoer!$A$5),12,31)-DATE(YEAR(Invoer!$A$5),1,1)+1),"jjjjmmdd")</f>
        <v>19450714</v>
      </c>
      <c r="C196" s="9">
        <v>1</v>
      </c>
      <c r="D196" s="14">
        <f t="shared" ca="1" si="6"/>
        <v>0</v>
      </c>
      <c r="E196" s="15">
        <f t="shared" ca="1" si="7"/>
        <v>0</v>
      </c>
    </row>
    <row r="197" spans="1:5" x14ac:dyDescent="0.25">
      <c r="A197" s="8">
        <f ca="1">INDEX(Stations,INT((ROWS(A$2:A197)-1)/(DATE(YEAR(Invoer!$A$5),12,31)-DATE(YEAR(Invoer!$A$5),1,1)+1))+2,1)</f>
        <v>73</v>
      </c>
      <c r="B197" t="str">
        <f ca="1">TEXT(DATE(YEAR(Invoer!$A$5),1,1)+MOD(ROWS(B$2:B197)-1,DATE(YEAR(Invoer!$A$5),12,31)-DATE(YEAR(Invoer!$A$5),1,1)+1),"jjjjmmdd")</f>
        <v>19450715</v>
      </c>
      <c r="C197" s="9">
        <v>1</v>
      </c>
      <c r="D197" s="14">
        <f t="shared" ca="1" si="6"/>
        <v>0</v>
      </c>
      <c r="E197" s="15">
        <f t="shared" ca="1" si="7"/>
        <v>0</v>
      </c>
    </row>
    <row r="198" spans="1:5" x14ac:dyDescent="0.25">
      <c r="A198" s="8">
        <f ca="1">INDEX(Stations,INT((ROWS(A$2:A198)-1)/(DATE(YEAR(Invoer!$A$5),12,31)-DATE(YEAR(Invoer!$A$5),1,1)+1))+2,1)</f>
        <v>73</v>
      </c>
      <c r="B198" t="str">
        <f ca="1">TEXT(DATE(YEAR(Invoer!$A$5),1,1)+MOD(ROWS(B$2:B198)-1,DATE(YEAR(Invoer!$A$5),12,31)-DATE(YEAR(Invoer!$A$5),1,1)+1),"jjjjmmdd")</f>
        <v>19450716</v>
      </c>
      <c r="C198" s="9">
        <v>1</v>
      </c>
      <c r="D198" s="14">
        <f t="shared" ca="1" si="6"/>
        <v>12</v>
      </c>
      <c r="E198" s="15">
        <f t="shared" ca="1" si="7"/>
        <v>0</v>
      </c>
    </row>
    <row r="199" spans="1:5" x14ac:dyDescent="0.25">
      <c r="A199" s="8">
        <f ca="1">INDEX(Stations,INT((ROWS(A$2:A199)-1)/(DATE(YEAR(Invoer!$A$5),12,31)-DATE(YEAR(Invoer!$A$5),1,1)+1))+2,1)</f>
        <v>73</v>
      </c>
      <c r="B199" t="str">
        <f ca="1">TEXT(DATE(YEAR(Invoer!$A$5),1,1)+MOD(ROWS(B$2:B199)-1,DATE(YEAR(Invoer!$A$5),12,31)-DATE(YEAR(Invoer!$A$5),1,1)+1),"jjjjmmdd")</f>
        <v>19450717</v>
      </c>
      <c r="C199" s="9">
        <v>1</v>
      </c>
      <c r="D199" s="14">
        <f t="shared" ca="1" si="6"/>
        <v>0</v>
      </c>
      <c r="E199" s="15">
        <f t="shared" ca="1" si="7"/>
        <v>0</v>
      </c>
    </row>
    <row r="200" spans="1:5" x14ac:dyDescent="0.25">
      <c r="A200" s="8">
        <f ca="1">INDEX(Stations,INT((ROWS(A$2:A200)-1)/(DATE(YEAR(Invoer!$A$5),12,31)-DATE(YEAR(Invoer!$A$5),1,1)+1))+2,1)</f>
        <v>73</v>
      </c>
      <c r="B200" t="str">
        <f ca="1">TEXT(DATE(YEAR(Invoer!$A$5),1,1)+MOD(ROWS(B$2:B200)-1,DATE(YEAR(Invoer!$A$5),12,31)-DATE(YEAR(Invoer!$A$5),1,1)+1),"jjjjmmdd")</f>
        <v>19450718</v>
      </c>
      <c r="C200" s="9">
        <v>1</v>
      </c>
      <c r="D200" s="14">
        <f t="shared" ca="1" si="6"/>
        <v>0</v>
      </c>
      <c r="E200" s="15">
        <f t="shared" ca="1" si="7"/>
        <v>0</v>
      </c>
    </row>
    <row r="201" spans="1:5" x14ac:dyDescent="0.25">
      <c r="A201" s="8">
        <f ca="1">INDEX(Stations,INT((ROWS(A$2:A201)-1)/(DATE(YEAR(Invoer!$A$5),12,31)-DATE(YEAR(Invoer!$A$5),1,1)+1))+2,1)</f>
        <v>73</v>
      </c>
      <c r="B201" t="str">
        <f ca="1">TEXT(DATE(YEAR(Invoer!$A$5),1,1)+MOD(ROWS(B$2:B201)-1,DATE(YEAR(Invoer!$A$5),12,31)-DATE(YEAR(Invoer!$A$5),1,1)+1),"jjjjmmdd")</f>
        <v>19450719</v>
      </c>
      <c r="C201" s="9">
        <v>1</v>
      </c>
      <c r="D201" s="14">
        <f t="shared" ca="1" si="6"/>
        <v>27</v>
      </c>
      <c r="E201" s="15">
        <f t="shared" ca="1" si="7"/>
        <v>0</v>
      </c>
    </row>
    <row r="202" spans="1:5" x14ac:dyDescent="0.25">
      <c r="A202" s="8">
        <f ca="1">INDEX(Stations,INT((ROWS(A$2:A202)-1)/(DATE(YEAR(Invoer!$A$5),12,31)-DATE(YEAR(Invoer!$A$5),1,1)+1))+2,1)</f>
        <v>73</v>
      </c>
      <c r="B202" t="str">
        <f ca="1">TEXT(DATE(YEAR(Invoer!$A$5),1,1)+MOD(ROWS(B$2:B202)-1,DATE(YEAR(Invoer!$A$5),12,31)-DATE(YEAR(Invoer!$A$5),1,1)+1),"jjjjmmdd")</f>
        <v>19450720</v>
      </c>
      <c r="C202" s="9">
        <v>1</v>
      </c>
      <c r="D202" s="14">
        <f t="shared" ca="1" si="6"/>
        <v>0</v>
      </c>
      <c r="E202" s="15">
        <f t="shared" ca="1" si="7"/>
        <v>0</v>
      </c>
    </row>
    <row r="203" spans="1:5" x14ac:dyDescent="0.25">
      <c r="A203" s="8">
        <f ca="1">INDEX(Stations,INT((ROWS(A$2:A203)-1)/(DATE(YEAR(Invoer!$A$5),12,31)-DATE(YEAR(Invoer!$A$5),1,1)+1))+2,1)</f>
        <v>73</v>
      </c>
      <c r="B203" t="str">
        <f ca="1">TEXT(DATE(YEAR(Invoer!$A$5),1,1)+MOD(ROWS(B$2:B203)-1,DATE(YEAR(Invoer!$A$5),12,31)-DATE(YEAR(Invoer!$A$5),1,1)+1),"jjjjmmdd")</f>
        <v>19450721</v>
      </c>
      <c r="C203" s="9">
        <v>1</v>
      </c>
      <c r="D203" s="14">
        <f t="shared" ca="1" si="6"/>
        <v>0</v>
      </c>
      <c r="E203" s="15">
        <f t="shared" ca="1" si="7"/>
        <v>0</v>
      </c>
    </row>
    <row r="204" spans="1:5" x14ac:dyDescent="0.25">
      <c r="A204" s="8">
        <f ca="1">INDEX(Stations,INT((ROWS(A$2:A204)-1)/(DATE(YEAR(Invoer!$A$5),12,31)-DATE(YEAR(Invoer!$A$5),1,1)+1))+2,1)</f>
        <v>73</v>
      </c>
      <c r="B204" t="str">
        <f ca="1">TEXT(DATE(YEAR(Invoer!$A$5),1,1)+MOD(ROWS(B$2:B204)-1,DATE(YEAR(Invoer!$A$5),12,31)-DATE(YEAR(Invoer!$A$5),1,1)+1),"jjjjmmdd")</f>
        <v>19450722</v>
      </c>
      <c r="C204" s="9">
        <v>1</v>
      </c>
      <c r="D204" s="14">
        <f t="shared" ca="1" si="6"/>
        <v>103</v>
      </c>
      <c r="E204" s="15">
        <f t="shared" ca="1" si="7"/>
        <v>0</v>
      </c>
    </row>
    <row r="205" spans="1:5" x14ac:dyDescent="0.25">
      <c r="A205" s="8">
        <f ca="1">INDEX(Stations,INT((ROWS(A$2:A205)-1)/(DATE(YEAR(Invoer!$A$5),12,31)-DATE(YEAR(Invoer!$A$5),1,1)+1))+2,1)</f>
        <v>73</v>
      </c>
      <c r="B205" t="str">
        <f ca="1">TEXT(DATE(YEAR(Invoer!$A$5),1,1)+MOD(ROWS(B$2:B205)-1,DATE(YEAR(Invoer!$A$5),12,31)-DATE(YEAR(Invoer!$A$5),1,1)+1),"jjjjmmdd")</f>
        <v>19450723</v>
      </c>
      <c r="C205" s="9">
        <v>1</v>
      </c>
      <c r="D205" s="14">
        <f t="shared" ca="1" si="6"/>
        <v>0</v>
      </c>
      <c r="E205" s="15">
        <f t="shared" ca="1" si="7"/>
        <v>0</v>
      </c>
    </row>
    <row r="206" spans="1:5" x14ac:dyDescent="0.25">
      <c r="A206" s="8">
        <f ca="1">INDEX(Stations,INT((ROWS(A$2:A206)-1)/(DATE(YEAR(Invoer!$A$5),12,31)-DATE(YEAR(Invoer!$A$5),1,1)+1))+2,1)</f>
        <v>73</v>
      </c>
      <c r="B206" t="str">
        <f ca="1">TEXT(DATE(YEAR(Invoer!$A$5),1,1)+MOD(ROWS(B$2:B206)-1,DATE(YEAR(Invoer!$A$5),12,31)-DATE(YEAR(Invoer!$A$5),1,1)+1),"jjjjmmdd")</f>
        <v>19450724</v>
      </c>
      <c r="C206" s="9">
        <v>1</v>
      </c>
      <c r="D206" s="14">
        <f t="shared" ca="1" si="6"/>
        <v>0</v>
      </c>
      <c r="E206" s="15">
        <f t="shared" ca="1" si="7"/>
        <v>0</v>
      </c>
    </row>
    <row r="207" spans="1:5" x14ac:dyDescent="0.25">
      <c r="A207" s="8">
        <f ca="1">INDEX(Stations,INT((ROWS(A$2:A207)-1)/(DATE(YEAR(Invoer!$A$5),12,31)-DATE(YEAR(Invoer!$A$5),1,1)+1))+2,1)</f>
        <v>73</v>
      </c>
      <c r="B207" t="str">
        <f ca="1">TEXT(DATE(YEAR(Invoer!$A$5),1,1)+MOD(ROWS(B$2:B207)-1,DATE(YEAR(Invoer!$A$5),12,31)-DATE(YEAR(Invoer!$A$5),1,1)+1),"jjjjmmdd")</f>
        <v>19450725</v>
      </c>
      <c r="C207" s="9">
        <v>1</v>
      </c>
      <c r="D207" s="14">
        <f t="shared" ca="1" si="6"/>
        <v>20</v>
      </c>
      <c r="E207" s="15">
        <f t="shared" ca="1" si="7"/>
        <v>0</v>
      </c>
    </row>
    <row r="208" spans="1:5" x14ac:dyDescent="0.25">
      <c r="A208" s="8">
        <f ca="1">INDEX(Stations,INT((ROWS(A$2:A208)-1)/(DATE(YEAR(Invoer!$A$5),12,31)-DATE(YEAR(Invoer!$A$5),1,1)+1))+2,1)</f>
        <v>73</v>
      </c>
      <c r="B208" t="str">
        <f ca="1">TEXT(DATE(YEAR(Invoer!$A$5),1,1)+MOD(ROWS(B$2:B208)-1,DATE(YEAR(Invoer!$A$5),12,31)-DATE(YEAR(Invoer!$A$5),1,1)+1),"jjjjmmdd")</f>
        <v>19450726</v>
      </c>
      <c r="C208" s="9">
        <v>1</v>
      </c>
      <c r="D208" s="14">
        <f t="shared" ca="1" si="6"/>
        <v>0</v>
      </c>
      <c r="E208" s="15">
        <f t="shared" ca="1" si="7"/>
        <v>0</v>
      </c>
    </row>
    <row r="209" spans="1:5" x14ac:dyDescent="0.25">
      <c r="A209" s="8">
        <f ca="1">INDEX(Stations,INT((ROWS(A$2:A209)-1)/(DATE(YEAR(Invoer!$A$5),12,31)-DATE(YEAR(Invoer!$A$5),1,1)+1))+2,1)</f>
        <v>73</v>
      </c>
      <c r="B209" t="str">
        <f ca="1">TEXT(DATE(YEAR(Invoer!$A$5),1,1)+MOD(ROWS(B$2:B209)-1,DATE(YEAR(Invoer!$A$5),12,31)-DATE(YEAR(Invoer!$A$5),1,1)+1),"jjjjmmdd")</f>
        <v>19450727</v>
      </c>
      <c r="C209" s="9">
        <v>1</v>
      </c>
      <c r="D209" s="14">
        <f t="shared" ca="1" si="6"/>
        <v>19</v>
      </c>
      <c r="E209" s="15">
        <f t="shared" ca="1" si="7"/>
        <v>0</v>
      </c>
    </row>
    <row r="210" spans="1:5" x14ac:dyDescent="0.25">
      <c r="A210" s="8">
        <f ca="1">INDEX(Stations,INT((ROWS(A$2:A210)-1)/(DATE(YEAR(Invoer!$A$5),12,31)-DATE(YEAR(Invoer!$A$5),1,1)+1))+2,1)</f>
        <v>73</v>
      </c>
      <c r="B210" t="str">
        <f ca="1">TEXT(DATE(YEAR(Invoer!$A$5),1,1)+MOD(ROWS(B$2:B210)-1,DATE(YEAR(Invoer!$A$5),12,31)-DATE(YEAR(Invoer!$A$5),1,1)+1),"jjjjmmdd")</f>
        <v>19450728</v>
      </c>
      <c r="C210" s="9">
        <v>1</v>
      </c>
      <c r="D210" s="14">
        <f t="shared" ca="1" si="6"/>
        <v>163</v>
      </c>
      <c r="E210" s="15">
        <f t="shared" ca="1" si="7"/>
        <v>0</v>
      </c>
    </row>
    <row r="211" spans="1:5" x14ac:dyDescent="0.25">
      <c r="A211" s="8">
        <f ca="1">INDEX(Stations,INT((ROWS(A$2:A211)-1)/(DATE(YEAR(Invoer!$A$5),12,31)-DATE(YEAR(Invoer!$A$5),1,1)+1))+2,1)</f>
        <v>73</v>
      </c>
      <c r="B211" t="str">
        <f ca="1">TEXT(DATE(YEAR(Invoer!$A$5),1,1)+MOD(ROWS(B$2:B211)-1,DATE(YEAR(Invoer!$A$5),12,31)-DATE(YEAR(Invoer!$A$5),1,1)+1),"jjjjmmdd")</f>
        <v>19450729</v>
      </c>
      <c r="C211" s="9">
        <v>1</v>
      </c>
      <c r="D211" s="14">
        <f t="shared" ca="1" si="6"/>
        <v>34</v>
      </c>
      <c r="E211" s="15">
        <f t="shared" ca="1" si="7"/>
        <v>0</v>
      </c>
    </row>
    <row r="212" spans="1:5" x14ac:dyDescent="0.25">
      <c r="A212" s="8">
        <f ca="1">INDEX(Stations,INT((ROWS(A$2:A212)-1)/(DATE(YEAR(Invoer!$A$5),12,31)-DATE(YEAR(Invoer!$A$5),1,1)+1))+2,1)</f>
        <v>73</v>
      </c>
      <c r="B212" t="str">
        <f ca="1">TEXT(DATE(YEAR(Invoer!$A$5),1,1)+MOD(ROWS(B$2:B212)-1,DATE(YEAR(Invoer!$A$5),12,31)-DATE(YEAR(Invoer!$A$5),1,1)+1),"jjjjmmdd")</f>
        <v>19450730</v>
      </c>
      <c r="C212" s="9">
        <v>1</v>
      </c>
      <c r="D212" s="14">
        <f t="shared" ca="1" si="6"/>
        <v>110</v>
      </c>
      <c r="E212" s="15">
        <f t="shared" ca="1" si="7"/>
        <v>0</v>
      </c>
    </row>
    <row r="213" spans="1:5" x14ac:dyDescent="0.25">
      <c r="A213" s="8">
        <f ca="1">INDEX(Stations,INT((ROWS(A$2:A213)-1)/(DATE(YEAR(Invoer!$A$5),12,31)-DATE(YEAR(Invoer!$A$5),1,1)+1))+2,1)</f>
        <v>73</v>
      </c>
      <c r="B213" t="str">
        <f ca="1">TEXT(DATE(YEAR(Invoer!$A$5),1,1)+MOD(ROWS(B$2:B213)-1,DATE(YEAR(Invoer!$A$5),12,31)-DATE(YEAR(Invoer!$A$5),1,1)+1),"jjjjmmdd")</f>
        <v>19450731</v>
      </c>
      <c r="C213" s="9">
        <v>1</v>
      </c>
      <c r="D213" s="14">
        <f t="shared" ca="1" si="6"/>
        <v>13</v>
      </c>
      <c r="E213" s="15">
        <f t="shared" ca="1" si="7"/>
        <v>0</v>
      </c>
    </row>
    <row r="214" spans="1:5" x14ac:dyDescent="0.25">
      <c r="A214" s="8">
        <f ca="1">INDEX(Stations,INT((ROWS(A$2:A214)-1)/(DATE(YEAR(Invoer!$A$5),12,31)-DATE(YEAR(Invoer!$A$5),1,1)+1))+2,1)</f>
        <v>73</v>
      </c>
      <c r="B214" t="str">
        <f ca="1">TEXT(DATE(YEAR(Invoer!$A$5),1,1)+MOD(ROWS(B$2:B214)-1,DATE(YEAR(Invoer!$A$5),12,31)-DATE(YEAR(Invoer!$A$5),1,1)+1),"jjjjmmdd")</f>
        <v>19450801</v>
      </c>
      <c r="C214" s="9">
        <v>1</v>
      </c>
      <c r="D214" s="14">
        <f t="shared" ca="1" si="6"/>
        <v>0</v>
      </c>
      <c r="E214" s="15">
        <f t="shared" ca="1" si="7"/>
        <v>0</v>
      </c>
    </row>
    <row r="215" spans="1:5" x14ac:dyDescent="0.25">
      <c r="A215" s="8">
        <f ca="1">INDEX(Stations,INT((ROWS(A$2:A215)-1)/(DATE(YEAR(Invoer!$A$5),12,31)-DATE(YEAR(Invoer!$A$5),1,1)+1))+2,1)</f>
        <v>73</v>
      </c>
      <c r="B215" t="str">
        <f ca="1">TEXT(DATE(YEAR(Invoer!$A$5),1,1)+MOD(ROWS(B$2:B215)-1,DATE(YEAR(Invoer!$A$5),12,31)-DATE(YEAR(Invoer!$A$5),1,1)+1),"jjjjmmdd")</f>
        <v>19450802</v>
      </c>
      <c r="C215" s="9">
        <v>1</v>
      </c>
      <c r="D215" s="14">
        <f t="shared" ca="1" si="6"/>
        <v>740</v>
      </c>
      <c r="E215" s="15">
        <f t="shared" ca="1" si="7"/>
        <v>0</v>
      </c>
    </row>
    <row r="216" spans="1:5" x14ac:dyDescent="0.25">
      <c r="A216" s="8">
        <f ca="1">INDEX(Stations,INT((ROWS(A$2:A216)-1)/(DATE(YEAR(Invoer!$A$5),12,31)-DATE(YEAR(Invoer!$A$5),1,1)+1))+2,1)</f>
        <v>73</v>
      </c>
      <c r="B216" t="str">
        <f ca="1">TEXT(DATE(YEAR(Invoer!$A$5),1,1)+MOD(ROWS(B$2:B216)-1,DATE(YEAR(Invoer!$A$5),12,31)-DATE(YEAR(Invoer!$A$5),1,1)+1),"jjjjmmdd")</f>
        <v>19450803</v>
      </c>
      <c r="C216" s="9">
        <v>1</v>
      </c>
      <c r="D216" s="14">
        <f t="shared" ca="1" si="6"/>
        <v>21</v>
      </c>
      <c r="E216" s="15">
        <f t="shared" ca="1" si="7"/>
        <v>0</v>
      </c>
    </row>
    <row r="217" spans="1:5" x14ac:dyDescent="0.25">
      <c r="A217" s="8">
        <f ca="1">INDEX(Stations,INT((ROWS(A$2:A217)-1)/(DATE(YEAR(Invoer!$A$5),12,31)-DATE(YEAR(Invoer!$A$5),1,1)+1))+2,1)</f>
        <v>73</v>
      </c>
      <c r="B217" t="str">
        <f ca="1">TEXT(DATE(YEAR(Invoer!$A$5),1,1)+MOD(ROWS(B$2:B217)-1,DATE(YEAR(Invoer!$A$5),12,31)-DATE(YEAR(Invoer!$A$5),1,1)+1),"jjjjmmdd")</f>
        <v>19450804</v>
      </c>
      <c r="C217" s="9">
        <v>1</v>
      </c>
      <c r="D217" s="14">
        <f t="shared" ca="1" si="6"/>
        <v>0</v>
      </c>
      <c r="E217" s="15">
        <f t="shared" ca="1" si="7"/>
        <v>0</v>
      </c>
    </row>
    <row r="218" spans="1:5" x14ac:dyDescent="0.25">
      <c r="A218" s="8">
        <f ca="1">INDEX(Stations,INT((ROWS(A$2:A218)-1)/(DATE(YEAR(Invoer!$A$5),12,31)-DATE(YEAR(Invoer!$A$5),1,1)+1))+2,1)</f>
        <v>73</v>
      </c>
      <c r="B218" t="str">
        <f ca="1">TEXT(DATE(YEAR(Invoer!$A$5),1,1)+MOD(ROWS(B$2:B218)-1,DATE(YEAR(Invoer!$A$5),12,31)-DATE(YEAR(Invoer!$A$5),1,1)+1),"jjjjmmdd")</f>
        <v>19450805</v>
      </c>
      <c r="C218" s="9">
        <v>1</v>
      </c>
      <c r="D218" s="14">
        <f t="shared" ca="1" si="6"/>
        <v>24</v>
      </c>
      <c r="E218" s="15">
        <f t="shared" ca="1" si="7"/>
        <v>0</v>
      </c>
    </row>
    <row r="219" spans="1:5" x14ac:dyDescent="0.25">
      <c r="A219" s="8">
        <f ca="1">INDEX(Stations,INT((ROWS(A$2:A219)-1)/(DATE(YEAR(Invoer!$A$5),12,31)-DATE(YEAR(Invoer!$A$5),1,1)+1))+2,1)</f>
        <v>73</v>
      </c>
      <c r="B219" t="str">
        <f ca="1">TEXT(DATE(YEAR(Invoer!$A$5),1,1)+MOD(ROWS(B$2:B219)-1,DATE(YEAR(Invoer!$A$5),12,31)-DATE(YEAR(Invoer!$A$5),1,1)+1),"jjjjmmdd")</f>
        <v>19450806</v>
      </c>
      <c r="C219" s="9">
        <v>1</v>
      </c>
      <c r="D219" s="14">
        <f t="shared" ca="1" si="6"/>
        <v>31</v>
      </c>
      <c r="E219" s="15">
        <f t="shared" ca="1" si="7"/>
        <v>0</v>
      </c>
    </row>
    <row r="220" spans="1:5" x14ac:dyDescent="0.25">
      <c r="A220" s="8">
        <f ca="1">INDEX(Stations,INT((ROWS(A$2:A220)-1)/(DATE(YEAR(Invoer!$A$5),12,31)-DATE(YEAR(Invoer!$A$5),1,1)+1))+2,1)</f>
        <v>73</v>
      </c>
      <c r="B220" t="str">
        <f ca="1">TEXT(DATE(YEAR(Invoer!$A$5),1,1)+MOD(ROWS(B$2:B220)-1,DATE(YEAR(Invoer!$A$5),12,31)-DATE(YEAR(Invoer!$A$5),1,1)+1),"jjjjmmdd")</f>
        <v>19450807</v>
      </c>
      <c r="C220" s="9">
        <v>1</v>
      </c>
      <c r="D220" s="14">
        <f t="shared" ca="1" si="6"/>
        <v>786</v>
      </c>
      <c r="E220" s="15">
        <f t="shared" ca="1" si="7"/>
        <v>0</v>
      </c>
    </row>
    <row r="221" spans="1:5" x14ac:dyDescent="0.25">
      <c r="A221" s="8">
        <f ca="1">INDEX(Stations,INT((ROWS(A$2:A221)-1)/(DATE(YEAR(Invoer!$A$5),12,31)-DATE(YEAR(Invoer!$A$5),1,1)+1))+2,1)</f>
        <v>73</v>
      </c>
      <c r="B221" t="str">
        <f ca="1">TEXT(DATE(YEAR(Invoer!$A$5),1,1)+MOD(ROWS(B$2:B221)-1,DATE(YEAR(Invoer!$A$5),12,31)-DATE(YEAR(Invoer!$A$5),1,1)+1),"jjjjmmdd")</f>
        <v>19450808</v>
      </c>
      <c r="C221" s="9">
        <v>1</v>
      </c>
      <c r="D221" s="14">
        <f t="shared" ca="1" si="6"/>
        <v>0</v>
      </c>
      <c r="E221" s="15">
        <f t="shared" ca="1" si="7"/>
        <v>0</v>
      </c>
    </row>
    <row r="222" spans="1:5" x14ac:dyDescent="0.25">
      <c r="A222" s="8">
        <f ca="1">INDEX(Stations,INT((ROWS(A$2:A222)-1)/(DATE(YEAR(Invoer!$A$5),12,31)-DATE(YEAR(Invoer!$A$5),1,1)+1))+2,1)</f>
        <v>73</v>
      </c>
      <c r="B222" t="str">
        <f ca="1">TEXT(DATE(YEAR(Invoer!$A$5),1,1)+MOD(ROWS(B$2:B222)-1,DATE(YEAR(Invoer!$A$5),12,31)-DATE(YEAR(Invoer!$A$5),1,1)+1),"jjjjmmdd")</f>
        <v>19450809</v>
      </c>
      <c r="C222" s="9">
        <v>1</v>
      </c>
      <c r="D222" s="14">
        <f t="shared" ca="1" si="6"/>
        <v>24</v>
      </c>
      <c r="E222" s="15">
        <f t="shared" ca="1" si="7"/>
        <v>0</v>
      </c>
    </row>
    <row r="223" spans="1:5" x14ac:dyDescent="0.25">
      <c r="A223" s="8">
        <f ca="1">INDEX(Stations,INT((ROWS(A$2:A223)-1)/(DATE(YEAR(Invoer!$A$5),12,31)-DATE(YEAR(Invoer!$A$5),1,1)+1))+2,1)</f>
        <v>73</v>
      </c>
      <c r="B223" t="str">
        <f ca="1">TEXT(DATE(YEAR(Invoer!$A$5),1,1)+MOD(ROWS(B$2:B223)-1,DATE(YEAR(Invoer!$A$5),12,31)-DATE(YEAR(Invoer!$A$5),1,1)+1),"jjjjmmdd")</f>
        <v>19450810</v>
      </c>
      <c r="C223" s="9">
        <v>1</v>
      </c>
      <c r="D223" s="14">
        <f t="shared" ca="1" si="6"/>
        <v>40</v>
      </c>
      <c r="E223" s="15">
        <f t="shared" ca="1" si="7"/>
        <v>0</v>
      </c>
    </row>
    <row r="224" spans="1:5" x14ac:dyDescent="0.25">
      <c r="A224" s="8">
        <f ca="1">INDEX(Stations,INT((ROWS(A$2:A224)-1)/(DATE(YEAR(Invoer!$A$5),12,31)-DATE(YEAR(Invoer!$A$5),1,1)+1))+2,1)</f>
        <v>73</v>
      </c>
      <c r="B224" t="str">
        <f ca="1">TEXT(DATE(YEAR(Invoer!$A$5),1,1)+MOD(ROWS(B$2:B224)-1,DATE(YEAR(Invoer!$A$5),12,31)-DATE(YEAR(Invoer!$A$5),1,1)+1),"jjjjmmdd")</f>
        <v>19450811</v>
      </c>
      <c r="C224" s="9">
        <v>1</v>
      </c>
      <c r="D224" s="14">
        <f t="shared" ca="1" si="6"/>
        <v>0</v>
      </c>
      <c r="E224" s="15">
        <f t="shared" ca="1" si="7"/>
        <v>0</v>
      </c>
    </row>
    <row r="225" spans="1:5" x14ac:dyDescent="0.25">
      <c r="A225" s="8">
        <f ca="1">INDEX(Stations,INT((ROWS(A$2:A225)-1)/(DATE(YEAR(Invoer!$A$5),12,31)-DATE(YEAR(Invoer!$A$5),1,1)+1))+2,1)</f>
        <v>73</v>
      </c>
      <c r="B225" t="str">
        <f ca="1">TEXT(DATE(YEAR(Invoer!$A$5),1,1)+MOD(ROWS(B$2:B225)-1,DATE(YEAR(Invoer!$A$5),12,31)-DATE(YEAR(Invoer!$A$5),1,1)+1),"jjjjmmdd")</f>
        <v>19450812</v>
      </c>
      <c r="C225" s="9">
        <v>1</v>
      </c>
      <c r="D225" s="14">
        <f t="shared" ca="1" si="6"/>
        <v>0</v>
      </c>
      <c r="E225" s="15">
        <f t="shared" ca="1" si="7"/>
        <v>0</v>
      </c>
    </row>
    <row r="226" spans="1:5" x14ac:dyDescent="0.25">
      <c r="A226" s="8">
        <f ca="1">INDEX(Stations,INT((ROWS(A$2:A226)-1)/(DATE(YEAR(Invoer!$A$5),12,31)-DATE(YEAR(Invoer!$A$5),1,1)+1))+2,1)</f>
        <v>73</v>
      </c>
      <c r="B226" t="str">
        <f ca="1">TEXT(DATE(YEAR(Invoer!$A$5),1,1)+MOD(ROWS(B$2:B226)-1,DATE(YEAR(Invoer!$A$5),12,31)-DATE(YEAR(Invoer!$A$5),1,1)+1),"jjjjmmdd")</f>
        <v>19450813</v>
      </c>
      <c r="C226" s="9">
        <v>1</v>
      </c>
      <c r="D226" s="14">
        <f t="shared" ca="1" si="6"/>
        <v>38</v>
      </c>
      <c r="E226" s="15">
        <f t="shared" ca="1" si="7"/>
        <v>0</v>
      </c>
    </row>
    <row r="227" spans="1:5" x14ac:dyDescent="0.25">
      <c r="A227" s="8">
        <f ca="1">INDEX(Stations,INT((ROWS(A$2:A227)-1)/(DATE(YEAR(Invoer!$A$5),12,31)-DATE(YEAR(Invoer!$A$5),1,1)+1))+2,1)</f>
        <v>73</v>
      </c>
      <c r="B227" t="str">
        <f ca="1">TEXT(DATE(YEAR(Invoer!$A$5),1,1)+MOD(ROWS(B$2:B227)-1,DATE(YEAR(Invoer!$A$5),12,31)-DATE(YEAR(Invoer!$A$5),1,1)+1),"jjjjmmdd")</f>
        <v>19450814</v>
      </c>
      <c r="C227" s="9">
        <v>1</v>
      </c>
      <c r="D227" s="14">
        <f t="shared" ca="1" si="6"/>
        <v>0</v>
      </c>
      <c r="E227" s="15">
        <f t="shared" ca="1" si="7"/>
        <v>0</v>
      </c>
    </row>
    <row r="228" spans="1:5" x14ac:dyDescent="0.25">
      <c r="A228" s="8">
        <f ca="1">INDEX(Stations,INT((ROWS(A$2:A228)-1)/(DATE(YEAR(Invoer!$A$5),12,31)-DATE(YEAR(Invoer!$A$5),1,1)+1))+2,1)</f>
        <v>73</v>
      </c>
      <c r="B228" t="str">
        <f ca="1">TEXT(DATE(YEAR(Invoer!$A$5),1,1)+MOD(ROWS(B$2:B228)-1,DATE(YEAR(Invoer!$A$5),12,31)-DATE(YEAR(Invoer!$A$5),1,1)+1),"jjjjmmdd")</f>
        <v>19450815</v>
      </c>
      <c r="C228" s="9">
        <v>1</v>
      </c>
      <c r="D228" s="14">
        <f t="shared" ca="1" si="6"/>
        <v>0</v>
      </c>
      <c r="E228" s="15">
        <f t="shared" ca="1" si="7"/>
        <v>0</v>
      </c>
    </row>
    <row r="229" spans="1:5" x14ac:dyDescent="0.25">
      <c r="A229" s="8">
        <f ca="1">INDEX(Stations,INT((ROWS(A$2:A229)-1)/(DATE(YEAR(Invoer!$A$5),12,31)-DATE(YEAR(Invoer!$A$5),1,1)+1))+2,1)</f>
        <v>73</v>
      </c>
      <c r="B229" t="str">
        <f ca="1">TEXT(DATE(YEAR(Invoer!$A$5),1,1)+MOD(ROWS(B$2:B229)-1,DATE(YEAR(Invoer!$A$5),12,31)-DATE(YEAR(Invoer!$A$5),1,1)+1),"jjjjmmdd")</f>
        <v>19450816</v>
      </c>
      <c r="C229" s="9">
        <v>1</v>
      </c>
      <c r="D229" s="14">
        <f t="shared" ca="1" si="6"/>
        <v>0</v>
      </c>
      <c r="E229" s="15">
        <f t="shared" ca="1" si="7"/>
        <v>0</v>
      </c>
    </row>
    <row r="230" spans="1:5" x14ac:dyDescent="0.25">
      <c r="A230" s="8">
        <f ca="1">INDEX(Stations,INT((ROWS(A$2:A230)-1)/(DATE(YEAR(Invoer!$A$5),12,31)-DATE(YEAR(Invoer!$A$5),1,1)+1))+2,1)</f>
        <v>73</v>
      </c>
      <c r="B230" t="str">
        <f ca="1">TEXT(DATE(YEAR(Invoer!$A$5),1,1)+MOD(ROWS(B$2:B230)-1,DATE(YEAR(Invoer!$A$5),12,31)-DATE(YEAR(Invoer!$A$5),1,1)+1),"jjjjmmdd")</f>
        <v>19450817</v>
      </c>
      <c r="C230" s="9">
        <v>1</v>
      </c>
      <c r="D230" s="14">
        <f t="shared" ca="1" si="6"/>
        <v>0</v>
      </c>
      <c r="E230" s="15">
        <f t="shared" ca="1" si="7"/>
        <v>0</v>
      </c>
    </row>
    <row r="231" spans="1:5" x14ac:dyDescent="0.25">
      <c r="A231" s="8">
        <f ca="1">INDEX(Stations,INT((ROWS(A$2:A231)-1)/(DATE(YEAR(Invoer!$A$5),12,31)-DATE(YEAR(Invoer!$A$5),1,1)+1))+2,1)</f>
        <v>73</v>
      </c>
      <c r="B231" t="str">
        <f ca="1">TEXT(DATE(YEAR(Invoer!$A$5),1,1)+MOD(ROWS(B$2:B231)-1,DATE(YEAR(Invoer!$A$5),12,31)-DATE(YEAR(Invoer!$A$5),1,1)+1),"jjjjmmdd")</f>
        <v>19450818</v>
      </c>
      <c r="C231" s="9">
        <v>1</v>
      </c>
      <c r="D231" s="14">
        <f t="shared" ca="1" si="6"/>
        <v>0</v>
      </c>
      <c r="E231" s="15">
        <f t="shared" ca="1" si="7"/>
        <v>0</v>
      </c>
    </row>
    <row r="232" spans="1:5" x14ac:dyDescent="0.25">
      <c r="A232" s="8">
        <f ca="1">INDEX(Stations,INT((ROWS(A$2:A232)-1)/(DATE(YEAR(Invoer!$A$5),12,31)-DATE(YEAR(Invoer!$A$5),1,1)+1))+2,1)</f>
        <v>73</v>
      </c>
      <c r="B232" t="str">
        <f ca="1">TEXT(DATE(YEAR(Invoer!$A$5),1,1)+MOD(ROWS(B$2:B232)-1,DATE(YEAR(Invoer!$A$5),12,31)-DATE(YEAR(Invoer!$A$5),1,1)+1),"jjjjmmdd")</f>
        <v>19450819</v>
      </c>
      <c r="C232" s="9">
        <v>1</v>
      </c>
      <c r="D232" s="14">
        <f t="shared" ca="1" si="6"/>
        <v>128</v>
      </c>
      <c r="E232" s="15">
        <f t="shared" ca="1" si="7"/>
        <v>0</v>
      </c>
    </row>
    <row r="233" spans="1:5" x14ac:dyDescent="0.25">
      <c r="A233" s="8">
        <f ca="1">INDEX(Stations,INT((ROWS(A$2:A233)-1)/(DATE(YEAR(Invoer!$A$5),12,31)-DATE(YEAR(Invoer!$A$5),1,1)+1))+2,1)</f>
        <v>73</v>
      </c>
      <c r="B233" t="str">
        <f ca="1">TEXT(DATE(YEAR(Invoer!$A$5),1,1)+MOD(ROWS(B$2:B233)-1,DATE(YEAR(Invoer!$A$5),12,31)-DATE(YEAR(Invoer!$A$5),1,1)+1),"jjjjmmdd")</f>
        <v>19450820</v>
      </c>
      <c r="C233" s="9">
        <v>1</v>
      </c>
      <c r="D233" s="14">
        <f t="shared" ca="1" si="6"/>
        <v>14</v>
      </c>
      <c r="E233" s="15">
        <f t="shared" ca="1" si="7"/>
        <v>0</v>
      </c>
    </row>
    <row r="234" spans="1:5" x14ac:dyDescent="0.25">
      <c r="A234" s="8">
        <f ca="1">INDEX(Stations,INT((ROWS(A$2:A234)-1)/(DATE(YEAR(Invoer!$A$5),12,31)-DATE(YEAR(Invoer!$A$5),1,1)+1))+2,1)</f>
        <v>73</v>
      </c>
      <c r="B234" t="str">
        <f ca="1">TEXT(DATE(YEAR(Invoer!$A$5),1,1)+MOD(ROWS(B$2:B234)-1,DATE(YEAR(Invoer!$A$5),12,31)-DATE(YEAR(Invoer!$A$5),1,1)+1),"jjjjmmdd")</f>
        <v>19450821</v>
      </c>
      <c r="C234" s="9">
        <v>1</v>
      </c>
      <c r="D234" s="14">
        <f t="shared" ca="1" si="6"/>
        <v>0</v>
      </c>
      <c r="E234" s="15">
        <f t="shared" ca="1" si="7"/>
        <v>0</v>
      </c>
    </row>
    <row r="235" spans="1:5" x14ac:dyDescent="0.25">
      <c r="A235" s="8">
        <f ca="1">INDEX(Stations,INT((ROWS(A$2:A235)-1)/(DATE(YEAR(Invoer!$A$5),12,31)-DATE(YEAR(Invoer!$A$5),1,1)+1))+2,1)</f>
        <v>73</v>
      </c>
      <c r="B235" t="str">
        <f ca="1">TEXT(DATE(YEAR(Invoer!$A$5),1,1)+MOD(ROWS(B$2:B235)-1,DATE(YEAR(Invoer!$A$5),12,31)-DATE(YEAR(Invoer!$A$5),1,1)+1),"jjjjmmdd")</f>
        <v>19450822</v>
      </c>
      <c r="C235" s="9">
        <v>1</v>
      </c>
      <c r="D235" s="14">
        <f t="shared" ca="1" si="6"/>
        <v>0</v>
      </c>
      <c r="E235" s="15">
        <f t="shared" ca="1" si="7"/>
        <v>0</v>
      </c>
    </row>
    <row r="236" spans="1:5" x14ac:dyDescent="0.25">
      <c r="A236" s="8">
        <f ca="1">INDEX(Stations,INT((ROWS(A$2:A236)-1)/(DATE(YEAR(Invoer!$A$5),12,31)-DATE(YEAR(Invoer!$A$5),1,1)+1))+2,1)</f>
        <v>73</v>
      </c>
      <c r="B236" t="str">
        <f ca="1">TEXT(DATE(YEAR(Invoer!$A$5),1,1)+MOD(ROWS(B$2:B236)-1,DATE(YEAR(Invoer!$A$5),12,31)-DATE(YEAR(Invoer!$A$5),1,1)+1),"jjjjmmdd")</f>
        <v>19450823</v>
      </c>
      <c r="C236" s="9">
        <v>1</v>
      </c>
      <c r="D236" s="14">
        <f t="shared" ca="1" si="6"/>
        <v>0</v>
      </c>
      <c r="E236" s="15">
        <f t="shared" ca="1" si="7"/>
        <v>0</v>
      </c>
    </row>
    <row r="237" spans="1:5" x14ac:dyDescent="0.25">
      <c r="A237" s="8">
        <f ca="1">INDEX(Stations,INT((ROWS(A$2:A237)-1)/(DATE(YEAR(Invoer!$A$5),12,31)-DATE(YEAR(Invoer!$A$5),1,1)+1))+2,1)</f>
        <v>73</v>
      </c>
      <c r="B237" t="str">
        <f ca="1">TEXT(DATE(YEAR(Invoer!$A$5),1,1)+MOD(ROWS(B$2:B237)-1,DATE(YEAR(Invoer!$A$5),12,31)-DATE(YEAR(Invoer!$A$5),1,1)+1),"jjjjmmdd")</f>
        <v>19450824</v>
      </c>
      <c r="C237" s="9">
        <v>1</v>
      </c>
      <c r="D237" s="14">
        <f t="shared" ca="1" si="6"/>
        <v>0</v>
      </c>
      <c r="E237" s="15">
        <f t="shared" ca="1" si="7"/>
        <v>0</v>
      </c>
    </row>
    <row r="238" spans="1:5" x14ac:dyDescent="0.25">
      <c r="A238" s="8">
        <f ca="1">INDEX(Stations,INT((ROWS(A$2:A238)-1)/(DATE(YEAR(Invoer!$A$5),12,31)-DATE(YEAR(Invoer!$A$5),1,1)+1))+2,1)</f>
        <v>73</v>
      </c>
      <c r="B238" t="str">
        <f ca="1">TEXT(DATE(YEAR(Invoer!$A$5),1,1)+MOD(ROWS(B$2:B238)-1,DATE(YEAR(Invoer!$A$5),12,31)-DATE(YEAR(Invoer!$A$5),1,1)+1),"jjjjmmdd")</f>
        <v>19450825</v>
      </c>
      <c r="C238" s="9">
        <v>1</v>
      </c>
      <c r="D238" s="14">
        <f t="shared" ca="1" si="6"/>
        <v>0</v>
      </c>
      <c r="E238" s="15">
        <f t="shared" ca="1" si="7"/>
        <v>0</v>
      </c>
    </row>
    <row r="239" spans="1:5" x14ac:dyDescent="0.25">
      <c r="A239" s="8">
        <f ca="1">INDEX(Stations,INT((ROWS(A$2:A239)-1)/(DATE(YEAR(Invoer!$A$5),12,31)-DATE(YEAR(Invoer!$A$5),1,1)+1))+2,1)</f>
        <v>73</v>
      </c>
      <c r="B239" t="str">
        <f ca="1">TEXT(DATE(YEAR(Invoer!$A$5),1,1)+MOD(ROWS(B$2:B239)-1,DATE(YEAR(Invoer!$A$5),12,31)-DATE(YEAR(Invoer!$A$5),1,1)+1),"jjjjmmdd")</f>
        <v>19450826</v>
      </c>
      <c r="C239" s="9">
        <v>1</v>
      </c>
      <c r="D239" s="14">
        <f t="shared" ca="1" si="6"/>
        <v>0</v>
      </c>
      <c r="E239" s="15">
        <f t="shared" ca="1" si="7"/>
        <v>0</v>
      </c>
    </row>
    <row r="240" spans="1:5" x14ac:dyDescent="0.25">
      <c r="A240" s="8">
        <f ca="1">INDEX(Stations,INT((ROWS(A$2:A240)-1)/(DATE(YEAR(Invoer!$A$5),12,31)-DATE(YEAR(Invoer!$A$5),1,1)+1))+2,1)</f>
        <v>73</v>
      </c>
      <c r="B240" t="str">
        <f ca="1">TEXT(DATE(YEAR(Invoer!$A$5),1,1)+MOD(ROWS(B$2:B240)-1,DATE(YEAR(Invoer!$A$5),12,31)-DATE(YEAR(Invoer!$A$5),1,1)+1),"jjjjmmdd")</f>
        <v>19450827</v>
      </c>
      <c r="C240" s="9">
        <v>1</v>
      </c>
      <c r="D240" s="14">
        <f t="shared" ca="1" si="6"/>
        <v>116</v>
      </c>
      <c r="E240" s="15">
        <f t="shared" ca="1" si="7"/>
        <v>0</v>
      </c>
    </row>
    <row r="241" spans="1:5" x14ac:dyDescent="0.25">
      <c r="A241" s="8">
        <f ca="1">INDEX(Stations,INT((ROWS(A$2:A241)-1)/(DATE(YEAR(Invoer!$A$5),12,31)-DATE(YEAR(Invoer!$A$5),1,1)+1))+2,1)</f>
        <v>73</v>
      </c>
      <c r="B241" t="str">
        <f ca="1">TEXT(DATE(YEAR(Invoer!$A$5),1,1)+MOD(ROWS(B$2:B241)-1,DATE(YEAR(Invoer!$A$5),12,31)-DATE(YEAR(Invoer!$A$5),1,1)+1),"jjjjmmdd")</f>
        <v>19450828</v>
      </c>
      <c r="C241" s="9">
        <v>1</v>
      </c>
      <c r="D241" s="14">
        <f t="shared" ca="1" si="6"/>
        <v>0</v>
      </c>
      <c r="E241" s="15">
        <f t="shared" ca="1" si="7"/>
        <v>0</v>
      </c>
    </row>
    <row r="242" spans="1:5" x14ac:dyDescent="0.25">
      <c r="A242" s="8">
        <f ca="1">INDEX(Stations,INT((ROWS(A$2:A242)-1)/(DATE(YEAR(Invoer!$A$5),12,31)-DATE(YEAR(Invoer!$A$5),1,1)+1))+2,1)</f>
        <v>73</v>
      </c>
      <c r="B242" t="str">
        <f ca="1">TEXT(DATE(YEAR(Invoer!$A$5),1,1)+MOD(ROWS(B$2:B242)-1,DATE(YEAR(Invoer!$A$5),12,31)-DATE(YEAR(Invoer!$A$5),1,1)+1),"jjjjmmdd")</f>
        <v>19450829</v>
      </c>
      <c r="C242" s="9">
        <v>1</v>
      </c>
      <c r="D242" s="14">
        <f t="shared" ca="1" si="6"/>
        <v>0</v>
      </c>
      <c r="E242" s="15">
        <f t="shared" ca="1" si="7"/>
        <v>0</v>
      </c>
    </row>
    <row r="243" spans="1:5" x14ac:dyDescent="0.25">
      <c r="A243" s="8">
        <f ca="1">INDEX(Stations,INT((ROWS(A$2:A243)-1)/(DATE(YEAR(Invoer!$A$5),12,31)-DATE(YEAR(Invoer!$A$5),1,1)+1))+2,1)</f>
        <v>73</v>
      </c>
      <c r="B243" t="str">
        <f ca="1">TEXT(DATE(YEAR(Invoer!$A$5),1,1)+MOD(ROWS(B$2:B243)-1,DATE(YEAR(Invoer!$A$5),12,31)-DATE(YEAR(Invoer!$A$5),1,1)+1),"jjjjmmdd")</f>
        <v>19450830</v>
      </c>
      <c r="C243" s="9">
        <v>1</v>
      </c>
      <c r="D243" s="14">
        <f t="shared" ca="1" si="6"/>
        <v>0</v>
      </c>
      <c r="E243" s="15">
        <f t="shared" ca="1" si="7"/>
        <v>0</v>
      </c>
    </row>
    <row r="244" spans="1:5" x14ac:dyDescent="0.25">
      <c r="A244" s="8">
        <f ca="1">INDEX(Stations,INT((ROWS(A$2:A244)-1)/(DATE(YEAR(Invoer!$A$5),12,31)-DATE(YEAR(Invoer!$A$5),1,1)+1))+2,1)</f>
        <v>73</v>
      </c>
      <c r="B244" t="str">
        <f ca="1">TEXT(DATE(YEAR(Invoer!$A$5),1,1)+MOD(ROWS(B$2:B244)-1,DATE(YEAR(Invoer!$A$5),12,31)-DATE(YEAR(Invoer!$A$5),1,1)+1),"jjjjmmdd")</f>
        <v>19450831</v>
      </c>
      <c r="C244" s="9">
        <v>1</v>
      </c>
      <c r="D244" s="14">
        <f t="shared" ca="1" si="6"/>
        <v>0</v>
      </c>
      <c r="E244" s="15">
        <f t="shared" ca="1" si="7"/>
        <v>0</v>
      </c>
    </row>
    <row r="245" spans="1:5" x14ac:dyDescent="0.25">
      <c r="A245" s="8">
        <f ca="1">INDEX(Stations,INT((ROWS(A$2:A245)-1)/(DATE(YEAR(Invoer!$A$5),12,31)-DATE(YEAR(Invoer!$A$5),1,1)+1))+2,1)</f>
        <v>73</v>
      </c>
      <c r="B245" t="str">
        <f ca="1">TEXT(DATE(YEAR(Invoer!$A$5),1,1)+MOD(ROWS(B$2:B245)-1,DATE(YEAR(Invoer!$A$5),12,31)-DATE(YEAR(Invoer!$A$5),1,1)+1),"jjjjmmdd")</f>
        <v>19450901</v>
      </c>
      <c r="C245" s="9">
        <v>1</v>
      </c>
      <c r="D245" s="14">
        <f t="shared" ca="1" si="6"/>
        <v>0</v>
      </c>
      <c r="E245" s="15">
        <f t="shared" ca="1" si="7"/>
        <v>0</v>
      </c>
    </row>
    <row r="246" spans="1:5" x14ac:dyDescent="0.25">
      <c r="A246" s="8">
        <f ca="1">INDEX(Stations,INT((ROWS(A$2:A246)-1)/(DATE(YEAR(Invoer!$A$5),12,31)-DATE(YEAR(Invoer!$A$5),1,1)+1))+2,1)</f>
        <v>73</v>
      </c>
      <c r="B246" t="str">
        <f ca="1">TEXT(DATE(YEAR(Invoer!$A$5),1,1)+MOD(ROWS(B$2:B246)-1,DATE(YEAR(Invoer!$A$5),12,31)-DATE(YEAR(Invoer!$A$5),1,1)+1),"jjjjmmdd")</f>
        <v>19450902</v>
      </c>
      <c r="C246" s="9">
        <v>1</v>
      </c>
      <c r="D246" s="14">
        <f t="shared" ca="1" si="6"/>
        <v>0</v>
      </c>
      <c r="E246" s="15">
        <f t="shared" ca="1" si="7"/>
        <v>0</v>
      </c>
    </row>
    <row r="247" spans="1:5" x14ac:dyDescent="0.25">
      <c r="A247" s="8">
        <f ca="1">INDEX(Stations,INT((ROWS(A$2:A247)-1)/(DATE(YEAR(Invoer!$A$5),12,31)-DATE(YEAR(Invoer!$A$5),1,1)+1))+2,1)</f>
        <v>73</v>
      </c>
      <c r="B247" t="str">
        <f ca="1">TEXT(DATE(YEAR(Invoer!$A$5),1,1)+MOD(ROWS(B$2:B247)-1,DATE(YEAR(Invoer!$A$5),12,31)-DATE(YEAR(Invoer!$A$5),1,1)+1),"jjjjmmdd")</f>
        <v>19450903</v>
      </c>
      <c r="C247" s="9">
        <v>1</v>
      </c>
      <c r="D247" s="14">
        <f t="shared" ca="1" si="6"/>
        <v>0</v>
      </c>
      <c r="E247" s="15">
        <f t="shared" ca="1" si="7"/>
        <v>0</v>
      </c>
    </row>
    <row r="248" spans="1:5" x14ac:dyDescent="0.25">
      <c r="A248" s="8">
        <f ca="1">INDEX(Stations,INT((ROWS(A$2:A248)-1)/(DATE(YEAR(Invoer!$A$5),12,31)-DATE(YEAR(Invoer!$A$5),1,1)+1))+2,1)</f>
        <v>73</v>
      </c>
      <c r="B248" t="str">
        <f ca="1">TEXT(DATE(YEAR(Invoer!$A$5),1,1)+MOD(ROWS(B$2:B248)-1,DATE(YEAR(Invoer!$A$5),12,31)-DATE(YEAR(Invoer!$A$5),1,1)+1),"jjjjmmdd")</f>
        <v>19450904</v>
      </c>
      <c r="C248" s="9">
        <v>1</v>
      </c>
      <c r="D248" s="14">
        <f t="shared" ca="1" si="6"/>
        <v>52</v>
      </c>
      <c r="E248" s="15">
        <f t="shared" ca="1" si="7"/>
        <v>0</v>
      </c>
    </row>
    <row r="249" spans="1:5" x14ac:dyDescent="0.25">
      <c r="A249" s="8">
        <f ca="1">INDEX(Stations,INT((ROWS(A$2:A249)-1)/(DATE(YEAR(Invoer!$A$5),12,31)-DATE(YEAR(Invoer!$A$5),1,1)+1))+2,1)</f>
        <v>73</v>
      </c>
      <c r="B249" t="str">
        <f ca="1">TEXT(DATE(YEAR(Invoer!$A$5),1,1)+MOD(ROWS(B$2:B249)-1,DATE(YEAR(Invoer!$A$5),12,31)-DATE(YEAR(Invoer!$A$5),1,1)+1),"jjjjmmdd")</f>
        <v>19450905</v>
      </c>
      <c r="C249" s="9">
        <v>1</v>
      </c>
      <c r="D249" s="14">
        <f t="shared" ca="1" si="6"/>
        <v>48</v>
      </c>
      <c r="E249" s="15">
        <f t="shared" ca="1" si="7"/>
        <v>0</v>
      </c>
    </row>
    <row r="250" spans="1:5" x14ac:dyDescent="0.25">
      <c r="A250" s="8">
        <f ca="1">INDEX(Stations,INT((ROWS(A$2:A250)-1)/(DATE(YEAR(Invoer!$A$5),12,31)-DATE(YEAR(Invoer!$A$5),1,1)+1))+2,1)</f>
        <v>73</v>
      </c>
      <c r="B250" t="str">
        <f ca="1">TEXT(DATE(YEAR(Invoer!$A$5),1,1)+MOD(ROWS(B$2:B250)-1,DATE(YEAR(Invoer!$A$5),12,31)-DATE(YEAR(Invoer!$A$5),1,1)+1),"jjjjmmdd")</f>
        <v>19450906</v>
      </c>
      <c r="C250" s="9">
        <v>1</v>
      </c>
      <c r="D250" s="14">
        <f t="shared" ca="1" si="6"/>
        <v>10</v>
      </c>
      <c r="E250" s="15">
        <f t="shared" ca="1" si="7"/>
        <v>0</v>
      </c>
    </row>
    <row r="251" spans="1:5" x14ac:dyDescent="0.25">
      <c r="A251" s="8">
        <f ca="1">INDEX(Stations,INT((ROWS(A$2:A251)-1)/(DATE(YEAR(Invoer!$A$5),12,31)-DATE(YEAR(Invoer!$A$5),1,1)+1))+2,1)</f>
        <v>73</v>
      </c>
      <c r="B251" t="str">
        <f ca="1">TEXT(DATE(YEAR(Invoer!$A$5),1,1)+MOD(ROWS(B$2:B251)-1,DATE(YEAR(Invoer!$A$5),12,31)-DATE(YEAR(Invoer!$A$5),1,1)+1),"jjjjmmdd")</f>
        <v>19450907</v>
      </c>
      <c r="C251" s="9">
        <v>1</v>
      </c>
      <c r="D251" s="14">
        <f t="shared" ca="1" si="6"/>
        <v>0</v>
      </c>
      <c r="E251" s="15">
        <f t="shared" ca="1" si="7"/>
        <v>0</v>
      </c>
    </row>
    <row r="252" spans="1:5" x14ac:dyDescent="0.25">
      <c r="A252" s="8">
        <f ca="1">INDEX(Stations,INT((ROWS(A$2:A252)-1)/(DATE(YEAR(Invoer!$A$5),12,31)-DATE(YEAR(Invoer!$A$5),1,1)+1))+2,1)</f>
        <v>73</v>
      </c>
      <c r="B252" t="str">
        <f ca="1">TEXT(DATE(YEAR(Invoer!$A$5),1,1)+MOD(ROWS(B$2:B252)-1,DATE(YEAR(Invoer!$A$5),12,31)-DATE(YEAR(Invoer!$A$5),1,1)+1),"jjjjmmdd")</f>
        <v>19450908</v>
      </c>
      <c r="C252" s="9">
        <v>1</v>
      </c>
      <c r="D252" s="14">
        <f t="shared" ca="1" si="6"/>
        <v>0</v>
      </c>
      <c r="E252" s="15">
        <f t="shared" ca="1" si="7"/>
        <v>0</v>
      </c>
    </row>
    <row r="253" spans="1:5" x14ac:dyDescent="0.25">
      <c r="A253" s="8">
        <f ca="1">INDEX(Stations,INT((ROWS(A$2:A253)-1)/(DATE(YEAR(Invoer!$A$5),12,31)-DATE(YEAR(Invoer!$A$5),1,1)+1))+2,1)</f>
        <v>73</v>
      </c>
      <c r="B253" t="str">
        <f ca="1">TEXT(DATE(YEAR(Invoer!$A$5),1,1)+MOD(ROWS(B$2:B253)-1,DATE(YEAR(Invoer!$A$5),12,31)-DATE(YEAR(Invoer!$A$5),1,1)+1),"jjjjmmdd")</f>
        <v>19450909</v>
      </c>
      <c r="C253" s="9">
        <v>1</v>
      </c>
      <c r="D253" s="14">
        <f t="shared" ca="1" si="6"/>
        <v>0</v>
      </c>
      <c r="E253" s="15">
        <f t="shared" ca="1" si="7"/>
        <v>0</v>
      </c>
    </row>
    <row r="254" spans="1:5" x14ac:dyDescent="0.25">
      <c r="A254" s="8">
        <f ca="1">INDEX(Stations,INT((ROWS(A$2:A254)-1)/(DATE(YEAR(Invoer!$A$5),12,31)-DATE(YEAR(Invoer!$A$5),1,1)+1))+2,1)</f>
        <v>73</v>
      </c>
      <c r="B254" t="str">
        <f ca="1">TEXT(DATE(YEAR(Invoer!$A$5),1,1)+MOD(ROWS(B$2:B254)-1,DATE(YEAR(Invoer!$A$5),12,31)-DATE(YEAR(Invoer!$A$5),1,1)+1),"jjjjmmdd")</f>
        <v>19450910</v>
      </c>
      <c r="C254" s="9">
        <v>1</v>
      </c>
      <c r="D254" s="14">
        <f t="shared" ca="1" si="6"/>
        <v>0</v>
      </c>
      <c r="E254" s="15">
        <f t="shared" ca="1" si="7"/>
        <v>0</v>
      </c>
    </row>
    <row r="255" spans="1:5" x14ac:dyDescent="0.25">
      <c r="A255" s="8">
        <f ca="1">INDEX(Stations,INT((ROWS(A$2:A255)-1)/(DATE(YEAR(Invoer!$A$5),12,31)-DATE(YEAR(Invoer!$A$5),1,1)+1))+2,1)</f>
        <v>73</v>
      </c>
      <c r="B255" t="str">
        <f ca="1">TEXT(DATE(YEAR(Invoer!$A$5),1,1)+MOD(ROWS(B$2:B255)-1,DATE(YEAR(Invoer!$A$5),12,31)-DATE(YEAR(Invoer!$A$5),1,1)+1),"jjjjmmdd")</f>
        <v>19450911</v>
      </c>
      <c r="C255" s="9">
        <v>1</v>
      </c>
      <c r="D255" s="14">
        <f t="shared" ca="1" si="6"/>
        <v>0</v>
      </c>
      <c r="E255" s="15">
        <f t="shared" ca="1" si="7"/>
        <v>0</v>
      </c>
    </row>
    <row r="256" spans="1:5" x14ac:dyDescent="0.25">
      <c r="A256" s="8">
        <f ca="1">INDEX(Stations,INT((ROWS(A$2:A256)-1)/(DATE(YEAR(Invoer!$A$5),12,31)-DATE(YEAR(Invoer!$A$5),1,1)+1))+2,1)</f>
        <v>73</v>
      </c>
      <c r="B256" t="str">
        <f ca="1">TEXT(DATE(YEAR(Invoer!$A$5),1,1)+MOD(ROWS(B$2:B256)-1,DATE(YEAR(Invoer!$A$5),12,31)-DATE(YEAR(Invoer!$A$5),1,1)+1),"jjjjmmdd")</f>
        <v>19450912</v>
      </c>
      <c r="C256" s="9">
        <v>1</v>
      </c>
      <c r="D256" s="14">
        <f t="shared" ca="1" si="6"/>
        <v>153</v>
      </c>
      <c r="E256" s="15">
        <f t="shared" ca="1" si="7"/>
        <v>0</v>
      </c>
    </row>
    <row r="257" spans="1:5" x14ac:dyDescent="0.25">
      <c r="A257" s="8">
        <f ca="1">INDEX(Stations,INT((ROWS(A$2:A257)-1)/(DATE(YEAR(Invoer!$A$5),12,31)-DATE(YEAR(Invoer!$A$5),1,1)+1))+2,1)</f>
        <v>73</v>
      </c>
      <c r="B257" t="str">
        <f ca="1">TEXT(DATE(YEAR(Invoer!$A$5),1,1)+MOD(ROWS(B$2:B257)-1,DATE(YEAR(Invoer!$A$5),12,31)-DATE(YEAR(Invoer!$A$5),1,1)+1),"jjjjmmdd")</f>
        <v>19450913</v>
      </c>
      <c r="C257" s="9">
        <v>1</v>
      </c>
      <c r="D257" s="14">
        <f t="shared" ca="1" si="6"/>
        <v>0</v>
      </c>
      <c r="E257" s="15">
        <f t="shared" ca="1" si="7"/>
        <v>0</v>
      </c>
    </row>
    <row r="258" spans="1:5" x14ac:dyDescent="0.25">
      <c r="A258" s="8">
        <f ca="1">INDEX(Stations,INT((ROWS(A$2:A258)-1)/(DATE(YEAR(Invoer!$A$5),12,31)-DATE(YEAR(Invoer!$A$5),1,1)+1))+2,1)</f>
        <v>73</v>
      </c>
      <c r="B258" t="str">
        <f ca="1">TEXT(DATE(YEAR(Invoer!$A$5),1,1)+MOD(ROWS(B$2:B258)-1,DATE(YEAR(Invoer!$A$5),12,31)-DATE(YEAR(Invoer!$A$5),1,1)+1),"jjjjmmdd")</f>
        <v>19450914</v>
      </c>
      <c r="C258" s="9">
        <v>1</v>
      </c>
      <c r="D258" s="14">
        <f t="shared" ref="D258:D321" ca="1" si="8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"—",VLOOKUP(DATEVALUE(LEFT(B258,4)&amp;"-"&amp;MID(B258,5,2)&amp;"-"&amp;RIGHT(B258,2)),Data,MATCH(VLOOKUP(A258,Stations,2,FALSE()),OFFSET(Data,1,0,1),0),FALSE()))</f>
        <v>59</v>
      </c>
      <c r="E258" s="15">
        <f t="shared" ref="E258:E321" ca="1" si="9">IF(OR(ISBLANK(VLOOKUP(DATEVALUE(LEFT(B258,4)&amp;"-"&amp;MID(B258,5,2)&amp;"-"&amp;RIGHT(B258,2)),Data,MATCH(VLOOKUP(A258,Stations,2,FALSE()),OFFSET(Data,1,0,1),0),FALSE())),ISTEXT(VLOOKUP(DATEVALUE(LEFT(B258,4)&amp;"-"&amp;MID(B258,5,2)&amp;"-"&amp;RIGHT(B258,2)),Data,MATCH(VLOOKUP(A258,Stations,2,FALSE()),OFFSET(Data,1,0,1),0),FALSE()))),Lacking,IF(ISNA(MATCH(DATEVALUE(LEFT(B258,4)&amp;"-"&amp;MID(B258,5,2)&amp;"-"&amp;RIGHT(B258,2)),OFFSET(Catalogus,0,0,,1),0)),Ok,VLOOKUP(DATEVALUE(LEFT(B258,4)&amp;"-"&amp;MID(B258,5,2)&amp;"-"&amp;RIGHT(B258,2)),Catalogus,MATCH(VLOOKUP(A258,Stations,2,FALSE()),OFFSET(Catalogus,1,0,1),0),FALSE())))</f>
        <v>0</v>
      </c>
    </row>
    <row r="259" spans="1:5" x14ac:dyDescent="0.25">
      <c r="A259" s="8">
        <f ca="1">INDEX(Stations,INT((ROWS(A$2:A259)-1)/(DATE(YEAR(Invoer!$A$5),12,31)-DATE(YEAR(Invoer!$A$5),1,1)+1))+2,1)</f>
        <v>73</v>
      </c>
      <c r="B259" t="str">
        <f ca="1">TEXT(DATE(YEAR(Invoer!$A$5),1,1)+MOD(ROWS(B$2:B259)-1,DATE(YEAR(Invoer!$A$5),12,31)-DATE(YEAR(Invoer!$A$5),1,1)+1),"jjjjmmdd")</f>
        <v>19450915</v>
      </c>
      <c r="C259" s="9">
        <v>1</v>
      </c>
      <c r="D259" s="14">
        <f t="shared" ca="1" si="8"/>
        <v>113</v>
      </c>
      <c r="E259" s="15">
        <f t="shared" ca="1" si="9"/>
        <v>0</v>
      </c>
    </row>
    <row r="260" spans="1:5" x14ac:dyDescent="0.25">
      <c r="A260" s="8">
        <f ca="1">INDEX(Stations,INT((ROWS(A$2:A260)-1)/(DATE(YEAR(Invoer!$A$5),12,31)-DATE(YEAR(Invoer!$A$5),1,1)+1))+2,1)</f>
        <v>73</v>
      </c>
      <c r="B260" t="str">
        <f ca="1">TEXT(DATE(YEAR(Invoer!$A$5),1,1)+MOD(ROWS(B$2:B260)-1,DATE(YEAR(Invoer!$A$5),12,31)-DATE(YEAR(Invoer!$A$5),1,1)+1),"jjjjmmdd")</f>
        <v>19450916</v>
      </c>
      <c r="C260" s="9">
        <v>1</v>
      </c>
      <c r="D260" s="14">
        <f t="shared" ca="1" si="8"/>
        <v>265</v>
      </c>
      <c r="E260" s="15">
        <f t="shared" ca="1" si="9"/>
        <v>0</v>
      </c>
    </row>
    <row r="261" spans="1:5" x14ac:dyDescent="0.25">
      <c r="A261" s="8">
        <f ca="1">INDEX(Stations,INT((ROWS(A$2:A261)-1)/(DATE(YEAR(Invoer!$A$5),12,31)-DATE(YEAR(Invoer!$A$5),1,1)+1))+2,1)</f>
        <v>73</v>
      </c>
      <c r="B261" t="str">
        <f ca="1">TEXT(DATE(YEAR(Invoer!$A$5),1,1)+MOD(ROWS(B$2:B261)-1,DATE(YEAR(Invoer!$A$5),12,31)-DATE(YEAR(Invoer!$A$5),1,1)+1),"jjjjmmdd")</f>
        <v>19450917</v>
      </c>
      <c r="C261" s="9">
        <v>1</v>
      </c>
      <c r="D261" s="14">
        <f t="shared" ca="1" si="8"/>
        <v>270</v>
      </c>
      <c r="E261" s="15">
        <f t="shared" ca="1" si="9"/>
        <v>0</v>
      </c>
    </row>
    <row r="262" spans="1:5" x14ac:dyDescent="0.25">
      <c r="A262" s="8">
        <f ca="1">INDEX(Stations,INT((ROWS(A$2:A262)-1)/(DATE(YEAR(Invoer!$A$5),12,31)-DATE(YEAR(Invoer!$A$5),1,1)+1))+2,1)</f>
        <v>73</v>
      </c>
      <c r="B262" t="str">
        <f ca="1">TEXT(DATE(YEAR(Invoer!$A$5),1,1)+MOD(ROWS(B$2:B262)-1,DATE(YEAR(Invoer!$A$5),12,31)-DATE(YEAR(Invoer!$A$5),1,1)+1),"jjjjmmdd")</f>
        <v>19450918</v>
      </c>
      <c r="C262" s="9">
        <v>1</v>
      </c>
      <c r="D262" s="14">
        <f t="shared" ca="1" si="8"/>
        <v>0</v>
      </c>
      <c r="E262" s="15">
        <f t="shared" ca="1" si="9"/>
        <v>0</v>
      </c>
    </row>
    <row r="263" spans="1:5" x14ac:dyDescent="0.25">
      <c r="A263" s="8">
        <f ca="1">INDEX(Stations,INT((ROWS(A$2:A263)-1)/(DATE(YEAR(Invoer!$A$5),12,31)-DATE(YEAR(Invoer!$A$5),1,1)+1))+2,1)</f>
        <v>73</v>
      </c>
      <c r="B263" t="str">
        <f ca="1">TEXT(DATE(YEAR(Invoer!$A$5),1,1)+MOD(ROWS(B$2:B263)-1,DATE(YEAR(Invoer!$A$5),12,31)-DATE(YEAR(Invoer!$A$5),1,1)+1),"jjjjmmdd")</f>
        <v>19450919</v>
      </c>
      <c r="C263" s="9">
        <v>1</v>
      </c>
      <c r="D263" s="14">
        <f t="shared" ca="1" si="8"/>
        <v>0</v>
      </c>
      <c r="E263" s="15">
        <f t="shared" ca="1" si="9"/>
        <v>0</v>
      </c>
    </row>
    <row r="264" spans="1:5" x14ac:dyDescent="0.25">
      <c r="A264" s="8">
        <f ca="1">INDEX(Stations,INT((ROWS(A$2:A264)-1)/(DATE(YEAR(Invoer!$A$5),12,31)-DATE(YEAR(Invoer!$A$5),1,1)+1))+2,1)</f>
        <v>73</v>
      </c>
      <c r="B264" t="str">
        <f ca="1">TEXT(DATE(YEAR(Invoer!$A$5),1,1)+MOD(ROWS(B$2:B264)-1,DATE(YEAR(Invoer!$A$5),12,31)-DATE(YEAR(Invoer!$A$5),1,1)+1),"jjjjmmdd")</f>
        <v>19450920</v>
      </c>
      <c r="C264" s="9">
        <v>1</v>
      </c>
      <c r="D264" s="14">
        <f t="shared" ca="1" si="8"/>
        <v>78</v>
      </c>
      <c r="E264" s="15">
        <f t="shared" ca="1" si="9"/>
        <v>0</v>
      </c>
    </row>
    <row r="265" spans="1:5" x14ac:dyDescent="0.25">
      <c r="A265" s="8">
        <f ca="1">INDEX(Stations,INT((ROWS(A$2:A265)-1)/(DATE(YEAR(Invoer!$A$5),12,31)-DATE(YEAR(Invoer!$A$5),1,1)+1))+2,1)</f>
        <v>73</v>
      </c>
      <c r="B265" t="str">
        <f ca="1">TEXT(DATE(YEAR(Invoer!$A$5),1,1)+MOD(ROWS(B$2:B265)-1,DATE(YEAR(Invoer!$A$5),12,31)-DATE(YEAR(Invoer!$A$5),1,1)+1),"jjjjmmdd")</f>
        <v>19450921</v>
      </c>
      <c r="C265" s="9">
        <v>1</v>
      </c>
      <c r="D265" s="14">
        <f t="shared" ca="1" si="8"/>
        <v>225</v>
      </c>
      <c r="E265" s="15">
        <f t="shared" ca="1" si="9"/>
        <v>0</v>
      </c>
    </row>
    <row r="266" spans="1:5" x14ac:dyDescent="0.25">
      <c r="A266" s="8">
        <f ca="1">INDEX(Stations,INT((ROWS(A$2:A266)-1)/(DATE(YEAR(Invoer!$A$5),12,31)-DATE(YEAR(Invoer!$A$5),1,1)+1))+2,1)</f>
        <v>73</v>
      </c>
      <c r="B266" t="str">
        <f ca="1">TEXT(DATE(YEAR(Invoer!$A$5),1,1)+MOD(ROWS(B$2:B266)-1,DATE(YEAR(Invoer!$A$5),12,31)-DATE(YEAR(Invoer!$A$5),1,1)+1),"jjjjmmdd")</f>
        <v>19450922</v>
      </c>
      <c r="C266" s="9">
        <v>1</v>
      </c>
      <c r="D266" s="14">
        <f t="shared" ca="1" si="8"/>
        <v>0</v>
      </c>
      <c r="E266" s="15">
        <f t="shared" ca="1" si="9"/>
        <v>0</v>
      </c>
    </row>
    <row r="267" spans="1:5" x14ac:dyDescent="0.25">
      <c r="A267" s="8">
        <f ca="1">INDEX(Stations,INT((ROWS(A$2:A267)-1)/(DATE(YEAR(Invoer!$A$5),12,31)-DATE(YEAR(Invoer!$A$5),1,1)+1))+2,1)</f>
        <v>73</v>
      </c>
      <c r="B267" t="str">
        <f ca="1">TEXT(DATE(YEAR(Invoer!$A$5),1,1)+MOD(ROWS(B$2:B267)-1,DATE(YEAR(Invoer!$A$5),12,31)-DATE(YEAR(Invoer!$A$5),1,1)+1),"jjjjmmdd")</f>
        <v>19450923</v>
      </c>
      <c r="C267" s="9">
        <v>1</v>
      </c>
      <c r="D267" s="14">
        <f t="shared" ca="1" si="8"/>
        <v>198</v>
      </c>
      <c r="E267" s="15">
        <f t="shared" ca="1" si="9"/>
        <v>0</v>
      </c>
    </row>
    <row r="268" spans="1:5" x14ac:dyDescent="0.25">
      <c r="A268" s="8">
        <f ca="1">INDEX(Stations,INT((ROWS(A$2:A268)-1)/(DATE(YEAR(Invoer!$A$5),12,31)-DATE(YEAR(Invoer!$A$5),1,1)+1))+2,1)</f>
        <v>73</v>
      </c>
      <c r="B268" t="str">
        <f ca="1">TEXT(DATE(YEAR(Invoer!$A$5),1,1)+MOD(ROWS(B$2:B268)-1,DATE(YEAR(Invoer!$A$5),12,31)-DATE(YEAR(Invoer!$A$5),1,1)+1),"jjjjmmdd")</f>
        <v>19450924</v>
      </c>
      <c r="C268" s="9">
        <v>1</v>
      </c>
      <c r="D268" s="14">
        <f t="shared" ca="1" si="8"/>
        <v>0</v>
      </c>
      <c r="E268" s="15">
        <f t="shared" ca="1" si="9"/>
        <v>0</v>
      </c>
    </row>
    <row r="269" spans="1:5" x14ac:dyDescent="0.25">
      <c r="A269" s="8">
        <f ca="1">INDEX(Stations,INT((ROWS(A$2:A269)-1)/(DATE(YEAR(Invoer!$A$5),12,31)-DATE(YEAR(Invoer!$A$5),1,1)+1))+2,1)</f>
        <v>73</v>
      </c>
      <c r="B269" t="str">
        <f ca="1">TEXT(DATE(YEAR(Invoer!$A$5),1,1)+MOD(ROWS(B$2:B269)-1,DATE(YEAR(Invoer!$A$5),12,31)-DATE(YEAR(Invoer!$A$5),1,1)+1),"jjjjmmdd")</f>
        <v>19450925</v>
      </c>
      <c r="C269" s="9">
        <v>1</v>
      </c>
      <c r="D269" s="14">
        <f t="shared" ca="1" si="8"/>
        <v>0</v>
      </c>
      <c r="E269" s="15">
        <f t="shared" ca="1" si="9"/>
        <v>0</v>
      </c>
    </row>
    <row r="270" spans="1:5" x14ac:dyDescent="0.25">
      <c r="A270" s="8">
        <f ca="1">INDEX(Stations,INT((ROWS(A$2:A270)-1)/(DATE(YEAR(Invoer!$A$5),12,31)-DATE(YEAR(Invoer!$A$5),1,1)+1))+2,1)</f>
        <v>73</v>
      </c>
      <c r="B270" t="str">
        <f ca="1">TEXT(DATE(YEAR(Invoer!$A$5),1,1)+MOD(ROWS(B$2:B270)-1,DATE(YEAR(Invoer!$A$5),12,31)-DATE(YEAR(Invoer!$A$5),1,1)+1),"jjjjmmdd")</f>
        <v>19450926</v>
      </c>
      <c r="C270" s="9">
        <v>1</v>
      </c>
      <c r="D270" s="14">
        <f t="shared" ca="1" si="8"/>
        <v>108</v>
      </c>
      <c r="E270" s="15">
        <f t="shared" ca="1" si="9"/>
        <v>0</v>
      </c>
    </row>
    <row r="271" spans="1:5" x14ac:dyDescent="0.25">
      <c r="A271" s="8">
        <f ca="1">INDEX(Stations,INT((ROWS(A$2:A271)-1)/(DATE(YEAR(Invoer!$A$5),12,31)-DATE(YEAR(Invoer!$A$5),1,1)+1))+2,1)</f>
        <v>73</v>
      </c>
      <c r="B271" t="str">
        <f ca="1">TEXT(DATE(YEAR(Invoer!$A$5),1,1)+MOD(ROWS(B$2:B271)-1,DATE(YEAR(Invoer!$A$5),12,31)-DATE(YEAR(Invoer!$A$5),1,1)+1),"jjjjmmdd")</f>
        <v>19450927</v>
      </c>
      <c r="C271" s="9">
        <v>1</v>
      </c>
      <c r="D271" s="14">
        <f t="shared" ca="1" si="8"/>
        <v>28</v>
      </c>
      <c r="E271" s="15">
        <f t="shared" ca="1" si="9"/>
        <v>0</v>
      </c>
    </row>
    <row r="272" spans="1:5" x14ac:dyDescent="0.25">
      <c r="A272" s="8">
        <f ca="1">INDEX(Stations,INT((ROWS(A$2:A272)-1)/(DATE(YEAR(Invoer!$A$5),12,31)-DATE(YEAR(Invoer!$A$5),1,1)+1))+2,1)</f>
        <v>73</v>
      </c>
      <c r="B272" t="str">
        <f ca="1">TEXT(DATE(YEAR(Invoer!$A$5),1,1)+MOD(ROWS(B$2:B272)-1,DATE(YEAR(Invoer!$A$5),12,31)-DATE(YEAR(Invoer!$A$5),1,1)+1),"jjjjmmdd")</f>
        <v>19450928</v>
      </c>
      <c r="C272" s="9">
        <v>1</v>
      </c>
      <c r="D272" s="14">
        <f t="shared" ca="1" si="8"/>
        <v>0</v>
      </c>
      <c r="E272" s="15">
        <f t="shared" ca="1" si="9"/>
        <v>0</v>
      </c>
    </row>
    <row r="273" spans="1:5" x14ac:dyDescent="0.25">
      <c r="A273" s="8">
        <f ca="1">INDEX(Stations,INT((ROWS(A$2:A273)-1)/(DATE(YEAR(Invoer!$A$5),12,31)-DATE(YEAR(Invoer!$A$5),1,1)+1))+2,1)</f>
        <v>73</v>
      </c>
      <c r="B273" t="str">
        <f ca="1">TEXT(DATE(YEAR(Invoer!$A$5),1,1)+MOD(ROWS(B$2:B273)-1,DATE(YEAR(Invoer!$A$5),12,31)-DATE(YEAR(Invoer!$A$5),1,1)+1),"jjjjmmdd")</f>
        <v>19450929</v>
      </c>
      <c r="C273" s="9">
        <v>1</v>
      </c>
      <c r="D273" s="14">
        <f t="shared" ca="1" si="8"/>
        <v>0</v>
      </c>
      <c r="E273" s="15">
        <f t="shared" ca="1" si="9"/>
        <v>0</v>
      </c>
    </row>
    <row r="274" spans="1:5" x14ac:dyDescent="0.25">
      <c r="A274" s="8">
        <f ca="1">INDEX(Stations,INT((ROWS(A$2:A274)-1)/(DATE(YEAR(Invoer!$A$5),12,31)-DATE(YEAR(Invoer!$A$5),1,1)+1))+2,1)</f>
        <v>73</v>
      </c>
      <c r="B274" t="str">
        <f ca="1">TEXT(DATE(YEAR(Invoer!$A$5),1,1)+MOD(ROWS(B$2:B274)-1,DATE(YEAR(Invoer!$A$5),12,31)-DATE(YEAR(Invoer!$A$5),1,1)+1),"jjjjmmdd")</f>
        <v>19450930</v>
      </c>
      <c r="C274" s="9">
        <v>1</v>
      </c>
      <c r="D274" s="14">
        <f t="shared" ca="1" si="8"/>
        <v>0</v>
      </c>
      <c r="E274" s="15">
        <f t="shared" ca="1" si="9"/>
        <v>0</v>
      </c>
    </row>
    <row r="275" spans="1:5" x14ac:dyDescent="0.25">
      <c r="A275" s="8">
        <f ca="1">INDEX(Stations,INT((ROWS(A$2:A275)-1)/(DATE(YEAR(Invoer!$A$5),12,31)-DATE(YEAR(Invoer!$A$5),1,1)+1))+2,1)</f>
        <v>73</v>
      </c>
      <c r="B275" t="str">
        <f ca="1">TEXT(DATE(YEAR(Invoer!$A$5),1,1)+MOD(ROWS(B$2:B275)-1,DATE(YEAR(Invoer!$A$5),12,31)-DATE(YEAR(Invoer!$A$5),1,1)+1),"jjjjmmdd")</f>
        <v>19451001</v>
      </c>
      <c r="C275" s="9">
        <v>1</v>
      </c>
      <c r="D275" s="14">
        <f t="shared" ca="1" si="8"/>
        <v>0</v>
      </c>
      <c r="E275" s="15">
        <f t="shared" ca="1" si="9"/>
        <v>0</v>
      </c>
    </row>
    <row r="276" spans="1:5" x14ac:dyDescent="0.25">
      <c r="A276" s="8">
        <f ca="1">INDEX(Stations,INT((ROWS(A$2:A276)-1)/(DATE(YEAR(Invoer!$A$5),12,31)-DATE(YEAR(Invoer!$A$5),1,1)+1))+2,1)</f>
        <v>73</v>
      </c>
      <c r="B276" t="str">
        <f ca="1">TEXT(DATE(YEAR(Invoer!$A$5),1,1)+MOD(ROWS(B$2:B276)-1,DATE(YEAR(Invoer!$A$5),12,31)-DATE(YEAR(Invoer!$A$5),1,1)+1),"jjjjmmdd")</f>
        <v>19451002</v>
      </c>
      <c r="C276" s="9">
        <v>1</v>
      </c>
      <c r="D276" s="14">
        <f t="shared" ca="1" si="8"/>
        <v>63</v>
      </c>
      <c r="E276" s="15">
        <f t="shared" ca="1" si="9"/>
        <v>0</v>
      </c>
    </row>
    <row r="277" spans="1:5" x14ac:dyDescent="0.25">
      <c r="A277" s="8">
        <f ca="1">INDEX(Stations,INT((ROWS(A$2:A277)-1)/(DATE(YEAR(Invoer!$A$5),12,31)-DATE(YEAR(Invoer!$A$5),1,1)+1))+2,1)</f>
        <v>73</v>
      </c>
      <c r="B277" t="str">
        <f ca="1">TEXT(DATE(YEAR(Invoer!$A$5),1,1)+MOD(ROWS(B$2:B277)-1,DATE(YEAR(Invoer!$A$5),12,31)-DATE(YEAR(Invoer!$A$5),1,1)+1),"jjjjmmdd")</f>
        <v>19451003</v>
      </c>
      <c r="C277" s="9">
        <v>1</v>
      </c>
      <c r="D277" s="14">
        <f t="shared" ca="1" si="8"/>
        <v>151</v>
      </c>
      <c r="E277" s="15">
        <f t="shared" ca="1" si="9"/>
        <v>0</v>
      </c>
    </row>
    <row r="278" spans="1:5" x14ac:dyDescent="0.25">
      <c r="A278" s="8">
        <f ca="1">INDEX(Stations,INT((ROWS(A$2:A278)-1)/(DATE(YEAR(Invoer!$A$5),12,31)-DATE(YEAR(Invoer!$A$5),1,1)+1))+2,1)</f>
        <v>73</v>
      </c>
      <c r="B278" t="str">
        <f ca="1">TEXT(DATE(YEAR(Invoer!$A$5),1,1)+MOD(ROWS(B$2:B278)-1,DATE(YEAR(Invoer!$A$5),12,31)-DATE(YEAR(Invoer!$A$5),1,1)+1),"jjjjmmdd")</f>
        <v>19451004</v>
      </c>
      <c r="C278" s="9">
        <v>1</v>
      </c>
      <c r="D278" s="14">
        <f t="shared" ca="1" si="8"/>
        <v>18</v>
      </c>
      <c r="E278" s="15">
        <f t="shared" ca="1" si="9"/>
        <v>0</v>
      </c>
    </row>
    <row r="279" spans="1:5" x14ac:dyDescent="0.25">
      <c r="A279" s="8">
        <f ca="1">INDEX(Stations,INT((ROWS(A$2:A279)-1)/(DATE(YEAR(Invoer!$A$5),12,31)-DATE(YEAR(Invoer!$A$5),1,1)+1))+2,1)</f>
        <v>73</v>
      </c>
      <c r="B279" t="str">
        <f ca="1">TEXT(DATE(YEAR(Invoer!$A$5),1,1)+MOD(ROWS(B$2:B279)-1,DATE(YEAR(Invoer!$A$5),12,31)-DATE(YEAR(Invoer!$A$5),1,1)+1),"jjjjmmdd")</f>
        <v>19451005</v>
      </c>
      <c r="C279" s="9">
        <v>1</v>
      </c>
      <c r="D279" s="14">
        <f t="shared" ca="1" si="8"/>
        <v>614</v>
      </c>
      <c r="E279" s="15">
        <f t="shared" ca="1" si="9"/>
        <v>0</v>
      </c>
    </row>
    <row r="280" spans="1:5" x14ac:dyDescent="0.25">
      <c r="A280" s="8">
        <f ca="1">INDEX(Stations,INT((ROWS(A$2:A280)-1)/(DATE(YEAR(Invoer!$A$5),12,31)-DATE(YEAR(Invoer!$A$5),1,1)+1))+2,1)</f>
        <v>73</v>
      </c>
      <c r="B280" t="str">
        <f ca="1">TEXT(DATE(YEAR(Invoer!$A$5),1,1)+MOD(ROWS(B$2:B280)-1,DATE(YEAR(Invoer!$A$5),12,31)-DATE(YEAR(Invoer!$A$5),1,1)+1),"jjjjmmdd")</f>
        <v>19451006</v>
      </c>
      <c r="C280" s="9">
        <v>1</v>
      </c>
      <c r="D280" s="14">
        <f t="shared" ca="1" si="8"/>
        <v>0</v>
      </c>
      <c r="E280" s="15">
        <f t="shared" ca="1" si="9"/>
        <v>0</v>
      </c>
    </row>
    <row r="281" spans="1:5" x14ac:dyDescent="0.25">
      <c r="A281" s="8">
        <f ca="1">INDEX(Stations,INT((ROWS(A$2:A281)-1)/(DATE(YEAR(Invoer!$A$5),12,31)-DATE(YEAR(Invoer!$A$5),1,1)+1))+2,1)</f>
        <v>73</v>
      </c>
      <c r="B281" t="str">
        <f ca="1">TEXT(DATE(YEAR(Invoer!$A$5),1,1)+MOD(ROWS(B$2:B281)-1,DATE(YEAR(Invoer!$A$5),12,31)-DATE(YEAR(Invoer!$A$5),1,1)+1),"jjjjmmdd")</f>
        <v>19451007</v>
      </c>
      <c r="C281" s="9">
        <v>1</v>
      </c>
      <c r="D281" s="14">
        <f t="shared" ca="1" si="8"/>
        <v>0</v>
      </c>
      <c r="E281" s="15">
        <f t="shared" ca="1" si="9"/>
        <v>0</v>
      </c>
    </row>
    <row r="282" spans="1:5" x14ac:dyDescent="0.25">
      <c r="A282" s="8">
        <f ca="1">INDEX(Stations,INT((ROWS(A$2:A282)-1)/(DATE(YEAR(Invoer!$A$5),12,31)-DATE(YEAR(Invoer!$A$5),1,1)+1))+2,1)</f>
        <v>73</v>
      </c>
      <c r="B282" t="str">
        <f ca="1">TEXT(DATE(YEAR(Invoer!$A$5),1,1)+MOD(ROWS(B$2:B282)-1,DATE(YEAR(Invoer!$A$5),12,31)-DATE(YEAR(Invoer!$A$5),1,1)+1),"jjjjmmdd")</f>
        <v>19451008</v>
      </c>
      <c r="C282" s="9">
        <v>1</v>
      </c>
      <c r="D282" s="14">
        <f t="shared" ca="1" si="8"/>
        <v>27</v>
      </c>
      <c r="E282" s="15">
        <f t="shared" ca="1" si="9"/>
        <v>0</v>
      </c>
    </row>
    <row r="283" spans="1:5" x14ac:dyDescent="0.25">
      <c r="A283" s="8">
        <f ca="1">INDEX(Stations,INT((ROWS(A$2:A283)-1)/(DATE(YEAR(Invoer!$A$5),12,31)-DATE(YEAR(Invoer!$A$5),1,1)+1))+2,1)</f>
        <v>73</v>
      </c>
      <c r="B283" t="str">
        <f ca="1">TEXT(DATE(YEAR(Invoer!$A$5),1,1)+MOD(ROWS(B$2:B283)-1,DATE(YEAR(Invoer!$A$5),12,31)-DATE(YEAR(Invoer!$A$5),1,1)+1),"jjjjmmdd")</f>
        <v>19451009</v>
      </c>
      <c r="C283" s="9">
        <v>1</v>
      </c>
      <c r="D283" s="14">
        <f t="shared" ca="1" si="8"/>
        <v>0</v>
      </c>
      <c r="E283" s="15">
        <f t="shared" ca="1" si="9"/>
        <v>0</v>
      </c>
    </row>
    <row r="284" spans="1:5" x14ac:dyDescent="0.25">
      <c r="A284" s="8">
        <f ca="1">INDEX(Stations,INT((ROWS(A$2:A284)-1)/(DATE(YEAR(Invoer!$A$5),12,31)-DATE(YEAR(Invoer!$A$5),1,1)+1))+2,1)</f>
        <v>73</v>
      </c>
      <c r="B284" t="str">
        <f ca="1">TEXT(DATE(YEAR(Invoer!$A$5),1,1)+MOD(ROWS(B$2:B284)-1,DATE(YEAR(Invoer!$A$5),12,31)-DATE(YEAR(Invoer!$A$5),1,1)+1),"jjjjmmdd")</f>
        <v>19451010</v>
      </c>
      <c r="C284" s="9">
        <v>1</v>
      </c>
      <c r="D284" s="14">
        <f t="shared" ca="1" si="8"/>
        <v>0</v>
      </c>
      <c r="E284" s="15">
        <f t="shared" ca="1" si="9"/>
        <v>0</v>
      </c>
    </row>
    <row r="285" spans="1:5" x14ac:dyDescent="0.25">
      <c r="A285" s="8">
        <f ca="1">INDEX(Stations,INT((ROWS(A$2:A285)-1)/(DATE(YEAR(Invoer!$A$5),12,31)-DATE(YEAR(Invoer!$A$5),1,1)+1))+2,1)</f>
        <v>73</v>
      </c>
      <c r="B285" t="str">
        <f ca="1">TEXT(DATE(YEAR(Invoer!$A$5),1,1)+MOD(ROWS(B$2:B285)-1,DATE(YEAR(Invoer!$A$5),12,31)-DATE(YEAR(Invoer!$A$5),1,1)+1),"jjjjmmdd")</f>
        <v>19451011</v>
      </c>
      <c r="C285" s="9">
        <v>1</v>
      </c>
      <c r="D285" s="14">
        <f t="shared" ca="1" si="8"/>
        <v>32</v>
      </c>
      <c r="E285" s="15">
        <f t="shared" ca="1" si="9"/>
        <v>0</v>
      </c>
    </row>
    <row r="286" spans="1:5" x14ac:dyDescent="0.25">
      <c r="A286" s="8">
        <f ca="1">INDEX(Stations,INT((ROWS(A$2:A286)-1)/(DATE(YEAR(Invoer!$A$5),12,31)-DATE(YEAR(Invoer!$A$5),1,1)+1))+2,1)</f>
        <v>73</v>
      </c>
      <c r="B286" t="str">
        <f ca="1">TEXT(DATE(YEAR(Invoer!$A$5),1,1)+MOD(ROWS(B$2:B286)-1,DATE(YEAR(Invoer!$A$5),12,31)-DATE(YEAR(Invoer!$A$5),1,1)+1),"jjjjmmdd")</f>
        <v>19451012</v>
      </c>
      <c r="C286" s="9">
        <v>1</v>
      </c>
      <c r="D286" s="14">
        <f t="shared" ca="1" si="8"/>
        <v>0</v>
      </c>
      <c r="E286" s="15">
        <f t="shared" ca="1" si="9"/>
        <v>0</v>
      </c>
    </row>
    <row r="287" spans="1:5" x14ac:dyDescent="0.25">
      <c r="A287" s="8">
        <f ca="1">INDEX(Stations,INT((ROWS(A$2:A287)-1)/(DATE(YEAR(Invoer!$A$5),12,31)-DATE(YEAR(Invoer!$A$5),1,1)+1))+2,1)</f>
        <v>73</v>
      </c>
      <c r="B287" t="str">
        <f ca="1">TEXT(DATE(YEAR(Invoer!$A$5),1,1)+MOD(ROWS(B$2:B287)-1,DATE(YEAR(Invoer!$A$5),12,31)-DATE(YEAR(Invoer!$A$5),1,1)+1),"jjjjmmdd")</f>
        <v>19451013</v>
      </c>
      <c r="C287" s="9">
        <v>1</v>
      </c>
      <c r="D287" s="14">
        <f t="shared" ca="1" si="8"/>
        <v>0</v>
      </c>
      <c r="E287" s="15">
        <f t="shared" ca="1" si="9"/>
        <v>0</v>
      </c>
    </row>
    <row r="288" spans="1:5" x14ac:dyDescent="0.25">
      <c r="A288" s="8">
        <f ca="1">INDEX(Stations,INT((ROWS(A$2:A288)-1)/(DATE(YEAR(Invoer!$A$5),12,31)-DATE(YEAR(Invoer!$A$5),1,1)+1))+2,1)</f>
        <v>73</v>
      </c>
      <c r="B288" t="str">
        <f ca="1">TEXT(DATE(YEAR(Invoer!$A$5),1,1)+MOD(ROWS(B$2:B288)-1,DATE(YEAR(Invoer!$A$5),12,31)-DATE(YEAR(Invoer!$A$5),1,1)+1),"jjjjmmdd")</f>
        <v>19451014</v>
      </c>
      <c r="C288" s="9">
        <v>1</v>
      </c>
      <c r="D288" s="14">
        <f t="shared" ca="1" si="8"/>
        <v>0</v>
      </c>
      <c r="E288" s="15">
        <f t="shared" ca="1" si="9"/>
        <v>0</v>
      </c>
    </row>
    <row r="289" spans="1:5" x14ac:dyDescent="0.25">
      <c r="A289" s="8">
        <f ca="1">INDEX(Stations,INT((ROWS(A$2:A289)-1)/(DATE(YEAR(Invoer!$A$5),12,31)-DATE(YEAR(Invoer!$A$5),1,1)+1))+2,1)</f>
        <v>73</v>
      </c>
      <c r="B289" t="str">
        <f ca="1">TEXT(DATE(YEAR(Invoer!$A$5),1,1)+MOD(ROWS(B$2:B289)-1,DATE(YEAR(Invoer!$A$5),12,31)-DATE(YEAR(Invoer!$A$5),1,1)+1),"jjjjmmdd")</f>
        <v>19451015</v>
      </c>
      <c r="C289" s="9">
        <v>1</v>
      </c>
      <c r="D289" s="14">
        <f t="shared" ca="1" si="8"/>
        <v>0</v>
      </c>
      <c r="E289" s="15">
        <f t="shared" ca="1" si="9"/>
        <v>0</v>
      </c>
    </row>
    <row r="290" spans="1:5" x14ac:dyDescent="0.25">
      <c r="A290" s="8">
        <f ca="1">INDEX(Stations,INT((ROWS(A$2:A290)-1)/(DATE(YEAR(Invoer!$A$5),12,31)-DATE(YEAR(Invoer!$A$5),1,1)+1))+2,1)</f>
        <v>73</v>
      </c>
      <c r="B290" t="str">
        <f ca="1">TEXT(DATE(YEAR(Invoer!$A$5),1,1)+MOD(ROWS(B$2:B290)-1,DATE(YEAR(Invoer!$A$5),12,31)-DATE(YEAR(Invoer!$A$5),1,1)+1),"jjjjmmdd")</f>
        <v>19451016</v>
      </c>
      <c r="C290" s="9">
        <v>1</v>
      </c>
      <c r="D290" s="14">
        <f t="shared" ca="1" si="8"/>
        <v>0</v>
      </c>
      <c r="E290" s="15">
        <f t="shared" ca="1" si="9"/>
        <v>0</v>
      </c>
    </row>
    <row r="291" spans="1:5" x14ac:dyDescent="0.25">
      <c r="A291" s="8">
        <f ca="1">INDEX(Stations,INT((ROWS(A$2:A291)-1)/(DATE(YEAR(Invoer!$A$5),12,31)-DATE(YEAR(Invoer!$A$5),1,1)+1))+2,1)</f>
        <v>73</v>
      </c>
      <c r="B291" t="str">
        <f ca="1">TEXT(DATE(YEAR(Invoer!$A$5),1,1)+MOD(ROWS(B$2:B291)-1,DATE(YEAR(Invoer!$A$5),12,31)-DATE(YEAR(Invoer!$A$5),1,1)+1),"jjjjmmdd")</f>
        <v>19451017</v>
      </c>
      <c r="C291" s="9">
        <v>1</v>
      </c>
      <c r="D291" s="14">
        <f t="shared" ca="1" si="8"/>
        <v>41</v>
      </c>
      <c r="E291" s="15">
        <f t="shared" ca="1" si="9"/>
        <v>0</v>
      </c>
    </row>
    <row r="292" spans="1:5" x14ac:dyDescent="0.25">
      <c r="A292" s="8">
        <f ca="1">INDEX(Stations,INT((ROWS(A$2:A292)-1)/(DATE(YEAR(Invoer!$A$5),12,31)-DATE(YEAR(Invoer!$A$5),1,1)+1))+2,1)</f>
        <v>73</v>
      </c>
      <c r="B292" t="str">
        <f ca="1">TEXT(DATE(YEAR(Invoer!$A$5),1,1)+MOD(ROWS(B$2:B292)-1,DATE(YEAR(Invoer!$A$5),12,31)-DATE(YEAR(Invoer!$A$5),1,1)+1),"jjjjmmdd")</f>
        <v>19451018</v>
      </c>
      <c r="C292" s="9">
        <v>1</v>
      </c>
      <c r="D292" s="14">
        <f t="shared" ca="1" si="8"/>
        <v>38</v>
      </c>
      <c r="E292" s="15">
        <f t="shared" ca="1" si="9"/>
        <v>0</v>
      </c>
    </row>
    <row r="293" spans="1:5" x14ac:dyDescent="0.25">
      <c r="A293" s="8">
        <f ca="1">INDEX(Stations,INT((ROWS(A$2:A293)-1)/(DATE(YEAR(Invoer!$A$5),12,31)-DATE(YEAR(Invoer!$A$5),1,1)+1))+2,1)</f>
        <v>73</v>
      </c>
      <c r="B293" t="str">
        <f ca="1">TEXT(DATE(YEAR(Invoer!$A$5),1,1)+MOD(ROWS(B$2:B293)-1,DATE(YEAR(Invoer!$A$5),12,31)-DATE(YEAR(Invoer!$A$5),1,1)+1),"jjjjmmdd")</f>
        <v>19451019</v>
      </c>
      <c r="C293" s="9">
        <v>1</v>
      </c>
      <c r="D293" s="14">
        <f t="shared" ca="1" si="8"/>
        <v>0</v>
      </c>
      <c r="E293" s="15">
        <f t="shared" ca="1" si="9"/>
        <v>0</v>
      </c>
    </row>
    <row r="294" spans="1:5" x14ac:dyDescent="0.25">
      <c r="A294" s="8">
        <f ca="1">INDEX(Stations,INT((ROWS(A$2:A294)-1)/(DATE(YEAR(Invoer!$A$5),12,31)-DATE(YEAR(Invoer!$A$5),1,1)+1))+2,1)</f>
        <v>73</v>
      </c>
      <c r="B294" t="str">
        <f ca="1">TEXT(DATE(YEAR(Invoer!$A$5),1,1)+MOD(ROWS(B$2:B294)-1,DATE(YEAR(Invoer!$A$5),12,31)-DATE(YEAR(Invoer!$A$5),1,1)+1),"jjjjmmdd")</f>
        <v>19451020</v>
      </c>
      <c r="C294" s="9">
        <v>1</v>
      </c>
      <c r="D294" s="14">
        <f t="shared" ca="1" si="8"/>
        <v>0</v>
      </c>
      <c r="E294" s="15">
        <f t="shared" ca="1" si="9"/>
        <v>0</v>
      </c>
    </row>
    <row r="295" spans="1:5" x14ac:dyDescent="0.25">
      <c r="A295" s="8">
        <f ca="1">INDEX(Stations,INT((ROWS(A$2:A295)-1)/(DATE(YEAR(Invoer!$A$5),12,31)-DATE(YEAR(Invoer!$A$5),1,1)+1))+2,1)</f>
        <v>73</v>
      </c>
      <c r="B295" t="str">
        <f ca="1">TEXT(DATE(YEAR(Invoer!$A$5),1,1)+MOD(ROWS(B$2:B295)-1,DATE(YEAR(Invoer!$A$5),12,31)-DATE(YEAR(Invoer!$A$5),1,1)+1),"jjjjmmdd")</f>
        <v>19451021</v>
      </c>
      <c r="C295" s="9">
        <v>1</v>
      </c>
      <c r="D295" s="14">
        <f t="shared" ca="1" si="8"/>
        <v>32</v>
      </c>
      <c r="E295" s="15">
        <f t="shared" ca="1" si="9"/>
        <v>0</v>
      </c>
    </row>
    <row r="296" spans="1:5" x14ac:dyDescent="0.25">
      <c r="A296" s="8">
        <f ca="1">INDEX(Stations,INT((ROWS(A$2:A296)-1)/(DATE(YEAR(Invoer!$A$5),12,31)-DATE(YEAR(Invoer!$A$5),1,1)+1))+2,1)</f>
        <v>73</v>
      </c>
      <c r="B296" t="str">
        <f ca="1">TEXT(DATE(YEAR(Invoer!$A$5),1,1)+MOD(ROWS(B$2:B296)-1,DATE(YEAR(Invoer!$A$5),12,31)-DATE(YEAR(Invoer!$A$5),1,1)+1),"jjjjmmdd")</f>
        <v>19451022</v>
      </c>
      <c r="C296" s="9">
        <v>1</v>
      </c>
      <c r="D296" s="14">
        <f t="shared" ca="1" si="8"/>
        <v>0</v>
      </c>
      <c r="E296" s="15">
        <f t="shared" ca="1" si="9"/>
        <v>0</v>
      </c>
    </row>
    <row r="297" spans="1:5" x14ac:dyDescent="0.25">
      <c r="A297" s="8">
        <f ca="1">INDEX(Stations,INT((ROWS(A$2:A297)-1)/(DATE(YEAR(Invoer!$A$5),12,31)-DATE(YEAR(Invoer!$A$5),1,1)+1))+2,1)</f>
        <v>73</v>
      </c>
      <c r="B297" t="str">
        <f ca="1">TEXT(DATE(YEAR(Invoer!$A$5),1,1)+MOD(ROWS(B$2:B297)-1,DATE(YEAR(Invoer!$A$5),12,31)-DATE(YEAR(Invoer!$A$5),1,1)+1),"jjjjmmdd")</f>
        <v>19451023</v>
      </c>
      <c r="C297" s="9">
        <v>1</v>
      </c>
      <c r="D297" s="14">
        <f t="shared" ca="1" si="8"/>
        <v>0</v>
      </c>
      <c r="E297" s="15">
        <f t="shared" ca="1" si="9"/>
        <v>0</v>
      </c>
    </row>
    <row r="298" spans="1:5" x14ac:dyDescent="0.25">
      <c r="A298" s="8">
        <f ca="1">INDEX(Stations,INT((ROWS(A$2:A298)-1)/(DATE(YEAR(Invoer!$A$5),12,31)-DATE(YEAR(Invoer!$A$5),1,1)+1))+2,1)</f>
        <v>73</v>
      </c>
      <c r="B298" t="str">
        <f ca="1">TEXT(DATE(YEAR(Invoer!$A$5),1,1)+MOD(ROWS(B$2:B298)-1,DATE(YEAR(Invoer!$A$5),12,31)-DATE(YEAR(Invoer!$A$5),1,1)+1),"jjjjmmdd")</f>
        <v>19451024</v>
      </c>
      <c r="C298" s="9">
        <v>1</v>
      </c>
      <c r="D298" s="14">
        <f t="shared" ca="1" si="8"/>
        <v>0</v>
      </c>
      <c r="E298" s="15">
        <f t="shared" ca="1" si="9"/>
        <v>0</v>
      </c>
    </row>
    <row r="299" spans="1:5" x14ac:dyDescent="0.25">
      <c r="A299" s="8">
        <f ca="1">INDEX(Stations,INT((ROWS(A$2:A299)-1)/(DATE(YEAR(Invoer!$A$5),12,31)-DATE(YEAR(Invoer!$A$5),1,1)+1))+2,1)</f>
        <v>73</v>
      </c>
      <c r="B299" t="str">
        <f ca="1">TEXT(DATE(YEAR(Invoer!$A$5),1,1)+MOD(ROWS(B$2:B299)-1,DATE(YEAR(Invoer!$A$5),12,31)-DATE(YEAR(Invoer!$A$5),1,1)+1),"jjjjmmdd")</f>
        <v>19451025</v>
      </c>
      <c r="C299" s="9">
        <v>1</v>
      </c>
      <c r="D299" s="14">
        <f t="shared" ca="1" si="8"/>
        <v>16</v>
      </c>
      <c r="E299" s="15">
        <f t="shared" ca="1" si="9"/>
        <v>0</v>
      </c>
    </row>
    <row r="300" spans="1:5" x14ac:dyDescent="0.25">
      <c r="A300" s="8">
        <f ca="1">INDEX(Stations,INT((ROWS(A$2:A300)-1)/(DATE(YEAR(Invoer!$A$5),12,31)-DATE(YEAR(Invoer!$A$5),1,1)+1))+2,1)</f>
        <v>73</v>
      </c>
      <c r="B300" t="str">
        <f ca="1">TEXT(DATE(YEAR(Invoer!$A$5),1,1)+MOD(ROWS(B$2:B300)-1,DATE(YEAR(Invoer!$A$5),12,31)-DATE(YEAR(Invoer!$A$5),1,1)+1),"jjjjmmdd")</f>
        <v>19451026</v>
      </c>
      <c r="C300" s="9">
        <v>1</v>
      </c>
      <c r="D300" s="14">
        <f t="shared" ca="1" si="8"/>
        <v>121</v>
      </c>
      <c r="E300" s="15">
        <f t="shared" ca="1" si="9"/>
        <v>0</v>
      </c>
    </row>
    <row r="301" spans="1:5" x14ac:dyDescent="0.25">
      <c r="A301" s="8">
        <f ca="1">INDEX(Stations,INT((ROWS(A$2:A301)-1)/(DATE(YEAR(Invoer!$A$5),12,31)-DATE(YEAR(Invoer!$A$5),1,1)+1))+2,1)</f>
        <v>73</v>
      </c>
      <c r="B301" t="str">
        <f ca="1">TEXT(DATE(YEAR(Invoer!$A$5),1,1)+MOD(ROWS(B$2:B301)-1,DATE(YEAR(Invoer!$A$5),12,31)-DATE(YEAR(Invoer!$A$5),1,1)+1),"jjjjmmdd")</f>
        <v>19451027</v>
      </c>
      <c r="C301" s="9">
        <v>1</v>
      </c>
      <c r="D301" s="14">
        <f t="shared" ca="1" si="8"/>
        <v>0</v>
      </c>
      <c r="E301" s="15">
        <f t="shared" ca="1" si="9"/>
        <v>0</v>
      </c>
    </row>
    <row r="302" spans="1:5" x14ac:dyDescent="0.25">
      <c r="A302" s="8">
        <f ca="1">INDEX(Stations,INT((ROWS(A$2:A302)-1)/(DATE(YEAR(Invoer!$A$5),12,31)-DATE(YEAR(Invoer!$A$5),1,1)+1))+2,1)</f>
        <v>73</v>
      </c>
      <c r="B302" t="str">
        <f ca="1">TEXT(DATE(YEAR(Invoer!$A$5),1,1)+MOD(ROWS(B$2:B302)-1,DATE(YEAR(Invoer!$A$5),12,31)-DATE(YEAR(Invoer!$A$5),1,1)+1),"jjjjmmdd")</f>
        <v>19451028</v>
      </c>
      <c r="C302" s="9">
        <v>1</v>
      </c>
      <c r="D302" s="14">
        <f t="shared" ca="1" si="8"/>
        <v>72</v>
      </c>
      <c r="E302" s="15">
        <f t="shared" ca="1" si="9"/>
        <v>0</v>
      </c>
    </row>
    <row r="303" spans="1:5" x14ac:dyDescent="0.25">
      <c r="A303" s="8">
        <f ca="1">INDEX(Stations,INT((ROWS(A$2:A303)-1)/(DATE(YEAR(Invoer!$A$5),12,31)-DATE(YEAR(Invoer!$A$5),1,1)+1))+2,1)</f>
        <v>73</v>
      </c>
      <c r="B303" t="str">
        <f ca="1">TEXT(DATE(YEAR(Invoer!$A$5),1,1)+MOD(ROWS(B$2:B303)-1,DATE(YEAR(Invoer!$A$5),12,31)-DATE(YEAR(Invoer!$A$5),1,1)+1),"jjjjmmdd")</f>
        <v>19451029</v>
      </c>
      <c r="C303" s="9">
        <v>1</v>
      </c>
      <c r="D303" s="14">
        <f t="shared" ca="1" si="8"/>
        <v>0</v>
      </c>
      <c r="E303" s="15">
        <f t="shared" ca="1" si="9"/>
        <v>0</v>
      </c>
    </row>
    <row r="304" spans="1:5" x14ac:dyDescent="0.25">
      <c r="A304" s="8">
        <f ca="1">INDEX(Stations,INT((ROWS(A$2:A304)-1)/(DATE(YEAR(Invoer!$A$5),12,31)-DATE(YEAR(Invoer!$A$5),1,1)+1))+2,1)</f>
        <v>73</v>
      </c>
      <c r="B304" t="str">
        <f ca="1">TEXT(DATE(YEAR(Invoer!$A$5),1,1)+MOD(ROWS(B$2:B304)-1,DATE(YEAR(Invoer!$A$5),12,31)-DATE(YEAR(Invoer!$A$5),1,1)+1),"jjjjmmdd")</f>
        <v>19451030</v>
      </c>
      <c r="C304" s="9">
        <v>1</v>
      </c>
      <c r="D304" s="14">
        <f t="shared" ca="1" si="8"/>
        <v>0</v>
      </c>
      <c r="E304" s="15">
        <f t="shared" ca="1" si="9"/>
        <v>0</v>
      </c>
    </row>
    <row r="305" spans="1:5" x14ac:dyDescent="0.25">
      <c r="A305" s="8">
        <f ca="1">INDEX(Stations,INT((ROWS(A$2:A305)-1)/(DATE(YEAR(Invoer!$A$5),12,31)-DATE(YEAR(Invoer!$A$5),1,1)+1))+2,1)</f>
        <v>73</v>
      </c>
      <c r="B305" t="str">
        <f ca="1">TEXT(DATE(YEAR(Invoer!$A$5),1,1)+MOD(ROWS(B$2:B305)-1,DATE(YEAR(Invoer!$A$5),12,31)-DATE(YEAR(Invoer!$A$5),1,1)+1),"jjjjmmdd")</f>
        <v>19451031</v>
      </c>
      <c r="C305" s="9">
        <v>1</v>
      </c>
      <c r="D305" s="14">
        <f t="shared" ca="1" si="8"/>
        <v>72</v>
      </c>
      <c r="E305" s="15">
        <f t="shared" ca="1" si="9"/>
        <v>0</v>
      </c>
    </row>
    <row r="306" spans="1:5" x14ac:dyDescent="0.25">
      <c r="A306" s="8">
        <f ca="1">INDEX(Stations,INT((ROWS(A$2:A306)-1)/(DATE(YEAR(Invoer!$A$5),12,31)-DATE(YEAR(Invoer!$A$5),1,1)+1))+2,1)</f>
        <v>73</v>
      </c>
      <c r="B306" t="str">
        <f ca="1">TEXT(DATE(YEAR(Invoer!$A$5),1,1)+MOD(ROWS(B$2:B306)-1,DATE(YEAR(Invoer!$A$5),12,31)-DATE(YEAR(Invoer!$A$5),1,1)+1),"jjjjmmdd")</f>
        <v>19451101</v>
      </c>
      <c r="C306" s="9">
        <v>1</v>
      </c>
      <c r="D306" s="14">
        <f t="shared" ca="1" si="8"/>
        <v>6</v>
      </c>
      <c r="E306" s="15">
        <f t="shared" ca="1" si="9"/>
        <v>0</v>
      </c>
    </row>
    <row r="307" spans="1:5" x14ac:dyDescent="0.25">
      <c r="A307" s="8">
        <f ca="1">INDEX(Stations,INT((ROWS(A$2:A307)-1)/(DATE(YEAR(Invoer!$A$5),12,31)-DATE(YEAR(Invoer!$A$5),1,1)+1))+2,1)</f>
        <v>73</v>
      </c>
      <c r="B307" t="str">
        <f ca="1">TEXT(DATE(YEAR(Invoer!$A$5),1,1)+MOD(ROWS(B$2:B307)-1,DATE(YEAR(Invoer!$A$5),12,31)-DATE(YEAR(Invoer!$A$5),1,1)+1),"jjjjmmdd")</f>
        <v>19451102</v>
      </c>
      <c r="C307" s="9">
        <v>1</v>
      </c>
      <c r="D307" s="14">
        <f t="shared" ca="1" si="8"/>
        <v>0</v>
      </c>
      <c r="E307" s="15">
        <f t="shared" ca="1" si="9"/>
        <v>0</v>
      </c>
    </row>
    <row r="308" spans="1:5" x14ac:dyDescent="0.25">
      <c r="A308" s="8">
        <f ca="1">INDEX(Stations,INT((ROWS(A$2:A308)-1)/(DATE(YEAR(Invoer!$A$5),12,31)-DATE(YEAR(Invoer!$A$5),1,1)+1))+2,1)</f>
        <v>73</v>
      </c>
      <c r="B308" t="str">
        <f ca="1">TEXT(DATE(YEAR(Invoer!$A$5),1,1)+MOD(ROWS(B$2:B308)-1,DATE(YEAR(Invoer!$A$5),12,31)-DATE(YEAR(Invoer!$A$5),1,1)+1),"jjjjmmdd")</f>
        <v>19451103</v>
      </c>
      <c r="C308" s="9">
        <v>1</v>
      </c>
      <c r="D308" s="14">
        <f t="shared" ca="1" si="8"/>
        <v>657</v>
      </c>
      <c r="E308" s="15">
        <f t="shared" ca="1" si="9"/>
        <v>0</v>
      </c>
    </row>
    <row r="309" spans="1:5" x14ac:dyDescent="0.25">
      <c r="A309" s="8">
        <f ca="1">INDEX(Stations,INT((ROWS(A$2:A309)-1)/(DATE(YEAR(Invoer!$A$5),12,31)-DATE(YEAR(Invoer!$A$5),1,1)+1))+2,1)</f>
        <v>73</v>
      </c>
      <c r="B309" t="str">
        <f ca="1">TEXT(DATE(YEAR(Invoer!$A$5),1,1)+MOD(ROWS(B$2:B309)-1,DATE(YEAR(Invoer!$A$5),12,31)-DATE(YEAR(Invoer!$A$5),1,1)+1),"jjjjmmdd")</f>
        <v>19451104</v>
      </c>
      <c r="C309" s="9">
        <v>1</v>
      </c>
      <c r="D309" s="14">
        <f t="shared" ca="1" si="8"/>
        <v>340</v>
      </c>
      <c r="E309" s="15">
        <f t="shared" ca="1" si="9"/>
        <v>0</v>
      </c>
    </row>
    <row r="310" spans="1:5" x14ac:dyDescent="0.25">
      <c r="A310" s="8">
        <f ca="1">INDEX(Stations,INT((ROWS(A$2:A310)-1)/(DATE(YEAR(Invoer!$A$5),12,31)-DATE(YEAR(Invoer!$A$5),1,1)+1))+2,1)</f>
        <v>73</v>
      </c>
      <c r="B310" t="str">
        <f ca="1">TEXT(DATE(YEAR(Invoer!$A$5),1,1)+MOD(ROWS(B$2:B310)-1,DATE(YEAR(Invoer!$A$5),12,31)-DATE(YEAR(Invoer!$A$5),1,1)+1),"jjjjmmdd")</f>
        <v>19451105</v>
      </c>
      <c r="C310" s="9">
        <v>1</v>
      </c>
      <c r="D310" s="14">
        <f t="shared" ca="1" si="8"/>
        <v>15</v>
      </c>
      <c r="E310" s="15">
        <f t="shared" ca="1" si="9"/>
        <v>0</v>
      </c>
    </row>
    <row r="311" spans="1:5" x14ac:dyDescent="0.25">
      <c r="A311" s="8">
        <f ca="1">INDEX(Stations,INT((ROWS(A$2:A311)-1)/(DATE(YEAR(Invoer!$A$5),12,31)-DATE(YEAR(Invoer!$A$5),1,1)+1))+2,1)</f>
        <v>73</v>
      </c>
      <c r="B311" t="str">
        <f ca="1">TEXT(DATE(YEAR(Invoer!$A$5),1,1)+MOD(ROWS(B$2:B311)-1,DATE(YEAR(Invoer!$A$5),12,31)-DATE(YEAR(Invoer!$A$5),1,1)+1),"jjjjmmdd")</f>
        <v>19451106</v>
      </c>
      <c r="C311" s="9">
        <v>1</v>
      </c>
      <c r="D311" s="14">
        <f t="shared" ca="1" si="8"/>
        <v>60</v>
      </c>
      <c r="E311" s="15">
        <f t="shared" ca="1" si="9"/>
        <v>0</v>
      </c>
    </row>
    <row r="312" spans="1:5" x14ac:dyDescent="0.25">
      <c r="A312" s="8">
        <f ca="1">INDEX(Stations,INT((ROWS(A$2:A312)-1)/(DATE(YEAR(Invoer!$A$5),12,31)-DATE(YEAR(Invoer!$A$5),1,1)+1))+2,1)</f>
        <v>73</v>
      </c>
      <c r="B312" t="str">
        <f ca="1">TEXT(DATE(YEAR(Invoer!$A$5),1,1)+MOD(ROWS(B$2:B312)-1,DATE(YEAR(Invoer!$A$5),12,31)-DATE(YEAR(Invoer!$A$5),1,1)+1),"jjjjmmdd")</f>
        <v>19451107</v>
      </c>
      <c r="C312" s="9">
        <v>1</v>
      </c>
      <c r="D312" s="14">
        <f t="shared" ca="1" si="8"/>
        <v>65</v>
      </c>
      <c r="E312" s="15">
        <f t="shared" ca="1" si="9"/>
        <v>0</v>
      </c>
    </row>
    <row r="313" spans="1:5" x14ac:dyDescent="0.25">
      <c r="A313" s="8">
        <f ca="1">INDEX(Stations,INT((ROWS(A$2:A313)-1)/(DATE(YEAR(Invoer!$A$5),12,31)-DATE(YEAR(Invoer!$A$5),1,1)+1))+2,1)</f>
        <v>73</v>
      </c>
      <c r="B313" t="str">
        <f ca="1">TEXT(DATE(YEAR(Invoer!$A$5),1,1)+MOD(ROWS(B$2:B313)-1,DATE(YEAR(Invoer!$A$5),12,31)-DATE(YEAR(Invoer!$A$5),1,1)+1),"jjjjmmdd")</f>
        <v>19451108</v>
      </c>
      <c r="C313" s="9">
        <v>1</v>
      </c>
      <c r="D313" s="14">
        <f t="shared" ca="1" si="8"/>
        <v>0</v>
      </c>
      <c r="E313" s="15">
        <f t="shared" ca="1" si="9"/>
        <v>0</v>
      </c>
    </row>
    <row r="314" spans="1:5" x14ac:dyDescent="0.25">
      <c r="A314" s="8">
        <f ca="1">INDEX(Stations,INT((ROWS(A$2:A314)-1)/(DATE(YEAR(Invoer!$A$5),12,31)-DATE(YEAR(Invoer!$A$5),1,1)+1))+2,1)</f>
        <v>73</v>
      </c>
      <c r="B314" t="str">
        <f ca="1">TEXT(DATE(YEAR(Invoer!$A$5),1,1)+MOD(ROWS(B$2:B314)-1,DATE(YEAR(Invoer!$A$5),12,31)-DATE(YEAR(Invoer!$A$5),1,1)+1),"jjjjmmdd")</f>
        <v>19451109</v>
      </c>
      <c r="C314" s="9">
        <v>1</v>
      </c>
      <c r="D314" s="14">
        <f t="shared" ca="1" si="8"/>
        <v>0</v>
      </c>
      <c r="E314" s="15">
        <f t="shared" ca="1" si="9"/>
        <v>0</v>
      </c>
    </row>
    <row r="315" spans="1:5" x14ac:dyDescent="0.25">
      <c r="A315" s="8">
        <f ca="1">INDEX(Stations,INT((ROWS(A$2:A315)-1)/(DATE(YEAR(Invoer!$A$5),12,31)-DATE(YEAR(Invoer!$A$5),1,1)+1))+2,1)</f>
        <v>73</v>
      </c>
      <c r="B315" t="str">
        <f ca="1">TEXT(DATE(YEAR(Invoer!$A$5),1,1)+MOD(ROWS(B$2:B315)-1,DATE(YEAR(Invoer!$A$5),12,31)-DATE(YEAR(Invoer!$A$5),1,1)+1),"jjjjmmdd")</f>
        <v>19451110</v>
      </c>
      <c r="C315" s="9">
        <v>1</v>
      </c>
      <c r="D315" s="14">
        <f t="shared" ca="1" si="8"/>
        <v>0</v>
      </c>
      <c r="E315" s="15">
        <f t="shared" ca="1" si="9"/>
        <v>0</v>
      </c>
    </row>
    <row r="316" spans="1:5" x14ac:dyDescent="0.25">
      <c r="A316" s="8">
        <f ca="1">INDEX(Stations,INT((ROWS(A$2:A316)-1)/(DATE(YEAR(Invoer!$A$5),12,31)-DATE(YEAR(Invoer!$A$5),1,1)+1))+2,1)</f>
        <v>73</v>
      </c>
      <c r="B316" t="str">
        <f ca="1">TEXT(DATE(YEAR(Invoer!$A$5),1,1)+MOD(ROWS(B$2:B316)-1,DATE(YEAR(Invoer!$A$5),12,31)-DATE(YEAR(Invoer!$A$5),1,1)+1),"jjjjmmdd")</f>
        <v>19451111</v>
      </c>
      <c r="C316" s="9">
        <v>1</v>
      </c>
      <c r="D316" s="14">
        <f t="shared" ca="1" si="8"/>
        <v>0</v>
      </c>
      <c r="E316" s="15">
        <f t="shared" ca="1" si="9"/>
        <v>0</v>
      </c>
    </row>
    <row r="317" spans="1:5" x14ac:dyDescent="0.25">
      <c r="A317" s="8">
        <f ca="1">INDEX(Stations,INT((ROWS(A$2:A317)-1)/(DATE(YEAR(Invoer!$A$5),12,31)-DATE(YEAR(Invoer!$A$5),1,1)+1))+2,1)</f>
        <v>73</v>
      </c>
      <c r="B317" t="str">
        <f ca="1">TEXT(DATE(YEAR(Invoer!$A$5),1,1)+MOD(ROWS(B$2:B317)-1,DATE(YEAR(Invoer!$A$5),12,31)-DATE(YEAR(Invoer!$A$5),1,1)+1),"jjjjmmdd")</f>
        <v>19451112</v>
      </c>
      <c r="C317" s="9">
        <v>1</v>
      </c>
      <c r="D317" s="14">
        <f t="shared" ca="1" si="8"/>
        <v>0</v>
      </c>
      <c r="E317" s="15">
        <f t="shared" ca="1" si="9"/>
        <v>0</v>
      </c>
    </row>
    <row r="318" spans="1:5" x14ac:dyDescent="0.25">
      <c r="A318" s="8">
        <f ca="1">INDEX(Stations,INT((ROWS(A$2:A318)-1)/(DATE(YEAR(Invoer!$A$5),12,31)-DATE(YEAR(Invoer!$A$5),1,1)+1))+2,1)</f>
        <v>73</v>
      </c>
      <c r="B318" t="str">
        <f ca="1">TEXT(DATE(YEAR(Invoer!$A$5),1,1)+MOD(ROWS(B$2:B318)-1,DATE(YEAR(Invoer!$A$5),12,31)-DATE(YEAR(Invoer!$A$5),1,1)+1),"jjjjmmdd")</f>
        <v>19451113</v>
      </c>
      <c r="C318" s="9">
        <v>1</v>
      </c>
      <c r="D318" s="14">
        <f t="shared" ca="1" si="8"/>
        <v>0</v>
      </c>
      <c r="E318" s="15">
        <f t="shared" ca="1" si="9"/>
        <v>0</v>
      </c>
    </row>
    <row r="319" spans="1:5" x14ac:dyDescent="0.25">
      <c r="A319" s="8">
        <f ca="1">INDEX(Stations,INT((ROWS(A$2:A319)-1)/(DATE(YEAR(Invoer!$A$5),12,31)-DATE(YEAR(Invoer!$A$5),1,1)+1))+2,1)</f>
        <v>73</v>
      </c>
      <c r="B319" t="str">
        <f ca="1">TEXT(DATE(YEAR(Invoer!$A$5),1,1)+MOD(ROWS(B$2:B319)-1,DATE(YEAR(Invoer!$A$5),12,31)-DATE(YEAR(Invoer!$A$5),1,1)+1),"jjjjmmdd")</f>
        <v>19451114</v>
      </c>
      <c r="C319" s="9">
        <v>1</v>
      </c>
      <c r="D319" s="14">
        <f t="shared" ca="1" si="8"/>
        <v>0</v>
      </c>
      <c r="E319" s="15">
        <f t="shared" ca="1" si="9"/>
        <v>0</v>
      </c>
    </row>
    <row r="320" spans="1:5" x14ac:dyDescent="0.25">
      <c r="A320" s="8">
        <f ca="1">INDEX(Stations,INT((ROWS(A$2:A320)-1)/(DATE(YEAR(Invoer!$A$5),12,31)-DATE(YEAR(Invoer!$A$5),1,1)+1))+2,1)</f>
        <v>73</v>
      </c>
      <c r="B320" t="str">
        <f ca="1">TEXT(DATE(YEAR(Invoer!$A$5),1,1)+MOD(ROWS(B$2:B320)-1,DATE(YEAR(Invoer!$A$5),12,31)-DATE(YEAR(Invoer!$A$5),1,1)+1),"jjjjmmdd")</f>
        <v>19451115</v>
      </c>
      <c r="C320" s="9">
        <v>1</v>
      </c>
      <c r="D320" s="14">
        <f t="shared" ca="1" si="8"/>
        <v>0</v>
      </c>
      <c r="E320" s="15">
        <f t="shared" ca="1" si="9"/>
        <v>0</v>
      </c>
    </row>
    <row r="321" spans="1:5" x14ac:dyDescent="0.25">
      <c r="A321" s="8">
        <f ca="1">INDEX(Stations,INT((ROWS(A$2:A321)-1)/(DATE(YEAR(Invoer!$A$5),12,31)-DATE(YEAR(Invoer!$A$5),1,1)+1))+2,1)</f>
        <v>73</v>
      </c>
      <c r="B321" t="str">
        <f ca="1">TEXT(DATE(YEAR(Invoer!$A$5),1,1)+MOD(ROWS(B$2:B321)-1,DATE(YEAR(Invoer!$A$5),12,31)-DATE(YEAR(Invoer!$A$5),1,1)+1),"jjjjmmdd")</f>
        <v>19451116</v>
      </c>
      <c r="C321" s="9">
        <v>1</v>
      </c>
      <c r="D321" s="14">
        <f t="shared" ca="1" si="8"/>
        <v>14</v>
      </c>
      <c r="E321" s="15">
        <f t="shared" ca="1" si="9"/>
        <v>0</v>
      </c>
    </row>
    <row r="322" spans="1:5" x14ac:dyDescent="0.25">
      <c r="A322" s="8">
        <f ca="1">INDEX(Stations,INT((ROWS(A$2:A322)-1)/(DATE(YEAR(Invoer!$A$5),12,31)-DATE(YEAR(Invoer!$A$5),1,1)+1))+2,1)</f>
        <v>73</v>
      </c>
      <c r="B322" t="str">
        <f ca="1">TEXT(DATE(YEAR(Invoer!$A$5),1,1)+MOD(ROWS(B$2:B322)-1,DATE(YEAR(Invoer!$A$5),12,31)-DATE(YEAR(Invoer!$A$5),1,1)+1),"jjjjmmdd")</f>
        <v>19451117</v>
      </c>
      <c r="C322" s="9">
        <v>1</v>
      </c>
      <c r="D322" s="14">
        <f t="shared" ref="D322:D366" ca="1" si="10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"—",VLOOKUP(DATEVALUE(LEFT(B322,4)&amp;"-"&amp;MID(B322,5,2)&amp;"-"&amp;RIGHT(B322,2)),Data,MATCH(VLOOKUP(A322,Stations,2,FALSE()),OFFSET(Data,1,0,1),0),FALSE()))</f>
        <v>0</v>
      </c>
      <c r="E322" s="15">
        <f t="shared" ref="E322:E366" ca="1" si="11">IF(OR(ISBLANK(VLOOKUP(DATEVALUE(LEFT(B322,4)&amp;"-"&amp;MID(B322,5,2)&amp;"-"&amp;RIGHT(B322,2)),Data,MATCH(VLOOKUP(A322,Stations,2,FALSE()),OFFSET(Data,1,0,1),0),FALSE())),ISTEXT(VLOOKUP(DATEVALUE(LEFT(B322,4)&amp;"-"&amp;MID(B322,5,2)&amp;"-"&amp;RIGHT(B322,2)),Data,MATCH(VLOOKUP(A322,Stations,2,FALSE()),OFFSET(Data,1,0,1),0),FALSE()))),Lacking,IF(ISNA(MATCH(DATEVALUE(LEFT(B322,4)&amp;"-"&amp;MID(B322,5,2)&amp;"-"&amp;RIGHT(B322,2)),OFFSET(Catalogus,0,0,,1),0)),Ok,VLOOKUP(DATEVALUE(LEFT(B322,4)&amp;"-"&amp;MID(B322,5,2)&amp;"-"&amp;RIGHT(B322,2)),Catalogus,MATCH(VLOOKUP(A322,Stations,2,FALSE()),OFFSET(Catalogus,1,0,1),0),FALSE())))</f>
        <v>0</v>
      </c>
    </row>
    <row r="323" spans="1:5" x14ac:dyDescent="0.25">
      <c r="A323" s="8">
        <f ca="1">INDEX(Stations,INT((ROWS(A$2:A323)-1)/(DATE(YEAR(Invoer!$A$5),12,31)-DATE(YEAR(Invoer!$A$5),1,1)+1))+2,1)</f>
        <v>73</v>
      </c>
      <c r="B323" t="str">
        <f ca="1">TEXT(DATE(YEAR(Invoer!$A$5),1,1)+MOD(ROWS(B$2:B323)-1,DATE(YEAR(Invoer!$A$5),12,31)-DATE(YEAR(Invoer!$A$5),1,1)+1),"jjjjmmdd")</f>
        <v>19451118</v>
      </c>
      <c r="C323" s="9">
        <v>1</v>
      </c>
      <c r="D323" s="14">
        <f t="shared" ca="1" si="10"/>
        <v>136</v>
      </c>
      <c r="E323" s="15">
        <f t="shared" ca="1" si="11"/>
        <v>0</v>
      </c>
    </row>
    <row r="324" spans="1:5" x14ac:dyDescent="0.25">
      <c r="A324" s="8">
        <f ca="1">INDEX(Stations,INT((ROWS(A$2:A324)-1)/(DATE(YEAR(Invoer!$A$5),12,31)-DATE(YEAR(Invoer!$A$5),1,1)+1))+2,1)</f>
        <v>73</v>
      </c>
      <c r="B324" t="str">
        <f ca="1">TEXT(DATE(YEAR(Invoer!$A$5),1,1)+MOD(ROWS(B$2:B324)-1,DATE(YEAR(Invoer!$A$5),12,31)-DATE(YEAR(Invoer!$A$5),1,1)+1),"jjjjmmdd")</f>
        <v>19451119</v>
      </c>
      <c r="C324" s="9">
        <v>1</v>
      </c>
      <c r="D324" s="14">
        <f t="shared" ca="1" si="10"/>
        <v>65</v>
      </c>
      <c r="E324" s="15">
        <f t="shared" ca="1" si="11"/>
        <v>0</v>
      </c>
    </row>
    <row r="325" spans="1:5" x14ac:dyDescent="0.25">
      <c r="A325" s="8">
        <f ca="1">INDEX(Stations,INT((ROWS(A$2:A325)-1)/(DATE(YEAR(Invoer!$A$5),12,31)-DATE(YEAR(Invoer!$A$5),1,1)+1))+2,1)</f>
        <v>73</v>
      </c>
      <c r="B325" t="str">
        <f ca="1">TEXT(DATE(YEAR(Invoer!$A$5),1,1)+MOD(ROWS(B$2:B325)-1,DATE(YEAR(Invoer!$A$5),12,31)-DATE(YEAR(Invoer!$A$5),1,1)+1),"jjjjmmdd")</f>
        <v>19451120</v>
      </c>
      <c r="C325" s="9">
        <v>1</v>
      </c>
      <c r="D325" s="14">
        <f t="shared" ca="1" si="10"/>
        <v>0</v>
      </c>
      <c r="E325" s="15">
        <f t="shared" ca="1" si="11"/>
        <v>0</v>
      </c>
    </row>
    <row r="326" spans="1:5" x14ac:dyDescent="0.25">
      <c r="A326" s="8">
        <f ca="1">INDEX(Stations,INT((ROWS(A$2:A326)-1)/(DATE(YEAR(Invoer!$A$5),12,31)-DATE(YEAR(Invoer!$A$5),1,1)+1))+2,1)</f>
        <v>73</v>
      </c>
      <c r="B326" t="str">
        <f ca="1">TEXT(DATE(YEAR(Invoer!$A$5),1,1)+MOD(ROWS(B$2:B326)-1,DATE(YEAR(Invoer!$A$5),12,31)-DATE(YEAR(Invoer!$A$5),1,1)+1),"jjjjmmdd")</f>
        <v>19451121</v>
      </c>
      <c r="C326" s="9">
        <v>1</v>
      </c>
      <c r="D326" s="14">
        <f t="shared" ca="1" si="10"/>
        <v>0</v>
      </c>
      <c r="E326" s="15">
        <f t="shared" ca="1" si="11"/>
        <v>0</v>
      </c>
    </row>
    <row r="327" spans="1:5" x14ac:dyDescent="0.25">
      <c r="A327" s="8">
        <f ca="1">INDEX(Stations,INT((ROWS(A$2:A327)-1)/(DATE(YEAR(Invoer!$A$5),12,31)-DATE(YEAR(Invoer!$A$5),1,1)+1))+2,1)</f>
        <v>73</v>
      </c>
      <c r="B327" t="str">
        <f ca="1">TEXT(DATE(YEAR(Invoer!$A$5),1,1)+MOD(ROWS(B$2:B327)-1,DATE(YEAR(Invoer!$A$5),12,31)-DATE(YEAR(Invoer!$A$5),1,1)+1),"jjjjmmdd")</f>
        <v>19451122</v>
      </c>
      <c r="C327" s="9">
        <v>1</v>
      </c>
      <c r="D327" s="14">
        <f t="shared" ca="1" si="10"/>
        <v>0</v>
      </c>
      <c r="E327" s="15">
        <f t="shared" ca="1" si="11"/>
        <v>0</v>
      </c>
    </row>
    <row r="328" spans="1:5" x14ac:dyDescent="0.25">
      <c r="A328" s="8">
        <f ca="1">INDEX(Stations,INT((ROWS(A$2:A328)-1)/(DATE(YEAR(Invoer!$A$5),12,31)-DATE(YEAR(Invoer!$A$5),1,1)+1))+2,1)</f>
        <v>73</v>
      </c>
      <c r="B328" t="str">
        <f ca="1">TEXT(DATE(YEAR(Invoer!$A$5),1,1)+MOD(ROWS(B$2:B328)-1,DATE(YEAR(Invoer!$A$5),12,31)-DATE(YEAR(Invoer!$A$5),1,1)+1),"jjjjmmdd")</f>
        <v>19451123</v>
      </c>
      <c r="C328" s="9">
        <v>1</v>
      </c>
      <c r="D328" s="14">
        <f t="shared" ca="1" si="10"/>
        <v>0</v>
      </c>
      <c r="E328" s="15">
        <f t="shared" ca="1" si="11"/>
        <v>0</v>
      </c>
    </row>
    <row r="329" spans="1:5" x14ac:dyDescent="0.25">
      <c r="A329" s="8">
        <f ca="1">INDEX(Stations,INT((ROWS(A$2:A329)-1)/(DATE(YEAR(Invoer!$A$5),12,31)-DATE(YEAR(Invoer!$A$5),1,1)+1))+2,1)</f>
        <v>73</v>
      </c>
      <c r="B329" t="str">
        <f ca="1">TEXT(DATE(YEAR(Invoer!$A$5),1,1)+MOD(ROWS(B$2:B329)-1,DATE(YEAR(Invoer!$A$5),12,31)-DATE(YEAR(Invoer!$A$5),1,1)+1),"jjjjmmdd")</f>
        <v>19451124</v>
      </c>
      <c r="C329" s="9">
        <v>1</v>
      </c>
      <c r="D329" s="14">
        <f t="shared" ca="1" si="10"/>
        <v>0</v>
      </c>
      <c r="E329" s="15">
        <f t="shared" ca="1" si="11"/>
        <v>0</v>
      </c>
    </row>
    <row r="330" spans="1:5" x14ac:dyDescent="0.25">
      <c r="A330" s="8">
        <f ca="1">INDEX(Stations,INT((ROWS(A$2:A330)-1)/(DATE(YEAR(Invoer!$A$5),12,31)-DATE(YEAR(Invoer!$A$5),1,1)+1))+2,1)</f>
        <v>73</v>
      </c>
      <c r="B330" t="str">
        <f ca="1">TEXT(DATE(YEAR(Invoer!$A$5),1,1)+MOD(ROWS(B$2:B330)-1,DATE(YEAR(Invoer!$A$5),12,31)-DATE(YEAR(Invoer!$A$5),1,1)+1),"jjjjmmdd")</f>
        <v>19451125</v>
      </c>
      <c r="C330" s="9">
        <v>1</v>
      </c>
      <c r="D330" s="14">
        <f t="shared" ca="1" si="10"/>
        <v>0</v>
      </c>
      <c r="E330" s="15">
        <f t="shared" ca="1" si="11"/>
        <v>0</v>
      </c>
    </row>
    <row r="331" spans="1:5" x14ac:dyDescent="0.25">
      <c r="A331" s="8">
        <f ca="1">INDEX(Stations,INT((ROWS(A$2:A331)-1)/(DATE(YEAR(Invoer!$A$5),12,31)-DATE(YEAR(Invoer!$A$5),1,1)+1))+2,1)</f>
        <v>73</v>
      </c>
      <c r="B331" t="str">
        <f ca="1">TEXT(DATE(YEAR(Invoer!$A$5),1,1)+MOD(ROWS(B$2:B331)-1,DATE(YEAR(Invoer!$A$5),12,31)-DATE(YEAR(Invoer!$A$5),1,1)+1),"jjjjmmdd")</f>
        <v>19451126</v>
      </c>
      <c r="C331" s="9">
        <v>1</v>
      </c>
      <c r="D331" s="14">
        <f t="shared" ca="1" si="10"/>
        <v>0</v>
      </c>
      <c r="E331" s="15">
        <f t="shared" ca="1" si="11"/>
        <v>0</v>
      </c>
    </row>
    <row r="332" spans="1:5" x14ac:dyDescent="0.25">
      <c r="A332" s="8">
        <f ca="1">INDEX(Stations,INT((ROWS(A$2:A332)-1)/(DATE(YEAR(Invoer!$A$5),12,31)-DATE(YEAR(Invoer!$A$5),1,1)+1))+2,1)</f>
        <v>73</v>
      </c>
      <c r="B332" t="str">
        <f ca="1">TEXT(DATE(YEAR(Invoer!$A$5),1,1)+MOD(ROWS(B$2:B332)-1,DATE(YEAR(Invoer!$A$5),12,31)-DATE(YEAR(Invoer!$A$5),1,1)+1),"jjjjmmdd")</f>
        <v>19451127</v>
      </c>
      <c r="C332" s="9">
        <v>1</v>
      </c>
      <c r="D332" s="14">
        <f t="shared" ca="1" si="10"/>
        <v>0</v>
      </c>
      <c r="E332" s="15">
        <f t="shared" ca="1" si="11"/>
        <v>0</v>
      </c>
    </row>
    <row r="333" spans="1:5" x14ac:dyDescent="0.25">
      <c r="A333" s="8">
        <f ca="1">INDEX(Stations,INT((ROWS(A$2:A333)-1)/(DATE(YEAR(Invoer!$A$5),12,31)-DATE(YEAR(Invoer!$A$5),1,1)+1))+2,1)</f>
        <v>73</v>
      </c>
      <c r="B333" t="str">
        <f ca="1">TEXT(DATE(YEAR(Invoer!$A$5),1,1)+MOD(ROWS(B$2:B333)-1,DATE(YEAR(Invoer!$A$5),12,31)-DATE(YEAR(Invoer!$A$5),1,1)+1),"jjjjmmdd")</f>
        <v>19451128</v>
      </c>
      <c r="C333" s="9">
        <v>1</v>
      </c>
      <c r="D333" s="14">
        <f t="shared" ca="1" si="10"/>
        <v>0</v>
      </c>
      <c r="E333" s="15">
        <f t="shared" ca="1" si="11"/>
        <v>0</v>
      </c>
    </row>
    <row r="334" spans="1:5" x14ac:dyDescent="0.25">
      <c r="A334" s="8">
        <f ca="1">INDEX(Stations,INT((ROWS(A$2:A334)-1)/(DATE(YEAR(Invoer!$A$5),12,31)-DATE(YEAR(Invoer!$A$5),1,1)+1))+2,1)</f>
        <v>73</v>
      </c>
      <c r="B334" t="str">
        <f ca="1">TEXT(DATE(YEAR(Invoer!$A$5),1,1)+MOD(ROWS(B$2:B334)-1,DATE(YEAR(Invoer!$A$5),12,31)-DATE(YEAR(Invoer!$A$5),1,1)+1),"jjjjmmdd")</f>
        <v>19451129</v>
      </c>
      <c r="C334" s="9">
        <v>1</v>
      </c>
      <c r="D334" s="14">
        <f t="shared" ca="1" si="10"/>
        <v>0</v>
      </c>
      <c r="E334" s="15">
        <f t="shared" ca="1" si="11"/>
        <v>0</v>
      </c>
    </row>
    <row r="335" spans="1:5" x14ac:dyDescent="0.25">
      <c r="A335" s="8">
        <f ca="1">INDEX(Stations,INT((ROWS(A$2:A335)-1)/(DATE(YEAR(Invoer!$A$5),12,31)-DATE(YEAR(Invoer!$A$5),1,1)+1))+2,1)</f>
        <v>73</v>
      </c>
      <c r="B335" t="str">
        <f ca="1">TEXT(DATE(YEAR(Invoer!$A$5),1,1)+MOD(ROWS(B$2:B335)-1,DATE(YEAR(Invoer!$A$5),12,31)-DATE(YEAR(Invoer!$A$5),1,1)+1),"jjjjmmdd")</f>
        <v>19451130</v>
      </c>
      <c r="C335" s="9">
        <v>1</v>
      </c>
      <c r="D335" s="14">
        <f t="shared" ca="1" si="10"/>
        <v>111</v>
      </c>
      <c r="E335" s="15">
        <f t="shared" ca="1" si="11"/>
        <v>0</v>
      </c>
    </row>
    <row r="336" spans="1:5" x14ac:dyDescent="0.25">
      <c r="A336" s="8">
        <f ca="1">INDEX(Stations,INT((ROWS(A$2:A336)-1)/(DATE(YEAR(Invoer!$A$5),12,31)-DATE(YEAR(Invoer!$A$5),1,1)+1))+2,1)</f>
        <v>73</v>
      </c>
      <c r="B336" t="str">
        <f ca="1">TEXT(DATE(YEAR(Invoer!$A$5),1,1)+MOD(ROWS(B$2:B336)-1,DATE(YEAR(Invoer!$A$5),12,31)-DATE(YEAR(Invoer!$A$5),1,1)+1),"jjjjmmdd")</f>
        <v>19451201</v>
      </c>
      <c r="C336" s="9">
        <v>1</v>
      </c>
      <c r="D336" s="14">
        <f t="shared" ca="1" si="10"/>
        <v>12</v>
      </c>
      <c r="E336" s="15">
        <f t="shared" ca="1" si="11"/>
        <v>0</v>
      </c>
    </row>
    <row r="337" spans="1:5" x14ac:dyDescent="0.25">
      <c r="A337" s="8">
        <f ca="1">INDEX(Stations,INT((ROWS(A$2:A337)-1)/(DATE(YEAR(Invoer!$A$5),12,31)-DATE(YEAR(Invoer!$A$5),1,1)+1))+2,1)</f>
        <v>73</v>
      </c>
      <c r="B337" t="str">
        <f ca="1">TEXT(DATE(YEAR(Invoer!$A$5),1,1)+MOD(ROWS(B$2:B337)-1,DATE(YEAR(Invoer!$A$5),12,31)-DATE(YEAR(Invoer!$A$5),1,1)+1),"jjjjmmdd")</f>
        <v>19451202</v>
      </c>
      <c r="C337" s="9">
        <v>1</v>
      </c>
      <c r="D337" s="14">
        <f t="shared" ca="1" si="10"/>
        <v>0</v>
      </c>
      <c r="E337" s="15">
        <f t="shared" ca="1" si="11"/>
        <v>0</v>
      </c>
    </row>
    <row r="338" spans="1:5" x14ac:dyDescent="0.25">
      <c r="A338" s="8">
        <f ca="1">INDEX(Stations,INT((ROWS(A$2:A338)-1)/(DATE(YEAR(Invoer!$A$5),12,31)-DATE(YEAR(Invoer!$A$5),1,1)+1))+2,1)</f>
        <v>73</v>
      </c>
      <c r="B338" t="str">
        <f ca="1">TEXT(DATE(YEAR(Invoer!$A$5),1,1)+MOD(ROWS(B$2:B338)-1,DATE(YEAR(Invoer!$A$5),12,31)-DATE(YEAR(Invoer!$A$5),1,1)+1),"jjjjmmdd")</f>
        <v>19451203</v>
      </c>
      <c r="C338" s="9">
        <v>1</v>
      </c>
      <c r="D338" s="14">
        <f t="shared" ca="1" si="10"/>
        <v>0</v>
      </c>
      <c r="E338" s="15">
        <f t="shared" ca="1" si="11"/>
        <v>0</v>
      </c>
    </row>
    <row r="339" spans="1:5" x14ac:dyDescent="0.25">
      <c r="A339" s="8">
        <f ca="1">INDEX(Stations,INT((ROWS(A$2:A339)-1)/(DATE(YEAR(Invoer!$A$5),12,31)-DATE(YEAR(Invoer!$A$5),1,1)+1))+2,1)</f>
        <v>73</v>
      </c>
      <c r="B339" t="str">
        <f ca="1">TEXT(DATE(YEAR(Invoer!$A$5),1,1)+MOD(ROWS(B$2:B339)-1,DATE(YEAR(Invoer!$A$5),12,31)-DATE(YEAR(Invoer!$A$5),1,1)+1),"jjjjmmdd")</f>
        <v>19451204</v>
      </c>
      <c r="C339" s="9">
        <v>1</v>
      </c>
      <c r="D339" s="14">
        <f t="shared" ca="1" si="10"/>
        <v>0</v>
      </c>
      <c r="E339" s="15">
        <f t="shared" ca="1" si="11"/>
        <v>0</v>
      </c>
    </row>
    <row r="340" spans="1:5" x14ac:dyDescent="0.25">
      <c r="A340" s="8">
        <f ca="1">INDEX(Stations,INT((ROWS(A$2:A340)-1)/(DATE(YEAR(Invoer!$A$5),12,31)-DATE(YEAR(Invoer!$A$5),1,1)+1))+2,1)</f>
        <v>73</v>
      </c>
      <c r="B340" t="str">
        <f ca="1">TEXT(DATE(YEAR(Invoer!$A$5),1,1)+MOD(ROWS(B$2:B340)-1,DATE(YEAR(Invoer!$A$5),12,31)-DATE(YEAR(Invoer!$A$5),1,1)+1),"jjjjmmdd")</f>
        <v>19451205</v>
      </c>
      <c r="C340" s="9">
        <v>1</v>
      </c>
      <c r="D340" s="14">
        <f t="shared" ca="1" si="10"/>
        <v>0</v>
      </c>
      <c r="E340" s="15">
        <f t="shared" ca="1" si="11"/>
        <v>0</v>
      </c>
    </row>
    <row r="341" spans="1:5" x14ac:dyDescent="0.25">
      <c r="A341" s="8">
        <f ca="1">INDEX(Stations,INT((ROWS(A$2:A341)-1)/(DATE(YEAR(Invoer!$A$5),12,31)-DATE(YEAR(Invoer!$A$5),1,1)+1))+2,1)</f>
        <v>73</v>
      </c>
      <c r="B341" t="str">
        <f ca="1">TEXT(DATE(YEAR(Invoer!$A$5),1,1)+MOD(ROWS(B$2:B341)-1,DATE(YEAR(Invoer!$A$5),12,31)-DATE(YEAR(Invoer!$A$5),1,1)+1),"jjjjmmdd")</f>
        <v>19451206</v>
      </c>
      <c r="C341" s="9">
        <v>1</v>
      </c>
      <c r="D341" s="14">
        <f t="shared" ca="1" si="10"/>
        <v>0</v>
      </c>
      <c r="E341" s="15">
        <f t="shared" ca="1" si="11"/>
        <v>0</v>
      </c>
    </row>
    <row r="342" spans="1:5" x14ac:dyDescent="0.25">
      <c r="A342" s="8">
        <f ca="1">INDEX(Stations,INT((ROWS(A$2:A342)-1)/(DATE(YEAR(Invoer!$A$5),12,31)-DATE(YEAR(Invoer!$A$5),1,1)+1))+2,1)</f>
        <v>73</v>
      </c>
      <c r="B342" t="str">
        <f ca="1">TEXT(DATE(YEAR(Invoer!$A$5),1,1)+MOD(ROWS(B$2:B342)-1,DATE(YEAR(Invoer!$A$5),12,31)-DATE(YEAR(Invoer!$A$5),1,1)+1),"jjjjmmdd")</f>
        <v>19451207</v>
      </c>
      <c r="C342" s="9">
        <v>1</v>
      </c>
      <c r="D342" s="14">
        <f t="shared" ca="1" si="10"/>
        <v>0</v>
      </c>
      <c r="E342" s="15">
        <f t="shared" ca="1" si="11"/>
        <v>0</v>
      </c>
    </row>
    <row r="343" spans="1:5" x14ac:dyDescent="0.25">
      <c r="A343" s="8">
        <f ca="1">INDEX(Stations,INT((ROWS(A$2:A343)-1)/(DATE(YEAR(Invoer!$A$5),12,31)-DATE(YEAR(Invoer!$A$5),1,1)+1))+2,1)</f>
        <v>73</v>
      </c>
      <c r="B343" t="str">
        <f ca="1">TEXT(DATE(YEAR(Invoer!$A$5),1,1)+MOD(ROWS(B$2:B343)-1,DATE(YEAR(Invoer!$A$5),12,31)-DATE(YEAR(Invoer!$A$5),1,1)+1),"jjjjmmdd")</f>
        <v>19451208</v>
      </c>
      <c r="C343" s="9">
        <v>1</v>
      </c>
      <c r="D343" s="14">
        <f t="shared" ca="1" si="10"/>
        <v>0</v>
      </c>
      <c r="E343" s="15">
        <f t="shared" ca="1" si="11"/>
        <v>0</v>
      </c>
    </row>
    <row r="344" spans="1:5" x14ac:dyDescent="0.25">
      <c r="A344" s="8">
        <f ca="1">INDEX(Stations,INT((ROWS(A$2:A344)-1)/(DATE(YEAR(Invoer!$A$5),12,31)-DATE(YEAR(Invoer!$A$5),1,1)+1))+2,1)</f>
        <v>73</v>
      </c>
      <c r="B344" t="str">
        <f ca="1">TEXT(DATE(YEAR(Invoer!$A$5),1,1)+MOD(ROWS(B$2:B344)-1,DATE(YEAR(Invoer!$A$5),12,31)-DATE(YEAR(Invoer!$A$5),1,1)+1),"jjjjmmdd")</f>
        <v>19451209</v>
      </c>
      <c r="C344" s="9">
        <v>1</v>
      </c>
      <c r="D344" s="14">
        <f t="shared" ca="1" si="10"/>
        <v>31</v>
      </c>
      <c r="E344" s="15">
        <f t="shared" ca="1" si="11"/>
        <v>0</v>
      </c>
    </row>
    <row r="345" spans="1:5" x14ac:dyDescent="0.25">
      <c r="A345" s="8">
        <f ca="1">INDEX(Stations,INT((ROWS(A$2:A345)-1)/(DATE(YEAR(Invoer!$A$5),12,31)-DATE(YEAR(Invoer!$A$5),1,1)+1))+2,1)</f>
        <v>73</v>
      </c>
      <c r="B345" t="str">
        <f ca="1">TEXT(DATE(YEAR(Invoer!$A$5),1,1)+MOD(ROWS(B$2:B345)-1,DATE(YEAR(Invoer!$A$5),12,31)-DATE(YEAR(Invoer!$A$5),1,1)+1),"jjjjmmdd")</f>
        <v>19451210</v>
      </c>
      <c r="C345" s="9">
        <v>1</v>
      </c>
      <c r="D345" s="14">
        <f t="shared" ca="1" si="10"/>
        <v>0</v>
      </c>
      <c r="E345" s="15">
        <f t="shared" ca="1" si="11"/>
        <v>0</v>
      </c>
    </row>
    <row r="346" spans="1:5" x14ac:dyDescent="0.25">
      <c r="A346" s="8">
        <f ca="1">INDEX(Stations,INT((ROWS(A$2:A346)-1)/(DATE(YEAR(Invoer!$A$5),12,31)-DATE(YEAR(Invoer!$A$5),1,1)+1))+2,1)</f>
        <v>73</v>
      </c>
      <c r="B346" t="str">
        <f ca="1">TEXT(DATE(YEAR(Invoer!$A$5),1,1)+MOD(ROWS(B$2:B346)-1,DATE(YEAR(Invoer!$A$5),12,31)-DATE(YEAR(Invoer!$A$5),1,1)+1),"jjjjmmdd")</f>
        <v>19451211</v>
      </c>
      <c r="C346" s="9">
        <v>1</v>
      </c>
      <c r="D346" s="14">
        <f t="shared" ca="1" si="10"/>
        <v>0</v>
      </c>
      <c r="E346" s="15">
        <f t="shared" ca="1" si="11"/>
        <v>0</v>
      </c>
    </row>
    <row r="347" spans="1:5" x14ac:dyDescent="0.25">
      <c r="A347" s="8">
        <f ca="1">INDEX(Stations,INT((ROWS(A$2:A347)-1)/(DATE(YEAR(Invoer!$A$5),12,31)-DATE(YEAR(Invoer!$A$5),1,1)+1))+2,1)</f>
        <v>73</v>
      </c>
      <c r="B347" t="str">
        <f ca="1">TEXT(DATE(YEAR(Invoer!$A$5),1,1)+MOD(ROWS(B$2:B347)-1,DATE(YEAR(Invoer!$A$5),12,31)-DATE(YEAR(Invoer!$A$5),1,1)+1),"jjjjmmdd")</f>
        <v>19451212</v>
      </c>
      <c r="C347" s="9">
        <v>1</v>
      </c>
      <c r="D347" s="14">
        <f t="shared" ca="1" si="10"/>
        <v>0</v>
      </c>
      <c r="E347" s="15">
        <f t="shared" ca="1" si="11"/>
        <v>0</v>
      </c>
    </row>
    <row r="348" spans="1:5" x14ac:dyDescent="0.25">
      <c r="A348" s="8">
        <f ca="1">INDEX(Stations,INT((ROWS(A$2:A348)-1)/(DATE(YEAR(Invoer!$A$5),12,31)-DATE(YEAR(Invoer!$A$5),1,1)+1))+2,1)</f>
        <v>73</v>
      </c>
      <c r="B348" t="str">
        <f ca="1">TEXT(DATE(YEAR(Invoer!$A$5),1,1)+MOD(ROWS(B$2:B348)-1,DATE(YEAR(Invoer!$A$5),12,31)-DATE(YEAR(Invoer!$A$5),1,1)+1),"jjjjmmdd")</f>
        <v>19451213</v>
      </c>
      <c r="C348" s="9">
        <v>1</v>
      </c>
      <c r="D348" s="14">
        <f t="shared" ca="1" si="10"/>
        <v>0</v>
      </c>
      <c r="E348" s="15">
        <f t="shared" ca="1" si="11"/>
        <v>0</v>
      </c>
    </row>
    <row r="349" spans="1:5" x14ac:dyDescent="0.25">
      <c r="A349" s="8">
        <f ca="1">INDEX(Stations,INT((ROWS(A$2:A349)-1)/(DATE(YEAR(Invoer!$A$5),12,31)-DATE(YEAR(Invoer!$A$5),1,1)+1))+2,1)</f>
        <v>73</v>
      </c>
      <c r="B349" t="str">
        <f ca="1">TEXT(DATE(YEAR(Invoer!$A$5),1,1)+MOD(ROWS(B$2:B349)-1,DATE(YEAR(Invoer!$A$5),12,31)-DATE(YEAR(Invoer!$A$5),1,1)+1),"jjjjmmdd")</f>
        <v>19451214</v>
      </c>
      <c r="C349" s="9">
        <v>1</v>
      </c>
      <c r="D349" s="14">
        <f t="shared" ca="1" si="10"/>
        <v>12</v>
      </c>
      <c r="E349" s="15">
        <f t="shared" ca="1" si="11"/>
        <v>0</v>
      </c>
    </row>
    <row r="350" spans="1:5" x14ac:dyDescent="0.25">
      <c r="A350" s="8">
        <f ca="1">INDEX(Stations,INT((ROWS(A$2:A350)-1)/(DATE(YEAR(Invoer!$A$5),12,31)-DATE(YEAR(Invoer!$A$5),1,1)+1))+2,1)</f>
        <v>73</v>
      </c>
      <c r="B350" t="str">
        <f ca="1">TEXT(DATE(YEAR(Invoer!$A$5),1,1)+MOD(ROWS(B$2:B350)-1,DATE(YEAR(Invoer!$A$5),12,31)-DATE(YEAR(Invoer!$A$5),1,1)+1),"jjjjmmdd")</f>
        <v>19451215</v>
      </c>
      <c r="C350" s="9">
        <v>1</v>
      </c>
      <c r="D350" s="14">
        <f t="shared" ca="1" si="10"/>
        <v>167</v>
      </c>
      <c r="E350" s="15">
        <f t="shared" ca="1" si="11"/>
        <v>0</v>
      </c>
    </row>
    <row r="351" spans="1:5" x14ac:dyDescent="0.25">
      <c r="A351" s="8">
        <f ca="1">INDEX(Stations,INT((ROWS(A$2:A351)-1)/(DATE(YEAR(Invoer!$A$5),12,31)-DATE(YEAR(Invoer!$A$5),1,1)+1))+2,1)</f>
        <v>73</v>
      </c>
      <c r="B351" t="str">
        <f ca="1">TEXT(DATE(YEAR(Invoer!$A$5),1,1)+MOD(ROWS(B$2:B351)-1,DATE(YEAR(Invoer!$A$5),12,31)-DATE(YEAR(Invoer!$A$5),1,1)+1),"jjjjmmdd")</f>
        <v>19451216</v>
      </c>
      <c r="C351" s="9">
        <v>1</v>
      </c>
      <c r="D351" s="14">
        <f t="shared" ca="1" si="10"/>
        <v>23</v>
      </c>
      <c r="E351" s="15">
        <f t="shared" ca="1" si="11"/>
        <v>0</v>
      </c>
    </row>
    <row r="352" spans="1:5" x14ac:dyDescent="0.25">
      <c r="A352" s="8">
        <f ca="1">INDEX(Stations,INT((ROWS(A$2:A352)-1)/(DATE(YEAR(Invoer!$A$5),12,31)-DATE(YEAR(Invoer!$A$5),1,1)+1))+2,1)</f>
        <v>73</v>
      </c>
      <c r="B352" t="str">
        <f ca="1">TEXT(DATE(YEAR(Invoer!$A$5),1,1)+MOD(ROWS(B$2:B352)-1,DATE(YEAR(Invoer!$A$5),12,31)-DATE(YEAR(Invoer!$A$5),1,1)+1),"jjjjmmdd")</f>
        <v>19451217</v>
      </c>
      <c r="C352" s="9">
        <v>1</v>
      </c>
      <c r="D352" s="14">
        <f t="shared" ca="1" si="10"/>
        <v>8</v>
      </c>
      <c r="E352" s="15">
        <f t="shared" ca="1" si="11"/>
        <v>0</v>
      </c>
    </row>
    <row r="353" spans="1:5" x14ac:dyDescent="0.25">
      <c r="A353" s="8">
        <f ca="1">INDEX(Stations,INT((ROWS(A$2:A353)-1)/(DATE(YEAR(Invoer!$A$5),12,31)-DATE(YEAR(Invoer!$A$5),1,1)+1))+2,1)</f>
        <v>73</v>
      </c>
      <c r="B353" t="str">
        <f ca="1">TEXT(DATE(YEAR(Invoer!$A$5),1,1)+MOD(ROWS(B$2:B353)-1,DATE(YEAR(Invoer!$A$5),12,31)-DATE(YEAR(Invoer!$A$5),1,1)+1),"jjjjmmdd")</f>
        <v>19451218</v>
      </c>
      <c r="C353" s="9">
        <v>1</v>
      </c>
      <c r="D353" s="14">
        <f t="shared" ca="1" si="10"/>
        <v>0</v>
      </c>
      <c r="E353" s="15">
        <f t="shared" ca="1" si="11"/>
        <v>0</v>
      </c>
    </row>
    <row r="354" spans="1:5" x14ac:dyDescent="0.25">
      <c r="A354" s="8">
        <f ca="1">INDEX(Stations,INT((ROWS(A$2:A354)-1)/(DATE(YEAR(Invoer!$A$5),12,31)-DATE(YEAR(Invoer!$A$5),1,1)+1))+2,1)</f>
        <v>73</v>
      </c>
      <c r="B354" t="str">
        <f ca="1">TEXT(DATE(YEAR(Invoer!$A$5),1,1)+MOD(ROWS(B$2:B354)-1,DATE(YEAR(Invoer!$A$5),12,31)-DATE(YEAR(Invoer!$A$5),1,1)+1),"jjjjmmdd")</f>
        <v>19451219</v>
      </c>
      <c r="C354" s="9">
        <v>1</v>
      </c>
      <c r="D354" s="14">
        <f t="shared" ca="1" si="10"/>
        <v>75</v>
      </c>
      <c r="E354" s="15">
        <f t="shared" ca="1" si="11"/>
        <v>0</v>
      </c>
    </row>
    <row r="355" spans="1:5" x14ac:dyDescent="0.25">
      <c r="A355" s="8">
        <f ca="1">INDEX(Stations,INT((ROWS(A$2:A355)-1)/(DATE(YEAR(Invoer!$A$5),12,31)-DATE(YEAR(Invoer!$A$5),1,1)+1))+2,1)</f>
        <v>73</v>
      </c>
      <c r="B355" t="str">
        <f ca="1">TEXT(DATE(YEAR(Invoer!$A$5),1,1)+MOD(ROWS(B$2:B355)-1,DATE(YEAR(Invoer!$A$5),12,31)-DATE(YEAR(Invoer!$A$5),1,1)+1),"jjjjmmdd")</f>
        <v>19451220</v>
      </c>
      <c r="C355" s="9">
        <v>1</v>
      </c>
      <c r="D355" s="14">
        <f t="shared" ca="1" si="10"/>
        <v>13</v>
      </c>
      <c r="E355" s="15">
        <f t="shared" ca="1" si="11"/>
        <v>0</v>
      </c>
    </row>
    <row r="356" spans="1:5" x14ac:dyDescent="0.25">
      <c r="A356" s="8">
        <f ca="1">INDEX(Stations,INT((ROWS(A$2:A356)-1)/(DATE(YEAR(Invoer!$A$5),12,31)-DATE(YEAR(Invoer!$A$5),1,1)+1))+2,1)</f>
        <v>73</v>
      </c>
      <c r="B356" t="str">
        <f ca="1">TEXT(DATE(YEAR(Invoer!$A$5),1,1)+MOD(ROWS(B$2:B356)-1,DATE(YEAR(Invoer!$A$5),12,31)-DATE(YEAR(Invoer!$A$5),1,1)+1),"jjjjmmdd")</f>
        <v>19451221</v>
      </c>
      <c r="C356" s="9">
        <v>1</v>
      </c>
      <c r="D356" s="14">
        <f t="shared" ca="1" si="10"/>
        <v>27</v>
      </c>
      <c r="E356" s="15">
        <f t="shared" ca="1" si="11"/>
        <v>0</v>
      </c>
    </row>
    <row r="357" spans="1:5" x14ac:dyDescent="0.25">
      <c r="A357" s="8">
        <f ca="1">INDEX(Stations,INT((ROWS(A$2:A357)-1)/(DATE(YEAR(Invoer!$A$5),12,31)-DATE(YEAR(Invoer!$A$5),1,1)+1))+2,1)</f>
        <v>73</v>
      </c>
      <c r="B357" t="str">
        <f ca="1">TEXT(DATE(YEAR(Invoer!$A$5),1,1)+MOD(ROWS(B$2:B357)-1,DATE(YEAR(Invoer!$A$5),12,31)-DATE(YEAR(Invoer!$A$5),1,1)+1),"jjjjmmdd")</f>
        <v>19451222</v>
      </c>
      <c r="C357" s="9">
        <v>1</v>
      </c>
      <c r="D357" s="14">
        <f t="shared" ca="1" si="10"/>
        <v>0</v>
      </c>
      <c r="E357" s="15">
        <f t="shared" ca="1" si="11"/>
        <v>0</v>
      </c>
    </row>
    <row r="358" spans="1:5" x14ac:dyDescent="0.25">
      <c r="A358" s="8">
        <f ca="1">INDEX(Stations,INT((ROWS(A$2:A358)-1)/(DATE(YEAR(Invoer!$A$5),12,31)-DATE(YEAR(Invoer!$A$5),1,1)+1))+2,1)</f>
        <v>73</v>
      </c>
      <c r="B358" t="str">
        <f ca="1">TEXT(DATE(YEAR(Invoer!$A$5),1,1)+MOD(ROWS(B$2:B358)-1,DATE(YEAR(Invoer!$A$5),12,31)-DATE(YEAR(Invoer!$A$5),1,1)+1),"jjjjmmdd")</f>
        <v>19451223</v>
      </c>
      <c r="C358" s="9">
        <v>1</v>
      </c>
      <c r="D358" s="14">
        <f t="shared" ca="1" si="10"/>
        <v>0</v>
      </c>
      <c r="E358" s="15">
        <f t="shared" ca="1" si="11"/>
        <v>0</v>
      </c>
    </row>
    <row r="359" spans="1:5" x14ac:dyDescent="0.25">
      <c r="A359" s="8">
        <f ca="1">INDEX(Stations,INT((ROWS(A$2:A359)-1)/(DATE(YEAR(Invoer!$A$5),12,31)-DATE(YEAR(Invoer!$A$5),1,1)+1))+2,1)</f>
        <v>73</v>
      </c>
      <c r="B359" t="str">
        <f ca="1">TEXT(DATE(YEAR(Invoer!$A$5),1,1)+MOD(ROWS(B$2:B359)-1,DATE(YEAR(Invoer!$A$5),12,31)-DATE(YEAR(Invoer!$A$5),1,1)+1),"jjjjmmdd")</f>
        <v>19451224</v>
      </c>
      <c r="C359" s="9">
        <v>1</v>
      </c>
      <c r="D359" s="14">
        <f t="shared" ca="1" si="10"/>
        <v>0</v>
      </c>
      <c r="E359" s="15">
        <f t="shared" ca="1" si="11"/>
        <v>0</v>
      </c>
    </row>
    <row r="360" spans="1:5" x14ac:dyDescent="0.25">
      <c r="A360" s="8">
        <f ca="1">INDEX(Stations,INT((ROWS(A$2:A360)-1)/(DATE(YEAR(Invoer!$A$5),12,31)-DATE(YEAR(Invoer!$A$5),1,1)+1))+2,1)</f>
        <v>73</v>
      </c>
      <c r="B360" t="str">
        <f ca="1">TEXT(DATE(YEAR(Invoer!$A$5),1,1)+MOD(ROWS(B$2:B360)-1,DATE(YEAR(Invoer!$A$5),12,31)-DATE(YEAR(Invoer!$A$5),1,1)+1),"jjjjmmdd")</f>
        <v>19451225</v>
      </c>
      <c r="C360" s="9">
        <v>1</v>
      </c>
      <c r="D360" s="14">
        <f t="shared" ca="1" si="10"/>
        <v>0</v>
      </c>
      <c r="E360" s="15">
        <f t="shared" ca="1" si="11"/>
        <v>0</v>
      </c>
    </row>
    <row r="361" spans="1:5" x14ac:dyDescent="0.25">
      <c r="A361" s="8">
        <f ca="1">INDEX(Stations,INT((ROWS(A$2:A361)-1)/(DATE(YEAR(Invoer!$A$5),12,31)-DATE(YEAR(Invoer!$A$5),1,1)+1))+2,1)</f>
        <v>73</v>
      </c>
      <c r="B361" t="str">
        <f ca="1">TEXT(DATE(YEAR(Invoer!$A$5),1,1)+MOD(ROWS(B$2:B361)-1,DATE(YEAR(Invoer!$A$5),12,31)-DATE(YEAR(Invoer!$A$5),1,1)+1),"jjjjmmdd")</f>
        <v>19451226</v>
      </c>
      <c r="C361" s="9">
        <v>1</v>
      </c>
      <c r="D361" s="14">
        <f t="shared" ca="1" si="10"/>
        <v>16</v>
      </c>
      <c r="E361" s="15">
        <f t="shared" ca="1" si="11"/>
        <v>0</v>
      </c>
    </row>
    <row r="362" spans="1:5" x14ac:dyDescent="0.25">
      <c r="A362" s="8">
        <f ca="1">INDEX(Stations,INT((ROWS(A$2:A362)-1)/(DATE(YEAR(Invoer!$A$5),12,31)-DATE(YEAR(Invoer!$A$5),1,1)+1))+2,1)</f>
        <v>73</v>
      </c>
      <c r="B362" t="str">
        <f ca="1">TEXT(DATE(YEAR(Invoer!$A$5),1,1)+MOD(ROWS(B$2:B362)-1,DATE(YEAR(Invoer!$A$5),12,31)-DATE(YEAR(Invoer!$A$5),1,1)+1),"jjjjmmdd")</f>
        <v>19451227</v>
      </c>
      <c r="C362" s="9">
        <v>1</v>
      </c>
      <c r="D362" s="14">
        <f t="shared" ca="1" si="10"/>
        <v>0</v>
      </c>
      <c r="E362" s="15">
        <f t="shared" ca="1" si="11"/>
        <v>0</v>
      </c>
    </row>
    <row r="363" spans="1:5" x14ac:dyDescent="0.25">
      <c r="A363" s="8">
        <f ca="1">INDEX(Stations,INT((ROWS(A$2:A363)-1)/(DATE(YEAR(Invoer!$A$5),12,31)-DATE(YEAR(Invoer!$A$5),1,1)+1))+2,1)</f>
        <v>73</v>
      </c>
      <c r="B363" t="str">
        <f ca="1">TEXT(DATE(YEAR(Invoer!$A$5),1,1)+MOD(ROWS(B$2:B363)-1,DATE(YEAR(Invoer!$A$5),12,31)-DATE(YEAR(Invoer!$A$5),1,1)+1),"jjjjmmdd")</f>
        <v>19451228</v>
      </c>
      <c r="C363" s="9">
        <v>1</v>
      </c>
      <c r="D363" s="14">
        <f t="shared" ca="1" si="10"/>
        <v>564</v>
      </c>
      <c r="E363" s="15">
        <f t="shared" ca="1" si="11"/>
        <v>0</v>
      </c>
    </row>
    <row r="364" spans="1:5" x14ac:dyDescent="0.25">
      <c r="A364" s="8">
        <f ca="1">INDEX(Stations,INT((ROWS(A$2:A364)-1)/(DATE(YEAR(Invoer!$A$5),12,31)-DATE(YEAR(Invoer!$A$5),1,1)+1))+2,1)</f>
        <v>73</v>
      </c>
      <c r="B364" t="str">
        <f ca="1">TEXT(DATE(YEAR(Invoer!$A$5),1,1)+MOD(ROWS(B$2:B364)-1,DATE(YEAR(Invoer!$A$5),12,31)-DATE(YEAR(Invoer!$A$5),1,1)+1),"jjjjmmdd")</f>
        <v>19451229</v>
      </c>
      <c r="C364" s="9">
        <v>1</v>
      </c>
      <c r="D364" s="14">
        <f t="shared" ca="1" si="10"/>
        <v>12</v>
      </c>
      <c r="E364" s="15">
        <f t="shared" ca="1" si="11"/>
        <v>0</v>
      </c>
    </row>
    <row r="365" spans="1:5" x14ac:dyDescent="0.25">
      <c r="A365" s="8">
        <f ca="1">INDEX(Stations,INT((ROWS(A$2:A365)-1)/(DATE(YEAR(Invoer!$A$5),12,31)-DATE(YEAR(Invoer!$A$5),1,1)+1))+2,1)</f>
        <v>73</v>
      </c>
      <c r="B365" t="str">
        <f ca="1">TEXT(DATE(YEAR(Invoer!$A$5),1,1)+MOD(ROWS(B$2:B365)-1,DATE(YEAR(Invoer!$A$5),12,31)-DATE(YEAR(Invoer!$A$5),1,1)+1),"jjjjmmdd")</f>
        <v>19451230</v>
      </c>
      <c r="C365" s="9">
        <v>1</v>
      </c>
      <c r="D365" s="14">
        <f t="shared" ca="1" si="10"/>
        <v>155</v>
      </c>
      <c r="E365" s="15">
        <f t="shared" ca="1" si="11"/>
        <v>0</v>
      </c>
    </row>
    <row r="366" spans="1:5" x14ac:dyDescent="0.25">
      <c r="A366" s="8">
        <f ca="1">INDEX(Stations,INT((ROWS(A$2:A366)-1)/(DATE(YEAR(Invoer!$A$5),12,31)-DATE(YEAR(Invoer!$A$5),1,1)+1))+2,1)</f>
        <v>73</v>
      </c>
      <c r="B366" t="str">
        <f ca="1">TEXT(DATE(YEAR(Invoer!$A$5),1,1)+MOD(ROWS(B$2:B366)-1,DATE(YEAR(Invoer!$A$5),12,31)-DATE(YEAR(Invoer!$A$5),1,1)+1),"jjjjmmdd")</f>
        <v>19451231</v>
      </c>
      <c r="C366" s="9">
        <v>1</v>
      </c>
      <c r="D366" s="14">
        <f t="shared" ca="1" si="10"/>
        <v>20</v>
      </c>
      <c r="E366" s="15">
        <f t="shared" ca="1" si="11"/>
        <v>0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E1096"/>
  <sheetViews>
    <sheetView workbookViewId="0"/>
  </sheetViews>
  <sheetFormatPr defaultRowHeight="15" x14ac:dyDescent="0.25"/>
  <sheetData>
    <row r="1" spans="1:5" x14ac:dyDescent="0.25">
      <c r="A1" s="7" t="s">
        <v>2</v>
      </c>
      <c r="B1" s="6" t="s">
        <v>0</v>
      </c>
      <c r="C1" s="7" t="s">
        <v>6</v>
      </c>
      <c r="D1" s="7" t="s">
        <v>7</v>
      </c>
      <c r="E1" s="7" t="s">
        <v>8</v>
      </c>
    </row>
    <row r="2" spans="1:5" x14ac:dyDescent="0.25">
      <c r="A2" s="8">
        <f t="shared" ref="A2:A65" si="0">INDEX(Stations,2,1)</f>
        <v>73</v>
      </c>
      <c r="B2" t="str">
        <f ca="1">TEXT(DATE(YEAR(Invoer!$A$5),1,1)+INT((ROWS(B$2:B2)-1)/3),"jjjjmmdd")</f>
        <v>19450101</v>
      </c>
      <c r="C2" s="20" t="str">
        <f>INDEX(Data,2,2+MOD(ROWS(C$2:C2)-1,3))</f>
        <v>08.00</v>
      </c>
      <c r="D2" s="14" t="str">
        <f t="shared" ref="D2:D65" ca="1" si="1">IF(OR(ISBLANK(VLOOKUP(DATEVALUE(LEFT($B2,4)&amp;"-"&amp;MID($B2,5,2)&amp;"-"&amp;RIGHT($B2,2)),Data,MATCH(LEFT(VLOOKUP(D$1,Parameters,2,FALSE()),4)&amp;"*",OFFSET(Data,0,0,1),0)+MATCH($C2,OFFSET(Data,1,0,1),0)-2,FALSE())),ISTEXT(VLOOKUP(DATEVALUE(LEFT($B2,4)&amp;"-"&amp;MID($B2,5,2)&amp;"-"&amp;RIGHT($B2,2)),Data,MATCH(LEFT(VLOOKUP(D$1,Parameters,2,FALSE()),4)&amp;"*",OFFSET(Data,0,0,1),0)+MATCH($C2,OFFSET(Data,1,0,1),0)-2,FALSE()))),"—",VLOOKUP(DATEVALUE(LEFT($B2,4)&amp;"-"&amp;MID($B2,5,2)&amp;"-"&amp;RIGHT($B2,2)),Data,MATCH(LEFT(VLOOKUP(D$1,Parameters,2,FALSE()),4)&amp;"*",OFFSET(Data,0,0,1),0)+MATCH($C2,OFFSET(Data,1,0,1),0)-2,FALSE()))</f>
        <v>—</v>
      </c>
      <c r="E2" s="25">
        <f t="shared" ref="E2:E65" ca="1" si="2">IF(OR(ISBLANK(VLOOKUP(DATEVALUE(LEFT($B2,4)&amp;"-"&amp;MID($B2,5,2)&amp;"-"&amp;RIGHT($B2,2)),Data,MATCH(LEFT(VLOOKUP(MID(E$1,2,LEN(E$1)-1),Parameters,2,FALSE()),4)&amp;"*",OFFSET(Data,0,0,1),0)+MATCH($C2,OFFSET(Data,1,0,1),0)-2,FALSE())),ISTEXT(VLOOKUP(DATEVALUE(LEFT($B2,4)&amp;"-"&amp;MID($B2,5,2)&amp;"-"&amp;RIGHT($B2,2)),Data,MATCH(LEFT(VLOOKUP(MID(E$1,2,LEN(E$1)-1),Parameters,2,FALSE()),4)&amp;"*",OFFSET(Data,0,0,1),0)+MATCH($C2,OFFSET(Data,1,0,1),0)-2,FALSE()))),Lacking,IF(ISNA(MATCH(DATEVALUE(LEFT($B2,4)&amp;"-"&amp;MID($B2,5,2)&amp;"-"&amp;RIGHT($B2,2)),OFFSET(Catalogus,0,0,,1),0)),Ok,VLOOKUP(DATEVALUE(LEFT($B2,4)&amp;"-"&amp;MID($B2,5,2)&amp;"-"&amp;RIGHT($B2,2)),Catalogus,MATCH(LEFT(VLOOKUP(MID(E$1,2,LEN(E$1)-1),Parameters,2,FALSE()),4)&amp;"*",OFFSET(Catalogus,0,0,1),0)+MATCH($C2,OFFSET(Catalogus,1,0,1),0)-2,FALSE())))</f>
        <v>7</v>
      </c>
    </row>
    <row r="3" spans="1:5" x14ac:dyDescent="0.25">
      <c r="A3" s="8">
        <f t="shared" si="0"/>
        <v>73</v>
      </c>
      <c r="B3" t="str">
        <f ca="1">TEXT(DATE(YEAR(Invoer!$A$5),1,1)+INT((ROWS(B$2:B3)-1)/3),"jjjjmmdd")</f>
        <v>19450101</v>
      </c>
      <c r="C3" s="20" t="str">
        <f>INDEX(Data,2,2+MOD(ROWS(C$2:C3)-1,3))</f>
        <v>12.00</v>
      </c>
      <c r="D3" s="14" t="str">
        <f t="shared" ca="1" si="1"/>
        <v>—</v>
      </c>
      <c r="E3" s="25">
        <f t="shared" ca="1" si="2"/>
        <v>7</v>
      </c>
    </row>
    <row r="4" spans="1:5" x14ac:dyDescent="0.25">
      <c r="A4" s="8">
        <f t="shared" si="0"/>
        <v>73</v>
      </c>
      <c r="B4" t="str">
        <f ca="1">TEXT(DATE(YEAR(Invoer!$A$5),1,1)+INT((ROWS(B$2:B4)-1)/3),"jjjjmmdd")</f>
        <v>19450101</v>
      </c>
      <c r="C4" s="20" t="str">
        <f>INDEX(Data,2,2+MOD(ROWS(C$2:C4)-1,3))</f>
        <v>16.00</v>
      </c>
      <c r="D4" s="14" t="str">
        <f t="shared" ca="1" si="1"/>
        <v>—</v>
      </c>
      <c r="E4" s="25">
        <f t="shared" ca="1" si="2"/>
        <v>7</v>
      </c>
    </row>
    <row r="5" spans="1:5" x14ac:dyDescent="0.25">
      <c r="A5" s="8">
        <f t="shared" si="0"/>
        <v>73</v>
      </c>
      <c r="B5" t="str">
        <f ca="1">TEXT(DATE(YEAR(Invoer!$A$5),1,1)+INT((ROWS(B$2:B5)-1)/3),"jjjjmmdd")</f>
        <v>19450102</v>
      </c>
      <c r="C5" s="20" t="str">
        <f>INDEX(Data,2,2+MOD(ROWS(C$2:C5)-1,3))</f>
        <v>08.00</v>
      </c>
      <c r="D5" s="14" t="str">
        <f t="shared" ca="1" si="1"/>
        <v>—</v>
      </c>
      <c r="E5" s="25">
        <f t="shared" ca="1" si="2"/>
        <v>7</v>
      </c>
    </row>
    <row r="6" spans="1:5" x14ac:dyDescent="0.25">
      <c r="A6" s="8">
        <f t="shared" si="0"/>
        <v>73</v>
      </c>
      <c r="B6" t="str">
        <f ca="1">TEXT(DATE(YEAR(Invoer!$A$5),1,1)+INT((ROWS(B$2:B6)-1)/3),"jjjjmmdd")</f>
        <v>19450102</v>
      </c>
      <c r="C6" s="20" t="str">
        <f>INDEX(Data,2,2+MOD(ROWS(C$2:C6)-1,3))</f>
        <v>12.00</v>
      </c>
      <c r="D6" s="14" t="str">
        <f t="shared" ca="1" si="1"/>
        <v>—</v>
      </c>
      <c r="E6" s="25">
        <f t="shared" ca="1" si="2"/>
        <v>7</v>
      </c>
    </row>
    <row r="7" spans="1:5" x14ac:dyDescent="0.25">
      <c r="A7" s="8">
        <f t="shared" si="0"/>
        <v>73</v>
      </c>
      <c r="B7" t="str">
        <f ca="1">TEXT(DATE(YEAR(Invoer!$A$5),1,1)+INT((ROWS(B$2:B7)-1)/3),"jjjjmmdd")</f>
        <v>19450102</v>
      </c>
      <c r="C7" s="20" t="str">
        <f>INDEX(Data,2,2+MOD(ROWS(C$2:C7)-1,3))</f>
        <v>16.00</v>
      </c>
      <c r="D7" s="14" t="str">
        <f t="shared" ca="1" si="1"/>
        <v>—</v>
      </c>
      <c r="E7" s="25">
        <f t="shared" ca="1" si="2"/>
        <v>7</v>
      </c>
    </row>
    <row r="8" spans="1:5" x14ac:dyDescent="0.25">
      <c r="A8" s="8">
        <f t="shared" si="0"/>
        <v>73</v>
      </c>
      <c r="B8" t="str">
        <f ca="1">TEXT(DATE(YEAR(Invoer!$A$5),1,1)+INT((ROWS(B$2:B8)-1)/3),"jjjjmmdd")</f>
        <v>19450103</v>
      </c>
      <c r="C8" s="20" t="str">
        <f>INDEX(Data,2,2+MOD(ROWS(C$2:C8)-1,3))</f>
        <v>08.00</v>
      </c>
      <c r="D8" s="14" t="str">
        <f t="shared" ca="1" si="1"/>
        <v>—</v>
      </c>
      <c r="E8" s="25">
        <f t="shared" ca="1" si="2"/>
        <v>7</v>
      </c>
    </row>
    <row r="9" spans="1:5" x14ac:dyDescent="0.25">
      <c r="A9" s="8">
        <f t="shared" si="0"/>
        <v>73</v>
      </c>
      <c r="B9" t="str">
        <f ca="1">TEXT(DATE(YEAR(Invoer!$A$5),1,1)+INT((ROWS(B$2:B9)-1)/3),"jjjjmmdd")</f>
        <v>19450103</v>
      </c>
      <c r="C9" s="20" t="str">
        <f>INDEX(Data,2,2+MOD(ROWS(C$2:C9)-1,3))</f>
        <v>12.00</v>
      </c>
      <c r="D9" s="14" t="str">
        <f t="shared" ca="1" si="1"/>
        <v>—</v>
      </c>
      <c r="E9" s="25">
        <f t="shared" ca="1" si="2"/>
        <v>7</v>
      </c>
    </row>
    <row r="10" spans="1:5" x14ac:dyDescent="0.25">
      <c r="A10" s="8">
        <f t="shared" si="0"/>
        <v>73</v>
      </c>
      <c r="B10" t="str">
        <f ca="1">TEXT(DATE(YEAR(Invoer!$A$5),1,1)+INT((ROWS(B$2:B10)-1)/3),"jjjjmmdd")</f>
        <v>19450103</v>
      </c>
      <c r="C10" s="20" t="str">
        <f>INDEX(Data,2,2+MOD(ROWS(C$2:C10)-1,3))</f>
        <v>16.00</v>
      </c>
      <c r="D10" s="14" t="str">
        <f t="shared" ca="1" si="1"/>
        <v>—</v>
      </c>
      <c r="E10" s="25">
        <f t="shared" ca="1" si="2"/>
        <v>7</v>
      </c>
    </row>
    <row r="11" spans="1:5" x14ac:dyDescent="0.25">
      <c r="A11" s="8">
        <f t="shared" si="0"/>
        <v>73</v>
      </c>
      <c r="B11" t="str">
        <f ca="1">TEXT(DATE(YEAR(Invoer!$A$5),1,1)+INT((ROWS(B$2:B11)-1)/3),"jjjjmmdd")</f>
        <v>19450104</v>
      </c>
      <c r="C11" s="20" t="str">
        <f>INDEX(Data,2,2+MOD(ROWS(C$2:C11)-1,3))</f>
        <v>08.00</v>
      </c>
      <c r="D11" s="14" t="str">
        <f t="shared" ca="1" si="1"/>
        <v>—</v>
      </c>
      <c r="E11" s="25">
        <f t="shared" ca="1" si="2"/>
        <v>7</v>
      </c>
    </row>
    <row r="12" spans="1:5" x14ac:dyDescent="0.25">
      <c r="A12" s="8">
        <f t="shared" si="0"/>
        <v>73</v>
      </c>
      <c r="B12" t="str">
        <f ca="1">TEXT(DATE(YEAR(Invoer!$A$5),1,1)+INT((ROWS(B$2:B12)-1)/3),"jjjjmmdd")</f>
        <v>19450104</v>
      </c>
      <c r="C12" s="20" t="str">
        <f>INDEX(Data,2,2+MOD(ROWS(C$2:C12)-1,3))</f>
        <v>12.00</v>
      </c>
      <c r="D12" s="14" t="str">
        <f t="shared" ca="1" si="1"/>
        <v>—</v>
      </c>
      <c r="E12" s="25">
        <f t="shared" ca="1" si="2"/>
        <v>7</v>
      </c>
    </row>
    <row r="13" spans="1:5" x14ac:dyDescent="0.25">
      <c r="A13" s="8">
        <f t="shared" si="0"/>
        <v>73</v>
      </c>
      <c r="B13" t="str">
        <f ca="1">TEXT(DATE(YEAR(Invoer!$A$5),1,1)+INT((ROWS(B$2:B13)-1)/3),"jjjjmmdd")</f>
        <v>19450104</v>
      </c>
      <c r="C13" s="20" t="str">
        <f>INDEX(Data,2,2+MOD(ROWS(C$2:C13)-1,3))</f>
        <v>16.00</v>
      </c>
      <c r="D13" s="14" t="str">
        <f t="shared" ca="1" si="1"/>
        <v>—</v>
      </c>
      <c r="E13" s="25">
        <f t="shared" ca="1" si="2"/>
        <v>7</v>
      </c>
    </row>
    <row r="14" spans="1:5" x14ac:dyDescent="0.25">
      <c r="A14" s="8">
        <f t="shared" si="0"/>
        <v>73</v>
      </c>
      <c r="B14" t="str">
        <f ca="1">TEXT(DATE(YEAR(Invoer!$A$5),1,1)+INT((ROWS(B$2:B14)-1)/3),"jjjjmmdd")</f>
        <v>19450105</v>
      </c>
      <c r="C14" s="20" t="str">
        <f>INDEX(Data,2,2+MOD(ROWS(C$2:C14)-1,3))</f>
        <v>08.00</v>
      </c>
      <c r="D14" s="14" t="str">
        <f t="shared" ca="1" si="1"/>
        <v>—</v>
      </c>
      <c r="E14" s="25">
        <f t="shared" ca="1" si="2"/>
        <v>7</v>
      </c>
    </row>
    <row r="15" spans="1:5" x14ac:dyDescent="0.25">
      <c r="A15" s="8">
        <f t="shared" si="0"/>
        <v>73</v>
      </c>
      <c r="B15" t="str">
        <f ca="1">TEXT(DATE(YEAR(Invoer!$A$5),1,1)+INT((ROWS(B$2:B15)-1)/3),"jjjjmmdd")</f>
        <v>19450105</v>
      </c>
      <c r="C15" s="20" t="str">
        <f>INDEX(Data,2,2+MOD(ROWS(C$2:C15)-1,3))</f>
        <v>12.00</v>
      </c>
      <c r="D15" s="14" t="str">
        <f t="shared" ca="1" si="1"/>
        <v>—</v>
      </c>
      <c r="E15" s="25">
        <f t="shared" ca="1" si="2"/>
        <v>7</v>
      </c>
    </row>
    <row r="16" spans="1:5" x14ac:dyDescent="0.25">
      <c r="A16" s="8">
        <f t="shared" si="0"/>
        <v>73</v>
      </c>
      <c r="B16" t="str">
        <f ca="1">TEXT(DATE(YEAR(Invoer!$A$5),1,1)+INT((ROWS(B$2:B16)-1)/3),"jjjjmmdd")</f>
        <v>19450105</v>
      </c>
      <c r="C16" s="20" t="str">
        <f>INDEX(Data,2,2+MOD(ROWS(C$2:C16)-1,3))</f>
        <v>16.00</v>
      </c>
      <c r="D16" s="14" t="str">
        <f t="shared" ca="1" si="1"/>
        <v>—</v>
      </c>
      <c r="E16" s="25">
        <f t="shared" ca="1" si="2"/>
        <v>7</v>
      </c>
    </row>
    <row r="17" spans="1:5" x14ac:dyDescent="0.25">
      <c r="A17" s="8">
        <f t="shared" si="0"/>
        <v>73</v>
      </c>
      <c r="B17" t="str">
        <f ca="1">TEXT(DATE(YEAR(Invoer!$A$5),1,1)+INT((ROWS(B$2:B17)-1)/3),"jjjjmmdd")</f>
        <v>19450106</v>
      </c>
      <c r="C17" s="20" t="str">
        <f>INDEX(Data,2,2+MOD(ROWS(C$2:C17)-1,3))</f>
        <v>08.00</v>
      </c>
      <c r="D17" s="14" t="str">
        <f t="shared" ca="1" si="1"/>
        <v>—</v>
      </c>
      <c r="E17" s="25">
        <f t="shared" ca="1" si="2"/>
        <v>7</v>
      </c>
    </row>
    <row r="18" spans="1:5" x14ac:dyDescent="0.25">
      <c r="A18" s="8">
        <f t="shared" si="0"/>
        <v>73</v>
      </c>
      <c r="B18" t="str">
        <f ca="1">TEXT(DATE(YEAR(Invoer!$A$5),1,1)+INT((ROWS(B$2:B18)-1)/3),"jjjjmmdd")</f>
        <v>19450106</v>
      </c>
      <c r="C18" s="20" t="str">
        <f>INDEX(Data,2,2+MOD(ROWS(C$2:C18)-1,3))</f>
        <v>12.00</v>
      </c>
      <c r="D18" s="14" t="str">
        <f t="shared" ca="1" si="1"/>
        <v>—</v>
      </c>
      <c r="E18" s="25">
        <f t="shared" ca="1" si="2"/>
        <v>7</v>
      </c>
    </row>
    <row r="19" spans="1:5" x14ac:dyDescent="0.25">
      <c r="A19" s="8">
        <f t="shared" si="0"/>
        <v>73</v>
      </c>
      <c r="B19" t="str">
        <f ca="1">TEXT(DATE(YEAR(Invoer!$A$5),1,1)+INT((ROWS(B$2:B19)-1)/3),"jjjjmmdd")</f>
        <v>19450106</v>
      </c>
      <c r="C19" s="20" t="str">
        <f>INDEX(Data,2,2+MOD(ROWS(C$2:C19)-1,3))</f>
        <v>16.00</v>
      </c>
      <c r="D19" s="14" t="str">
        <f t="shared" ca="1" si="1"/>
        <v>—</v>
      </c>
      <c r="E19" s="25">
        <f t="shared" ca="1" si="2"/>
        <v>7</v>
      </c>
    </row>
    <row r="20" spans="1:5" x14ac:dyDescent="0.25">
      <c r="A20" s="8">
        <f t="shared" si="0"/>
        <v>73</v>
      </c>
      <c r="B20" t="str">
        <f ca="1">TEXT(DATE(YEAR(Invoer!$A$5),1,1)+INT((ROWS(B$2:B20)-1)/3),"jjjjmmdd")</f>
        <v>19450107</v>
      </c>
      <c r="C20" s="20" t="str">
        <f>INDEX(Data,2,2+MOD(ROWS(C$2:C20)-1,3))</f>
        <v>08.00</v>
      </c>
      <c r="D20" s="14" t="str">
        <f t="shared" ca="1" si="1"/>
        <v>—</v>
      </c>
      <c r="E20" s="25">
        <f t="shared" ca="1" si="2"/>
        <v>7</v>
      </c>
    </row>
    <row r="21" spans="1:5" x14ac:dyDescent="0.25">
      <c r="A21" s="8">
        <f t="shared" si="0"/>
        <v>73</v>
      </c>
      <c r="B21" t="str">
        <f ca="1">TEXT(DATE(YEAR(Invoer!$A$5),1,1)+INT((ROWS(B$2:B21)-1)/3),"jjjjmmdd")</f>
        <v>19450107</v>
      </c>
      <c r="C21" s="20" t="str">
        <f>INDEX(Data,2,2+MOD(ROWS(C$2:C21)-1,3))</f>
        <v>12.00</v>
      </c>
      <c r="D21" s="14" t="str">
        <f t="shared" ca="1" si="1"/>
        <v>—</v>
      </c>
      <c r="E21" s="25">
        <f t="shared" ca="1" si="2"/>
        <v>7</v>
      </c>
    </row>
    <row r="22" spans="1:5" x14ac:dyDescent="0.25">
      <c r="A22" s="8">
        <f t="shared" si="0"/>
        <v>73</v>
      </c>
      <c r="B22" t="str">
        <f ca="1">TEXT(DATE(YEAR(Invoer!$A$5),1,1)+INT((ROWS(B$2:B22)-1)/3),"jjjjmmdd")</f>
        <v>19450107</v>
      </c>
      <c r="C22" s="20" t="str">
        <f>INDEX(Data,2,2+MOD(ROWS(C$2:C22)-1,3))</f>
        <v>16.00</v>
      </c>
      <c r="D22" s="14" t="str">
        <f t="shared" ca="1" si="1"/>
        <v>—</v>
      </c>
      <c r="E22" s="25">
        <f t="shared" ca="1" si="2"/>
        <v>7</v>
      </c>
    </row>
    <row r="23" spans="1:5" x14ac:dyDescent="0.25">
      <c r="A23" s="8">
        <f t="shared" si="0"/>
        <v>73</v>
      </c>
      <c r="B23" t="str">
        <f ca="1">TEXT(DATE(YEAR(Invoer!$A$5),1,1)+INT((ROWS(B$2:B23)-1)/3),"jjjjmmdd")</f>
        <v>19450108</v>
      </c>
      <c r="C23" s="20" t="str">
        <f>INDEX(Data,2,2+MOD(ROWS(C$2:C23)-1,3))</f>
        <v>08.00</v>
      </c>
      <c r="D23" s="14" t="str">
        <f t="shared" ca="1" si="1"/>
        <v>—</v>
      </c>
      <c r="E23" s="25">
        <f t="shared" ca="1" si="2"/>
        <v>7</v>
      </c>
    </row>
    <row r="24" spans="1:5" x14ac:dyDescent="0.25">
      <c r="A24" s="8">
        <f t="shared" si="0"/>
        <v>73</v>
      </c>
      <c r="B24" t="str">
        <f ca="1">TEXT(DATE(YEAR(Invoer!$A$5),1,1)+INT((ROWS(B$2:B24)-1)/3),"jjjjmmdd")</f>
        <v>19450108</v>
      </c>
      <c r="C24" s="20" t="str">
        <f>INDEX(Data,2,2+MOD(ROWS(C$2:C24)-1,3))</f>
        <v>12.00</v>
      </c>
      <c r="D24" s="14" t="str">
        <f t="shared" ca="1" si="1"/>
        <v>—</v>
      </c>
      <c r="E24" s="25">
        <f t="shared" ca="1" si="2"/>
        <v>7</v>
      </c>
    </row>
    <row r="25" spans="1:5" x14ac:dyDescent="0.25">
      <c r="A25" s="8">
        <f t="shared" si="0"/>
        <v>73</v>
      </c>
      <c r="B25" t="str">
        <f ca="1">TEXT(DATE(YEAR(Invoer!$A$5),1,1)+INT((ROWS(B$2:B25)-1)/3),"jjjjmmdd")</f>
        <v>19450108</v>
      </c>
      <c r="C25" s="20" t="str">
        <f>INDEX(Data,2,2+MOD(ROWS(C$2:C25)-1,3))</f>
        <v>16.00</v>
      </c>
      <c r="D25" s="14" t="str">
        <f t="shared" ca="1" si="1"/>
        <v>—</v>
      </c>
      <c r="E25" s="25">
        <f t="shared" ca="1" si="2"/>
        <v>7</v>
      </c>
    </row>
    <row r="26" spans="1:5" x14ac:dyDescent="0.25">
      <c r="A26" s="8">
        <f t="shared" si="0"/>
        <v>73</v>
      </c>
      <c r="B26" t="str">
        <f ca="1">TEXT(DATE(YEAR(Invoer!$A$5),1,1)+INT((ROWS(B$2:B26)-1)/3),"jjjjmmdd")</f>
        <v>19450109</v>
      </c>
      <c r="C26" s="20" t="str">
        <f>INDEX(Data,2,2+MOD(ROWS(C$2:C26)-1,3))</f>
        <v>08.00</v>
      </c>
      <c r="D26" s="14" t="str">
        <f t="shared" ca="1" si="1"/>
        <v>—</v>
      </c>
      <c r="E26" s="25">
        <f t="shared" ca="1" si="2"/>
        <v>7</v>
      </c>
    </row>
    <row r="27" spans="1:5" x14ac:dyDescent="0.25">
      <c r="A27" s="8">
        <f t="shared" si="0"/>
        <v>73</v>
      </c>
      <c r="B27" t="str">
        <f ca="1">TEXT(DATE(YEAR(Invoer!$A$5),1,1)+INT((ROWS(B$2:B27)-1)/3),"jjjjmmdd")</f>
        <v>19450109</v>
      </c>
      <c r="C27" s="20" t="str">
        <f>INDEX(Data,2,2+MOD(ROWS(C$2:C27)-1,3))</f>
        <v>12.00</v>
      </c>
      <c r="D27" s="14" t="str">
        <f t="shared" ca="1" si="1"/>
        <v>—</v>
      </c>
      <c r="E27" s="25">
        <f t="shared" ca="1" si="2"/>
        <v>7</v>
      </c>
    </row>
    <row r="28" spans="1:5" x14ac:dyDescent="0.25">
      <c r="A28" s="8">
        <f t="shared" si="0"/>
        <v>73</v>
      </c>
      <c r="B28" t="str">
        <f ca="1">TEXT(DATE(YEAR(Invoer!$A$5),1,1)+INT((ROWS(B$2:B28)-1)/3),"jjjjmmdd")</f>
        <v>19450109</v>
      </c>
      <c r="C28" s="20" t="str">
        <f>INDEX(Data,2,2+MOD(ROWS(C$2:C28)-1,3))</f>
        <v>16.00</v>
      </c>
      <c r="D28" s="14" t="str">
        <f t="shared" ca="1" si="1"/>
        <v>—</v>
      </c>
      <c r="E28" s="25">
        <f t="shared" ca="1" si="2"/>
        <v>7</v>
      </c>
    </row>
    <row r="29" spans="1:5" x14ac:dyDescent="0.25">
      <c r="A29" s="8">
        <f t="shared" si="0"/>
        <v>73</v>
      </c>
      <c r="B29" t="str">
        <f ca="1">TEXT(DATE(YEAR(Invoer!$A$5),1,1)+INT((ROWS(B$2:B29)-1)/3),"jjjjmmdd")</f>
        <v>19450110</v>
      </c>
      <c r="C29" s="20" t="str">
        <f>INDEX(Data,2,2+MOD(ROWS(C$2:C29)-1,3))</f>
        <v>08.00</v>
      </c>
      <c r="D29" s="14" t="str">
        <f t="shared" ca="1" si="1"/>
        <v>—</v>
      </c>
      <c r="E29" s="25">
        <f t="shared" ca="1" si="2"/>
        <v>7</v>
      </c>
    </row>
    <row r="30" spans="1:5" x14ac:dyDescent="0.25">
      <c r="A30" s="8">
        <f t="shared" si="0"/>
        <v>73</v>
      </c>
      <c r="B30" t="str">
        <f ca="1">TEXT(DATE(YEAR(Invoer!$A$5),1,1)+INT((ROWS(B$2:B30)-1)/3),"jjjjmmdd")</f>
        <v>19450110</v>
      </c>
      <c r="C30" s="20" t="str">
        <f>INDEX(Data,2,2+MOD(ROWS(C$2:C30)-1,3))</f>
        <v>12.00</v>
      </c>
      <c r="D30" s="14" t="str">
        <f t="shared" ca="1" si="1"/>
        <v>—</v>
      </c>
      <c r="E30" s="25">
        <f t="shared" ca="1" si="2"/>
        <v>7</v>
      </c>
    </row>
    <row r="31" spans="1:5" x14ac:dyDescent="0.25">
      <c r="A31" s="8">
        <f t="shared" si="0"/>
        <v>73</v>
      </c>
      <c r="B31" t="str">
        <f ca="1">TEXT(DATE(YEAR(Invoer!$A$5),1,1)+INT((ROWS(B$2:B31)-1)/3),"jjjjmmdd")</f>
        <v>19450110</v>
      </c>
      <c r="C31" s="20" t="str">
        <f>INDEX(Data,2,2+MOD(ROWS(C$2:C31)-1,3))</f>
        <v>16.00</v>
      </c>
      <c r="D31" s="14" t="str">
        <f t="shared" ca="1" si="1"/>
        <v>—</v>
      </c>
      <c r="E31" s="25">
        <f t="shared" ca="1" si="2"/>
        <v>7</v>
      </c>
    </row>
    <row r="32" spans="1:5" x14ac:dyDescent="0.25">
      <c r="A32" s="8">
        <f t="shared" si="0"/>
        <v>73</v>
      </c>
      <c r="B32" t="str">
        <f ca="1">TEXT(DATE(YEAR(Invoer!$A$5),1,1)+INT((ROWS(B$2:B32)-1)/3),"jjjjmmdd")</f>
        <v>19450111</v>
      </c>
      <c r="C32" s="20" t="str">
        <f>INDEX(Data,2,2+MOD(ROWS(C$2:C32)-1,3))</f>
        <v>08.00</v>
      </c>
      <c r="D32" s="14" t="str">
        <f t="shared" ca="1" si="1"/>
        <v>—</v>
      </c>
      <c r="E32" s="25">
        <f t="shared" ca="1" si="2"/>
        <v>7</v>
      </c>
    </row>
    <row r="33" spans="1:5" x14ac:dyDescent="0.25">
      <c r="A33" s="8">
        <f t="shared" si="0"/>
        <v>73</v>
      </c>
      <c r="B33" t="str">
        <f ca="1">TEXT(DATE(YEAR(Invoer!$A$5),1,1)+INT((ROWS(B$2:B33)-1)/3),"jjjjmmdd")</f>
        <v>19450111</v>
      </c>
      <c r="C33" s="20" t="str">
        <f>INDEX(Data,2,2+MOD(ROWS(C$2:C33)-1,3))</f>
        <v>12.00</v>
      </c>
      <c r="D33" s="14" t="str">
        <f t="shared" ca="1" si="1"/>
        <v>—</v>
      </c>
      <c r="E33" s="25">
        <f t="shared" ca="1" si="2"/>
        <v>7</v>
      </c>
    </row>
    <row r="34" spans="1:5" x14ac:dyDescent="0.25">
      <c r="A34" s="8">
        <f t="shared" si="0"/>
        <v>73</v>
      </c>
      <c r="B34" t="str">
        <f ca="1">TEXT(DATE(YEAR(Invoer!$A$5),1,1)+INT((ROWS(B$2:B34)-1)/3),"jjjjmmdd")</f>
        <v>19450111</v>
      </c>
      <c r="C34" s="20" t="str">
        <f>INDEX(Data,2,2+MOD(ROWS(C$2:C34)-1,3))</f>
        <v>16.00</v>
      </c>
      <c r="D34" s="14" t="str">
        <f t="shared" ca="1" si="1"/>
        <v>—</v>
      </c>
      <c r="E34" s="25">
        <f t="shared" ca="1" si="2"/>
        <v>7</v>
      </c>
    </row>
    <row r="35" spans="1:5" x14ac:dyDescent="0.25">
      <c r="A35" s="8">
        <f t="shared" si="0"/>
        <v>73</v>
      </c>
      <c r="B35" t="str">
        <f ca="1">TEXT(DATE(YEAR(Invoer!$A$5),1,1)+INT((ROWS(B$2:B35)-1)/3),"jjjjmmdd")</f>
        <v>19450112</v>
      </c>
      <c r="C35" s="20" t="str">
        <f>INDEX(Data,2,2+MOD(ROWS(C$2:C35)-1,3))</f>
        <v>08.00</v>
      </c>
      <c r="D35" s="14" t="str">
        <f t="shared" ca="1" si="1"/>
        <v>—</v>
      </c>
      <c r="E35" s="25">
        <f t="shared" ca="1" si="2"/>
        <v>7</v>
      </c>
    </row>
    <row r="36" spans="1:5" x14ac:dyDescent="0.25">
      <c r="A36" s="8">
        <f t="shared" si="0"/>
        <v>73</v>
      </c>
      <c r="B36" t="str">
        <f ca="1">TEXT(DATE(YEAR(Invoer!$A$5),1,1)+INT((ROWS(B$2:B36)-1)/3),"jjjjmmdd")</f>
        <v>19450112</v>
      </c>
      <c r="C36" s="20" t="str">
        <f>INDEX(Data,2,2+MOD(ROWS(C$2:C36)-1,3))</f>
        <v>12.00</v>
      </c>
      <c r="D36" s="14" t="str">
        <f t="shared" ca="1" si="1"/>
        <v>—</v>
      </c>
      <c r="E36" s="25">
        <f t="shared" ca="1" si="2"/>
        <v>7</v>
      </c>
    </row>
    <row r="37" spans="1:5" x14ac:dyDescent="0.25">
      <c r="A37" s="8">
        <f t="shared" si="0"/>
        <v>73</v>
      </c>
      <c r="B37" t="str">
        <f ca="1">TEXT(DATE(YEAR(Invoer!$A$5),1,1)+INT((ROWS(B$2:B37)-1)/3),"jjjjmmdd")</f>
        <v>19450112</v>
      </c>
      <c r="C37" s="20" t="str">
        <f>INDEX(Data,2,2+MOD(ROWS(C$2:C37)-1,3))</f>
        <v>16.00</v>
      </c>
      <c r="D37" s="14" t="str">
        <f t="shared" ca="1" si="1"/>
        <v>—</v>
      </c>
      <c r="E37" s="25">
        <f t="shared" ca="1" si="2"/>
        <v>7</v>
      </c>
    </row>
    <row r="38" spans="1:5" x14ac:dyDescent="0.25">
      <c r="A38" s="8">
        <f t="shared" si="0"/>
        <v>73</v>
      </c>
      <c r="B38" t="str">
        <f ca="1">TEXT(DATE(YEAR(Invoer!$A$5),1,1)+INT((ROWS(B$2:B38)-1)/3),"jjjjmmdd")</f>
        <v>19450113</v>
      </c>
      <c r="C38" s="20" t="str">
        <f>INDEX(Data,2,2+MOD(ROWS(C$2:C38)-1,3))</f>
        <v>08.00</v>
      </c>
      <c r="D38" s="14" t="str">
        <f t="shared" ca="1" si="1"/>
        <v>—</v>
      </c>
      <c r="E38" s="25">
        <f t="shared" ca="1" si="2"/>
        <v>7</v>
      </c>
    </row>
    <row r="39" spans="1:5" x14ac:dyDescent="0.25">
      <c r="A39" s="8">
        <f t="shared" si="0"/>
        <v>73</v>
      </c>
      <c r="B39" t="str">
        <f ca="1">TEXT(DATE(YEAR(Invoer!$A$5),1,1)+INT((ROWS(B$2:B39)-1)/3),"jjjjmmdd")</f>
        <v>19450113</v>
      </c>
      <c r="C39" s="20" t="str">
        <f>INDEX(Data,2,2+MOD(ROWS(C$2:C39)-1,3))</f>
        <v>12.00</v>
      </c>
      <c r="D39" s="14" t="str">
        <f t="shared" ca="1" si="1"/>
        <v>—</v>
      </c>
      <c r="E39" s="25">
        <f t="shared" ca="1" si="2"/>
        <v>7</v>
      </c>
    </row>
    <row r="40" spans="1:5" x14ac:dyDescent="0.25">
      <c r="A40" s="8">
        <f t="shared" si="0"/>
        <v>73</v>
      </c>
      <c r="B40" t="str">
        <f ca="1">TEXT(DATE(YEAR(Invoer!$A$5),1,1)+INT((ROWS(B$2:B40)-1)/3),"jjjjmmdd")</f>
        <v>19450113</v>
      </c>
      <c r="C40" s="20" t="str">
        <f>INDEX(Data,2,2+MOD(ROWS(C$2:C40)-1,3))</f>
        <v>16.00</v>
      </c>
      <c r="D40" s="14" t="str">
        <f t="shared" ca="1" si="1"/>
        <v>—</v>
      </c>
      <c r="E40" s="25">
        <f t="shared" ca="1" si="2"/>
        <v>7</v>
      </c>
    </row>
    <row r="41" spans="1:5" x14ac:dyDescent="0.25">
      <c r="A41" s="8">
        <f t="shared" si="0"/>
        <v>73</v>
      </c>
      <c r="B41" t="str">
        <f ca="1">TEXT(DATE(YEAR(Invoer!$A$5),1,1)+INT((ROWS(B$2:B41)-1)/3),"jjjjmmdd")</f>
        <v>19450114</v>
      </c>
      <c r="C41" s="20" t="str">
        <f>INDEX(Data,2,2+MOD(ROWS(C$2:C41)-1,3))</f>
        <v>08.00</v>
      </c>
      <c r="D41" s="14" t="str">
        <f t="shared" ca="1" si="1"/>
        <v>—</v>
      </c>
      <c r="E41" s="25">
        <f t="shared" ca="1" si="2"/>
        <v>7</v>
      </c>
    </row>
    <row r="42" spans="1:5" x14ac:dyDescent="0.25">
      <c r="A42" s="8">
        <f t="shared" si="0"/>
        <v>73</v>
      </c>
      <c r="B42" t="str">
        <f ca="1">TEXT(DATE(YEAR(Invoer!$A$5),1,1)+INT((ROWS(B$2:B42)-1)/3),"jjjjmmdd")</f>
        <v>19450114</v>
      </c>
      <c r="C42" s="20" t="str">
        <f>INDEX(Data,2,2+MOD(ROWS(C$2:C42)-1,3))</f>
        <v>12.00</v>
      </c>
      <c r="D42" s="14" t="str">
        <f t="shared" ca="1" si="1"/>
        <v>—</v>
      </c>
      <c r="E42" s="25">
        <f t="shared" ca="1" si="2"/>
        <v>7</v>
      </c>
    </row>
    <row r="43" spans="1:5" x14ac:dyDescent="0.25">
      <c r="A43" s="8">
        <f t="shared" si="0"/>
        <v>73</v>
      </c>
      <c r="B43" t="str">
        <f ca="1">TEXT(DATE(YEAR(Invoer!$A$5),1,1)+INT((ROWS(B$2:B43)-1)/3),"jjjjmmdd")</f>
        <v>19450114</v>
      </c>
      <c r="C43" s="20" t="str">
        <f>INDEX(Data,2,2+MOD(ROWS(C$2:C43)-1,3))</f>
        <v>16.00</v>
      </c>
      <c r="D43" s="14" t="str">
        <f t="shared" ca="1" si="1"/>
        <v>—</v>
      </c>
      <c r="E43" s="25">
        <f t="shared" ca="1" si="2"/>
        <v>7</v>
      </c>
    </row>
    <row r="44" spans="1:5" x14ac:dyDescent="0.25">
      <c r="A44" s="8">
        <f t="shared" si="0"/>
        <v>73</v>
      </c>
      <c r="B44" t="str">
        <f ca="1">TEXT(DATE(YEAR(Invoer!$A$5),1,1)+INT((ROWS(B$2:B44)-1)/3),"jjjjmmdd")</f>
        <v>19450115</v>
      </c>
      <c r="C44" s="20" t="str">
        <f>INDEX(Data,2,2+MOD(ROWS(C$2:C44)-1,3))</f>
        <v>08.00</v>
      </c>
      <c r="D44" s="14" t="str">
        <f t="shared" ca="1" si="1"/>
        <v>—</v>
      </c>
      <c r="E44" s="25">
        <f t="shared" ca="1" si="2"/>
        <v>7</v>
      </c>
    </row>
    <row r="45" spans="1:5" x14ac:dyDescent="0.25">
      <c r="A45" s="8">
        <f t="shared" si="0"/>
        <v>73</v>
      </c>
      <c r="B45" t="str">
        <f ca="1">TEXT(DATE(YEAR(Invoer!$A$5),1,1)+INT((ROWS(B$2:B45)-1)/3),"jjjjmmdd")</f>
        <v>19450115</v>
      </c>
      <c r="C45" s="20" t="str">
        <f>INDEX(Data,2,2+MOD(ROWS(C$2:C45)-1,3))</f>
        <v>12.00</v>
      </c>
      <c r="D45" s="14" t="str">
        <f t="shared" ca="1" si="1"/>
        <v>—</v>
      </c>
      <c r="E45" s="25">
        <f t="shared" ca="1" si="2"/>
        <v>7</v>
      </c>
    </row>
    <row r="46" spans="1:5" x14ac:dyDescent="0.25">
      <c r="A46" s="8">
        <f t="shared" si="0"/>
        <v>73</v>
      </c>
      <c r="B46" t="str">
        <f ca="1">TEXT(DATE(YEAR(Invoer!$A$5),1,1)+INT((ROWS(B$2:B46)-1)/3),"jjjjmmdd")</f>
        <v>19450115</v>
      </c>
      <c r="C46" s="20" t="str">
        <f>INDEX(Data,2,2+MOD(ROWS(C$2:C46)-1,3))</f>
        <v>16.00</v>
      </c>
      <c r="D46" s="14" t="str">
        <f t="shared" ca="1" si="1"/>
        <v>—</v>
      </c>
      <c r="E46" s="25">
        <f t="shared" ca="1" si="2"/>
        <v>7</v>
      </c>
    </row>
    <row r="47" spans="1:5" x14ac:dyDescent="0.25">
      <c r="A47" s="8">
        <f t="shared" si="0"/>
        <v>73</v>
      </c>
      <c r="B47" t="str">
        <f ca="1">TEXT(DATE(YEAR(Invoer!$A$5),1,1)+INT((ROWS(B$2:B47)-1)/3),"jjjjmmdd")</f>
        <v>19450116</v>
      </c>
      <c r="C47" s="20" t="str">
        <f>INDEX(Data,2,2+MOD(ROWS(C$2:C47)-1,3))</f>
        <v>08.00</v>
      </c>
      <c r="D47" s="14" t="str">
        <f t="shared" ca="1" si="1"/>
        <v>—</v>
      </c>
      <c r="E47" s="25">
        <f t="shared" ca="1" si="2"/>
        <v>7</v>
      </c>
    </row>
    <row r="48" spans="1:5" x14ac:dyDescent="0.25">
      <c r="A48" s="8">
        <f t="shared" si="0"/>
        <v>73</v>
      </c>
      <c r="B48" t="str">
        <f ca="1">TEXT(DATE(YEAR(Invoer!$A$5),1,1)+INT((ROWS(B$2:B48)-1)/3),"jjjjmmdd")</f>
        <v>19450116</v>
      </c>
      <c r="C48" s="20" t="str">
        <f>INDEX(Data,2,2+MOD(ROWS(C$2:C48)-1,3))</f>
        <v>12.00</v>
      </c>
      <c r="D48" s="14" t="str">
        <f t="shared" ca="1" si="1"/>
        <v>—</v>
      </c>
      <c r="E48" s="25">
        <f t="shared" ca="1" si="2"/>
        <v>7</v>
      </c>
    </row>
    <row r="49" spans="1:5" x14ac:dyDescent="0.25">
      <c r="A49" s="8">
        <f t="shared" si="0"/>
        <v>73</v>
      </c>
      <c r="B49" t="str">
        <f ca="1">TEXT(DATE(YEAR(Invoer!$A$5),1,1)+INT((ROWS(B$2:B49)-1)/3),"jjjjmmdd")</f>
        <v>19450116</v>
      </c>
      <c r="C49" s="20" t="str">
        <f>INDEX(Data,2,2+MOD(ROWS(C$2:C49)-1,3))</f>
        <v>16.00</v>
      </c>
      <c r="D49" s="14" t="str">
        <f t="shared" ca="1" si="1"/>
        <v>—</v>
      </c>
      <c r="E49" s="25">
        <f t="shared" ca="1" si="2"/>
        <v>7</v>
      </c>
    </row>
    <row r="50" spans="1:5" x14ac:dyDescent="0.25">
      <c r="A50" s="8">
        <f t="shared" si="0"/>
        <v>73</v>
      </c>
      <c r="B50" t="str">
        <f ca="1">TEXT(DATE(YEAR(Invoer!$A$5),1,1)+INT((ROWS(B$2:B50)-1)/3),"jjjjmmdd")</f>
        <v>19450117</v>
      </c>
      <c r="C50" s="20" t="str">
        <f>INDEX(Data,2,2+MOD(ROWS(C$2:C50)-1,3))</f>
        <v>08.00</v>
      </c>
      <c r="D50" s="14" t="str">
        <f t="shared" ca="1" si="1"/>
        <v>—</v>
      </c>
      <c r="E50" s="25">
        <f t="shared" ca="1" si="2"/>
        <v>7</v>
      </c>
    </row>
    <row r="51" spans="1:5" x14ac:dyDescent="0.25">
      <c r="A51" s="8">
        <f t="shared" si="0"/>
        <v>73</v>
      </c>
      <c r="B51" t="str">
        <f ca="1">TEXT(DATE(YEAR(Invoer!$A$5),1,1)+INT((ROWS(B$2:B51)-1)/3),"jjjjmmdd")</f>
        <v>19450117</v>
      </c>
      <c r="C51" s="20" t="str">
        <f>INDEX(Data,2,2+MOD(ROWS(C$2:C51)-1,3))</f>
        <v>12.00</v>
      </c>
      <c r="D51" s="14" t="str">
        <f t="shared" ca="1" si="1"/>
        <v>—</v>
      </c>
      <c r="E51" s="25">
        <f t="shared" ca="1" si="2"/>
        <v>7</v>
      </c>
    </row>
    <row r="52" spans="1:5" x14ac:dyDescent="0.25">
      <c r="A52" s="8">
        <f t="shared" si="0"/>
        <v>73</v>
      </c>
      <c r="B52" t="str">
        <f ca="1">TEXT(DATE(YEAR(Invoer!$A$5),1,1)+INT((ROWS(B$2:B52)-1)/3),"jjjjmmdd")</f>
        <v>19450117</v>
      </c>
      <c r="C52" s="20" t="str">
        <f>INDEX(Data,2,2+MOD(ROWS(C$2:C52)-1,3))</f>
        <v>16.00</v>
      </c>
      <c r="D52" s="14" t="str">
        <f t="shared" ca="1" si="1"/>
        <v>—</v>
      </c>
      <c r="E52" s="25">
        <f t="shared" ca="1" si="2"/>
        <v>7</v>
      </c>
    </row>
    <row r="53" spans="1:5" x14ac:dyDescent="0.25">
      <c r="A53" s="8">
        <f t="shared" si="0"/>
        <v>73</v>
      </c>
      <c r="B53" t="str">
        <f ca="1">TEXT(DATE(YEAR(Invoer!$A$5),1,1)+INT((ROWS(B$2:B53)-1)/3),"jjjjmmdd")</f>
        <v>19450118</v>
      </c>
      <c r="C53" s="20" t="str">
        <f>INDEX(Data,2,2+MOD(ROWS(C$2:C53)-1,3))</f>
        <v>08.00</v>
      </c>
      <c r="D53" s="14" t="str">
        <f t="shared" ca="1" si="1"/>
        <v>—</v>
      </c>
      <c r="E53" s="25">
        <f t="shared" ca="1" si="2"/>
        <v>7</v>
      </c>
    </row>
    <row r="54" spans="1:5" x14ac:dyDescent="0.25">
      <c r="A54" s="8">
        <f t="shared" si="0"/>
        <v>73</v>
      </c>
      <c r="B54" t="str">
        <f ca="1">TEXT(DATE(YEAR(Invoer!$A$5),1,1)+INT((ROWS(B$2:B54)-1)/3),"jjjjmmdd")</f>
        <v>19450118</v>
      </c>
      <c r="C54" s="20" t="str">
        <f>INDEX(Data,2,2+MOD(ROWS(C$2:C54)-1,3))</f>
        <v>12.00</v>
      </c>
      <c r="D54" s="14" t="str">
        <f t="shared" ca="1" si="1"/>
        <v>—</v>
      </c>
      <c r="E54" s="25">
        <f t="shared" ca="1" si="2"/>
        <v>7</v>
      </c>
    </row>
    <row r="55" spans="1:5" x14ac:dyDescent="0.25">
      <c r="A55" s="8">
        <f t="shared" si="0"/>
        <v>73</v>
      </c>
      <c r="B55" t="str">
        <f ca="1">TEXT(DATE(YEAR(Invoer!$A$5),1,1)+INT((ROWS(B$2:B55)-1)/3),"jjjjmmdd")</f>
        <v>19450118</v>
      </c>
      <c r="C55" s="20" t="str">
        <f>INDEX(Data,2,2+MOD(ROWS(C$2:C55)-1,3))</f>
        <v>16.00</v>
      </c>
      <c r="D55" s="14" t="str">
        <f t="shared" ca="1" si="1"/>
        <v>—</v>
      </c>
      <c r="E55" s="25">
        <f t="shared" ca="1" si="2"/>
        <v>7</v>
      </c>
    </row>
    <row r="56" spans="1:5" x14ac:dyDescent="0.25">
      <c r="A56" s="8">
        <f t="shared" si="0"/>
        <v>73</v>
      </c>
      <c r="B56" t="str">
        <f ca="1">TEXT(DATE(YEAR(Invoer!$A$5),1,1)+INT((ROWS(B$2:B56)-1)/3),"jjjjmmdd")</f>
        <v>19450119</v>
      </c>
      <c r="C56" s="20" t="str">
        <f>INDEX(Data,2,2+MOD(ROWS(C$2:C56)-1,3))</f>
        <v>08.00</v>
      </c>
      <c r="D56" s="14" t="str">
        <f t="shared" ca="1" si="1"/>
        <v>—</v>
      </c>
      <c r="E56" s="25">
        <f t="shared" ca="1" si="2"/>
        <v>7</v>
      </c>
    </row>
    <row r="57" spans="1:5" x14ac:dyDescent="0.25">
      <c r="A57" s="8">
        <f t="shared" si="0"/>
        <v>73</v>
      </c>
      <c r="B57" t="str">
        <f ca="1">TEXT(DATE(YEAR(Invoer!$A$5),1,1)+INT((ROWS(B$2:B57)-1)/3),"jjjjmmdd")</f>
        <v>19450119</v>
      </c>
      <c r="C57" s="20" t="str">
        <f>INDEX(Data,2,2+MOD(ROWS(C$2:C57)-1,3))</f>
        <v>12.00</v>
      </c>
      <c r="D57" s="14" t="str">
        <f t="shared" ca="1" si="1"/>
        <v>—</v>
      </c>
      <c r="E57" s="25">
        <f t="shared" ca="1" si="2"/>
        <v>7</v>
      </c>
    </row>
    <row r="58" spans="1:5" x14ac:dyDescent="0.25">
      <c r="A58" s="8">
        <f t="shared" si="0"/>
        <v>73</v>
      </c>
      <c r="B58" t="str">
        <f ca="1">TEXT(DATE(YEAR(Invoer!$A$5),1,1)+INT((ROWS(B$2:B58)-1)/3),"jjjjmmdd")</f>
        <v>19450119</v>
      </c>
      <c r="C58" s="20" t="str">
        <f>INDEX(Data,2,2+MOD(ROWS(C$2:C58)-1,3))</f>
        <v>16.00</v>
      </c>
      <c r="D58" s="14" t="str">
        <f t="shared" ca="1" si="1"/>
        <v>—</v>
      </c>
      <c r="E58" s="25">
        <f t="shared" ca="1" si="2"/>
        <v>7</v>
      </c>
    </row>
    <row r="59" spans="1:5" x14ac:dyDescent="0.25">
      <c r="A59" s="8">
        <f t="shared" si="0"/>
        <v>73</v>
      </c>
      <c r="B59" t="str">
        <f ca="1">TEXT(DATE(YEAR(Invoer!$A$5),1,1)+INT((ROWS(B$2:B59)-1)/3),"jjjjmmdd")</f>
        <v>19450120</v>
      </c>
      <c r="C59" s="20" t="str">
        <f>INDEX(Data,2,2+MOD(ROWS(C$2:C59)-1,3))</f>
        <v>08.00</v>
      </c>
      <c r="D59" s="14" t="str">
        <f t="shared" ca="1" si="1"/>
        <v>—</v>
      </c>
      <c r="E59" s="25">
        <f t="shared" ca="1" si="2"/>
        <v>7</v>
      </c>
    </row>
    <row r="60" spans="1:5" x14ac:dyDescent="0.25">
      <c r="A60" s="8">
        <f t="shared" si="0"/>
        <v>73</v>
      </c>
      <c r="B60" t="str">
        <f ca="1">TEXT(DATE(YEAR(Invoer!$A$5),1,1)+INT((ROWS(B$2:B60)-1)/3),"jjjjmmdd")</f>
        <v>19450120</v>
      </c>
      <c r="C60" s="20" t="str">
        <f>INDEX(Data,2,2+MOD(ROWS(C$2:C60)-1,3))</f>
        <v>12.00</v>
      </c>
      <c r="D60" s="14" t="str">
        <f t="shared" ca="1" si="1"/>
        <v>—</v>
      </c>
      <c r="E60" s="25">
        <f t="shared" ca="1" si="2"/>
        <v>7</v>
      </c>
    </row>
    <row r="61" spans="1:5" x14ac:dyDescent="0.25">
      <c r="A61" s="8">
        <f t="shared" si="0"/>
        <v>73</v>
      </c>
      <c r="B61" t="str">
        <f ca="1">TEXT(DATE(YEAR(Invoer!$A$5),1,1)+INT((ROWS(B$2:B61)-1)/3),"jjjjmmdd")</f>
        <v>19450120</v>
      </c>
      <c r="C61" s="20" t="str">
        <f>INDEX(Data,2,2+MOD(ROWS(C$2:C61)-1,3))</f>
        <v>16.00</v>
      </c>
      <c r="D61" s="14" t="str">
        <f t="shared" ca="1" si="1"/>
        <v>—</v>
      </c>
      <c r="E61" s="25">
        <f t="shared" ca="1" si="2"/>
        <v>7</v>
      </c>
    </row>
    <row r="62" spans="1:5" x14ac:dyDescent="0.25">
      <c r="A62" s="8">
        <f t="shared" si="0"/>
        <v>73</v>
      </c>
      <c r="B62" t="str">
        <f ca="1">TEXT(DATE(YEAR(Invoer!$A$5),1,1)+INT((ROWS(B$2:B62)-1)/3),"jjjjmmdd")</f>
        <v>19450121</v>
      </c>
      <c r="C62" s="20" t="str">
        <f>INDEX(Data,2,2+MOD(ROWS(C$2:C62)-1,3))</f>
        <v>08.00</v>
      </c>
      <c r="D62" s="14" t="str">
        <f t="shared" ca="1" si="1"/>
        <v>—</v>
      </c>
      <c r="E62" s="25">
        <f t="shared" ca="1" si="2"/>
        <v>7</v>
      </c>
    </row>
    <row r="63" spans="1:5" x14ac:dyDescent="0.25">
      <c r="A63" s="8">
        <f t="shared" si="0"/>
        <v>73</v>
      </c>
      <c r="B63" t="str">
        <f ca="1">TEXT(DATE(YEAR(Invoer!$A$5),1,1)+INT((ROWS(B$2:B63)-1)/3),"jjjjmmdd")</f>
        <v>19450121</v>
      </c>
      <c r="C63" s="20" t="str">
        <f>INDEX(Data,2,2+MOD(ROWS(C$2:C63)-1,3))</f>
        <v>12.00</v>
      </c>
      <c r="D63" s="14" t="str">
        <f t="shared" ca="1" si="1"/>
        <v>—</v>
      </c>
      <c r="E63" s="25">
        <f t="shared" ca="1" si="2"/>
        <v>7</v>
      </c>
    </row>
    <row r="64" spans="1:5" x14ac:dyDescent="0.25">
      <c r="A64" s="8">
        <f t="shared" si="0"/>
        <v>73</v>
      </c>
      <c r="B64" t="str">
        <f ca="1">TEXT(DATE(YEAR(Invoer!$A$5),1,1)+INT((ROWS(B$2:B64)-1)/3),"jjjjmmdd")</f>
        <v>19450121</v>
      </c>
      <c r="C64" s="20" t="str">
        <f>INDEX(Data,2,2+MOD(ROWS(C$2:C64)-1,3))</f>
        <v>16.00</v>
      </c>
      <c r="D64" s="14" t="str">
        <f t="shared" ca="1" si="1"/>
        <v>—</v>
      </c>
      <c r="E64" s="25">
        <f t="shared" ca="1" si="2"/>
        <v>7</v>
      </c>
    </row>
    <row r="65" spans="1:5" x14ac:dyDescent="0.25">
      <c r="A65" s="8">
        <f t="shared" si="0"/>
        <v>73</v>
      </c>
      <c r="B65" t="str">
        <f ca="1">TEXT(DATE(YEAR(Invoer!$A$5),1,1)+INT((ROWS(B$2:B65)-1)/3),"jjjjmmdd")</f>
        <v>19450122</v>
      </c>
      <c r="C65" s="20" t="str">
        <f>INDEX(Data,2,2+MOD(ROWS(C$2:C65)-1,3))</f>
        <v>08.00</v>
      </c>
      <c r="D65" s="14" t="str">
        <f t="shared" ca="1" si="1"/>
        <v>—</v>
      </c>
      <c r="E65" s="25">
        <f t="shared" ca="1" si="2"/>
        <v>7</v>
      </c>
    </row>
    <row r="66" spans="1:5" x14ac:dyDescent="0.25">
      <c r="A66" s="8">
        <f t="shared" ref="A66:A129" si="3">INDEX(Stations,2,1)</f>
        <v>73</v>
      </c>
      <c r="B66" t="str">
        <f ca="1">TEXT(DATE(YEAR(Invoer!$A$5),1,1)+INT((ROWS(B$2:B66)-1)/3),"jjjjmmdd")</f>
        <v>19450122</v>
      </c>
      <c r="C66" s="20" t="str">
        <f>INDEX(Data,2,2+MOD(ROWS(C$2:C66)-1,3))</f>
        <v>12.00</v>
      </c>
      <c r="D66" s="14" t="str">
        <f t="shared" ref="D66:D129" ca="1" si="4">IF(OR(ISBLANK(VLOOKUP(DATEVALUE(LEFT($B66,4)&amp;"-"&amp;MID($B66,5,2)&amp;"-"&amp;RIGHT($B66,2)),Data,MATCH(LEFT(VLOOKUP(D$1,Parameters,2,FALSE()),4)&amp;"*",OFFSET(Data,0,0,1),0)+MATCH($C66,OFFSET(Data,1,0,1),0)-2,FALSE())),ISTEXT(VLOOKUP(DATEVALUE(LEFT($B66,4)&amp;"-"&amp;MID($B66,5,2)&amp;"-"&amp;RIGHT($B66,2)),Data,MATCH(LEFT(VLOOKUP(D$1,Parameters,2,FALSE()),4)&amp;"*",OFFSET(Data,0,0,1),0)+MATCH($C66,OFFSET(Data,1,0,1),0)-2,FALSE()))),"—",VLOOKUP(DATEVALUE(LEFT($B66,4)&amp;"-"&amp;MID($B66,5,2)&amp;"-"&amp;RIGHT($B66,2)),Data,MATCH(LEFT(VLOOKUP(D$1,Parameters,2,FALSE()),4)&amp;"*",OFFSET(Data,0,0,1),0)+MATCH($C66,OFFSET(Data,1,0,1),0)-2,FALSE()))</f>
        <v>—</v>
      </c>
      <c r="E66" s="25">
        <f t="shared" ref="E66:E129" ca="1" si="5">IF(OR(ISBLANK(VLOOKUP(DATEVALUE(LEFT($B66,4)&amp;"-"&amp;MID($B66,5,2)&amp;"-"&amp;RIGHT($B66,2)),Data,MATCH(LEFT(VLOOKUP(MID(E$1,2,LEN(E$1)-1),Parameters,2,FALSE()),4)&amp;"*",OFFSET(Data,0,0,1),0)+MATCH($C66,OFFSET(Data,1,0,1),0)-2,FALSE())),ISTEXT(VLOOKUP(DATEVALUE(LEFT($B66,4)&amp;"-"&amp;MID($B66,5,2)&amp;"-"&amp;RIGHT($B66,2)),Data,MATCH(LEFT(VLOOKUP(MID(E$1,2,LEN(E$1)-1),Parameters,2,FALSE()),4)&amp;"*",OFFSET(Data,0,0,1),0)+MATCH($C66,OFFSET(Data,1,0,1),0)-2,FALSE()))),Lacking,IF(ISNA(MATCH(DATEVALUE(LEFT($B66,4)&amp;"-"&amp;MID($B66,5,2)&amp;"-"&amp;RIGHT($B66,2)),OFFSET(Catalogus,0,0,,1),0)),Ok,VLOOKUP(DATEVALUE(LEFT($B66,4)&amp;"-"&amp;MID($B66,5,2)&amp;"-"&amp;RIGHT($B66,2)),Catalogus,MATCH(LEFT(VLOOKUP(MID(E$1,2,LEN(E$1)-1),Parameters,2,FALSE()),4)&amp;"*",OFFSET(Catalogus,0,0,1),0)+MATCH($C66,OFFSET(Catalogus,1,0,1),0)-2,FALSE())))</f>
        <v>7</v>
      </c>
    </row>
    <row r="67" spans="1:5" x14ac:dyDescent="0.25">
      <c r="A67" s="8">
        <f t="shared" si="3"/>
        <v>73</v>
      </c>
      <c r="B67" t="str">
        <f ca="1">TEXT(DATE(YEAR(Invoer!$A$5),1,1)+INT((ROWS(B$2:B67)-1)/3),"jjjjmmdd")</f>
        <v>19450122</v>
      </c>
      <c r="C67" s="20" t="str">
        <f>INDEX(Data,2,2+MOD(ROWS(C$2:C67)-1,3))</f>
        <v>16.00</v>
      </c>
      <c r="D67" s="14" t="str">
        <f t="shared" ca="1" si="4"/>
        <v>—</v>
      </c>
      <c r="E67" s="25">
        <f t="shared" ca="1" si="5"/>
        <v>7</v>
      </c>
    </row>
    <row r="68" spans="1:5" x14ac:dyDescent="0.25">
      <c r="A68" s="8">
        <f t="shared" si="3"/>
        <v>73</v>
      </c>
      <c r="B68" t="str">
        <f ca="1">TEXT(DATE(YEAR(Invoer!$A$5),1,1)+INT((ROWS(B$2:B68)-1)/3),"jjjjmmdd")</f>
        <v>19450123</v>
      </c>
      <c r="C68" s="20" t="str">
        <f>INDEX(Data,2,2+MOD(ROWS(C$2:C68)-1,3))</f>
        <v>08.00</v>
      </c>
      <c r="D68" s="14" t="str">
        <f t="shared" ca="1" si="4"/>
        <v>—</v>
      </c>
      <c r="E68" s="25">
        <f t="shared" ca="1" si="5"/>
        <v>7</v>
      </c>
    </row>
    <row r="69" spans="1:5" x14ac:dyDescent="0.25">
      <c r="A69" s="8">
        <f t="shared" si="3"/>
        <v>73</v>
      </c>
      <c r="B69" t="str">
        <f ca="1">TEXT(DATE(YEAR(Invoer!$A$5),1,1)+INT((ROWS(B$2:B69)-1)/3),"jjjjmmdd")</f>
        <v>19450123</v>
      </c>
      <c r="C69" s="20" t="str">
        <f>INDEX(Data,2,2+MOD(ROWS(C$2:C69)-1,3))</f>
        <v>12.00</v>
      </c>
      <c r="D69" s="14" t="str">
        <f t="shared" ca="1" si="4"/>
        <v>—</v>
      </c>
      <c r="E69" s="25">
        <f t="shared" ca="1" si="5"/>
        <v>7</v>
      </c>
    </row>
    <row r="70" spans="1:5" x14ac:dyDescent="0.25">
      <c r="A70" s="8">
        <f t="shared" si="3"/>
        <v>73</v>
      </c>
      <c r="B70" t="str">
        <f ca="1">TEXT(DATE(YEAR(Invoer!$A$5),1,1)+INT((ROWS(B$2:B70)-1)/3),"jjjjmmdd")</f>
        <v>19450123</v>
      </c>
      <c r="C70" s="20" t="str">
        <f>INDEX(Data,2,2+MOD(ROWS(C$2:C70)-1,3))</f>
        <v>16.00</v>
      </c>
      <c r="D70" s="14" t="str">
        <f t="shared" ca="1" si="4"/>
        <v>—</v>
      </c>
      <c r="E70" s="25">
        <f t="shared" ca="1" si="5"/>
        <v>7</v>
      </c>
    </row>
    <row r="71" spans="1:5" x14ac:dyDescent="0.25">
      <c r="A71" s="8">
        <f t="shared" si="3"/>
        <v>73</v>
      </c>
      <c r="B71" t="str">
        <f ca="1">TEXT(DATE(YEAR(Invoer!$A$5),1,1)+INT((ROWS(B$2:B71)-1)/3),"jjjjmmdd")</f>
        <v>19450124</v>
      </c>
      <c r="C71" s="20" t="str">
        <f>INDEX(Data,2,2+MOD(ROWS(C$2:C71)-1,3))</f>
        <v>08.00</v>
      </c>
      <c r="D71" s="14" t="str">
        <f t="shared" ca="1" si="4"/>
        <v>—</v>
      </c>
      <c r="E71" s="25">
        <f t="shared" ca="1" si="5"/>
        <v>7</v>
      </c>
    </row>
    <row r="72" spans="1:5" x14ac:dyDescent="0.25">
      <c r="A72" s="8">
        <f t="shared" si="3"/>
        <v>73</v>
      </c>
      <c r="B72" t="str">
        <f ca="1">TEXT(DATE(YEAR(Invoer!$A$5),1,1)+INT((ROWS(B$2:B72)-1)/3),"jjjjmmdd")</f>
        <v>19450124</v>
      </c>
      <c r="C72" s="20" t="str">
        <f>INDEX(Data,2,2+MOD(ROWS(C$2:C72)-1,3))</f>
        <v>12.00</v>
      </c>
      <c r="D72" s="14" t="str">
        <f t="shared" ca="1" si="4"/>
        <v>—</v>
      </c>
      <c r="E72" s="25">
        <f t="shared" ca="1" si="5"/>
        <v>7</v>
      </c>
    </row>
    <row r="73" spans="1:5" x14ac:dyDescent="0.25">
      <c r="A73" s="8">
        <f t="shared" si="3"/>
        <v>73</v>
      </c>
      <c r="B73" t="str">
        <f ca="1">TEXT(DATE(YEAR(Invoer!$A$5),1,1)+INT((ROWS(B$2:B73)-1)/3),"jjjjmmdd")</f>
        <v>19450124</v>
      </c>
      <c r="C73" s="20" t="str">
        <f>INDEX(Data,2,2+MOD(ROWS(C$2:C73)-1,3))</f>
        <v>16.00</v>
      </c>
      <c r="D73" s="14" t="str">
        <f t="shared" ca="1" si="4"/>
        <v>—</v>
      </c>
      <c r="E73" s="25">
        <f t="shared" ca="1" si="5"/>
        <v>7</v>
      </c>
    </row>
    <row r="74" spans="1:5" x14ac:dyDescent="0.25">
      <c r="A74" s="8">
        <f t="shared" si="3"/>
        <v>73</v>
      </c>
      <c r="B74" t="str">
        <f ca="1">TEXT(DATE(YEAR(Invoer!$A$5),1,1)+INT((ROWS(B$2:B74)-1)/3),"jjjjmmdd")</f>
        <v>19450125</v>
      </c>
      <c r="C74" s="20" t="str">
        <f>INDEX(Data,2,2+MOD(ROWS(C$2:C74)-1,3))</f>
        <v>08.00</v>
      </c>
      <c r="D74" s="14" t="str">
        <f t="shared" ca="1" si="4"/>
        <v>—</v>
      </c>
      <c r="E74" s="25">
        <f t="shared" ca="1" si="5"/>
        <v>7</v>
      </c>
    </row>
    <row r="75" spans="1:5" x14ac:dyDescent="0.25">
      <c r="A75" s="8">
        <f t="shared" si="3"/>
        <v>73</v>
      </c>
      <c r="B75" t="str">
        <f ca="1">TEXT(DATE(YEAR(Invoer!$A$5),1,1)+INT((ROWS(B$2:B75)-1)/3),"jjjjmmdd")</f>
        <v>19450125</v>
      </c>
      <c r="C75" s="20" t="str">
        <f>INDEX(Data,2,2+MOD(ROWS(C$2:C75)-1,3))</f>
        <v>12.00</v>
      </c>
      <c r="D75" s="14" t="str">
        <f t="shared" ca="1" si="4"/>
        <v>—</v>
      </c>
      <c r="E75" s="25">
        <f t="shared" ca="1" si="5"/>
        <v>7</v>
      </c>
    </row>
    <row r="76" spans="1:5" x14ac:dyDescent="0.25">
      <c r="A76" s="8">
        <f t="shared" si="3"/>
        <v>73</v>
      </c>
      <c r="B76" t="str">
        <f ca="1">TEXT(DATE(YEAR(Invoer!$A$5),1,1)+INT((ROWS(B$2:B76)-1)/3),"jjjjmmdd")</f>
        <v>19450125</v>
      </c>
      <c r="C76" s="20" t="str">
        <f>INDEX(Data,2,2+MOD(ROWS(C$2:C76)-1,3))</f>
        <v>16.00</v>
      </c>
      <c r="D76" s="14" t="str">
        <f t="shared" ca="1" si="4"/>
        <v>—</v>
      </c>
      <c r="E76" s="25">
        <f t="shared" ca="1" si="5"/>
        <v>7</v>
      </c>
    </row>
    <row r="77" spans="1:5" x14ac:dyDescent="0.25">
      <c r="A77" s="8">
        <f t="shared" si="3"/>
        <v>73</v>
      </c>
      <c r="B77" t="str">
        <f ca="1">TEXT(DATE(YEAR(Invoer!$A$5),1,1)+INT((ROWS(B$2:B77)-1)/3),"jjjjmmdd")</f>
        <v>19450126</v>
      </c>
      <c r="C77" s="20" t="str">
        <f>INDEX(Data,2,2+MOD(ROWS(C$2:C77)-1,3))</f>
        <v>08.00</v>
      </c>
      <c r="D77" s="14" t="str">
        <f t="shared" ca="1" si="4"/>
        <v>—</v>
      </c>
      <c r="E77" s="25">
        <f t="shared" ca="1" si="5"/>
        <v>7</v>
      </c>
    </row>
    <row r="78" spans="1:5" x14ac:dyDescent="0.25">
      <c r="A78" s="8">
        <f t="shared" si="3"/>
        <v>73</v>
      </c>
      <c r="B78" t="str">
        <f ca="1">TEXT(DATE(YEAR(Invoer!$A$5),1,1)+INT((ROWS(B$2:B78)-1)/3),"jjjjmmdd")</f>
        <v>19450126</v>
      </c>
      <c r="C78" s="20" t="str">
        <f>INDEX(Data,2,2+MOD(ROWS(C$2:C78)-1,3))</f>
        <v>12.00</v>
      </c>
      <c r="D78" s="14" t="str">
        <f t="shared" ca="1" si="4"/>
        <v>—</v>
      </c>
      <c r="E78" s="25">
        <f t="shared" ca="1" si="5"/>
        <v>7</v>
      </c>
    </row>
    <row r="79" spans="1:5" x14ac:dyDescent="0.25">
      <c r="A79" s="8">
        <f t="shared" si="3"/>
        <v>73</v>
      </c>
      <c r="B79" t="str">
        <f ca="1">TEXT(DATE(YEAR(Invoer!$A$5),1,1)+INT((ROWS(B$2:B79)-1)/3),"jjjjmmdd")</f>
        <v>19450126</v>
      </c>
      <c r="C79" s="20" t="str">
        <f>INDEX(Data,2,2+MOD(ROWS(C$2:C79)-1,3))</f>
        <v>16.00</v>
      </c>
      <c r="D79" s="14" t="str">
        <f t="shared" ca="1" si="4"/>
        <v>—</v>
      </c>
      <c r="E79" s="25">
        <f t="shared" ca="1" si="5"/>
        <v>7</v>
      </c>
    </row>
    <row r="80" spans="1:5" x14ac:dyDescent="0.25">
      <c r="A80" s="8">
        <f t="shared" si="3"/>
        <v>73</v>
      </c>
      <c r="B80" t="str">
        <f ca="1">TEXT(DATE(YEAR(Invoer!$A$5),1,1)+INT((ROWS(B$2:B80)-1)/3),"jjjjmmdd")</f>
        <v>19450127</v>
      </c>
      <c r="C80" s="20" t="str">
        <f>INDEX(Data,2,2+MOD(ROWS(C$2:C80)-1,3))</f>
        <v>08.00</v>
      </c>
      <c r="D80" s="14" t="str">
        <f t="shared" ca="1" si="4"/>
        <v>—</v>
      </c>
      <c r="E80" s="25">
        <f t="shared" ca="1" si="5"/>
        <v>7</v>
      </c>
    </row>
    <row r="81" spans="1:5" x14ac:dyDescent="0.25">
      <c r="A81" s="8">
        <f t="shared" si="3"/>
        <v>73</v>
      </c>
      <c r="B81" t="str">
        <f ca="1">TEXT(DATE(YEAR(Invoer!$A$5),1,1)+INT((ROWS(B$2:B81)-1)/3),"jjjjmmdd")</f>
        <v>19450127</v>
      </c>
      <c r="C81" s="20" t="str">
        <f>INDEX(Data,2,2+MOD(ROWS(C$2:C81)-1,3))</f>
        <v>12.00</v>
      </c>
      <c r="D81" s="14" t="str">
        <f t="shared" ca="1" si="4"/>
        <v>—</v>
      </c>
      <c r="E81" s="25">
        <f t="shared" ca="1" si="5"/>
        <v>7</v>
      </c>
    </row>
    <row r="82" spans="1:5" x14ac:dyDescent="0.25">
      <c r="A82" s="8">
        <f t="shared" si="3"/>
        <v>73</v>
      </c>
      <c r="B82" t="str">
        <f ca="1">TEXT(DATE(YEAR(Invoer!$A$5),1,1)+INT((ROWS(B$2:B82)-1)/3),"jjjjmmdd")</f>
        <v>19450127</v>
      </c>
      <c r="C82" s="20" t="str">
        <f>INDEX(Data,2,2+MOD(ROWS(C$2:C82)-1,3))</f>
        <v>16.00</v>
      </c>
      <c r="D82" s="14" t="str">
        <f t="shared" ca="1" si="4"/>
        <v>—</v>
      </c>
      <c r="E82" s="25">
        <f t="shared" ca="1" si="5"/>
        <v>7</v>
      </c>
    </row>
    <row r="83" spans="1:5" x14ac:dyDescent="0.25">
      <c r="A83" s="8">
        <f t="shared" si="3"/>
        <v>73</v>
      </c>
      <c r="B83" t="str">
        <f ca="1">TEXT(DATE(YEAR(Invoer!$A$5),1,1)+INT((ROWS(B$2:B83)-1)/3),"jjjjmmdd")</f>
        <v>19450128</v>
      </c>
      <c r="C83" s="20" t="str">
        <f>INDEX(Data,2,2+MOD(ROWS(C$2:C83)-1,3))</f>
        <v>08.00</v>
      </c>
      <c r="D83" s="14" t="str">
        <f t="shared" ca="1" si="4"/>
        <v>—</v>
      </c>
      <c r="E83" s="25">
        <f t="shared" ca="1" si="5"/>
        <v>7</v>
      </c>
    </row>
    <row r="84" spans="1:5" x14ac:dyDescent="0.25">
      <c r="A84" s="8">
        <f t="shared" si="3"/>
        <v>73</v>
      </c>
      <c r="B84" t="str">
        <f ca="1">TEXT(DATE(YEAR(Invoer!$A$5),1,1)+INT((ROWS(B$2:B84)-1)/3),"jjjjmmdd")</f>
        <v>19450128</v>
      </c>
      <c r="C84" s="20" t="str">
        <f>INDEX(Data,2,2+MOD(ROWS(C$2:C84)-1,3))</f>
        <v>12.00</v>
      </c>
      <c r="D84" s="14" t="str">
        <f t="shared" ca="1" si="4"/>
        <v>—</v>
      </c>
      <c r="E84" s="25">
        <f t="shared" ca="1" si="5"/>
        <v>7</v>
      </c>
    </row>
    <row r="85" spans="1:5" x14ac:dyDescent="0.25">
      <c r="A85" s="8">
        <f t="shared" si="3"/>
        <v>73</v>
      </c>
      <c r="B85" t="str">
        <f ca="1">TEXT(DATE(YEAR(Invoer!$A$5),1,1)+INT((ROWS(B$2:B85)-1)/3),"jjjjmmdd")</f>
        <v>19450128</v>
      </c>
      <c r="C85" s="20" t="str">
        <f>INDEX(Data,2,2+MOD(ROWS(C$2:C85)-1,3))</f>
        <v>16.00</v>
      </c>
      <c r="D85" s="14" t="str">
        <f t="shared" ca="1" si="4"/>
        <v>—</v>
      </c>
      <c r="E85" s="25">
        <f t="shared" ca="1" si="5"/>
        <v>7</v>
      </c>
    </row>
    <row r="86" spans="1:5" x14ac:dyDescent="0.25">
      <c r="A86" s="8">
        <f t="shared" si="3"/>
        <v>73</v>
      </c>
      <c r="B86" t="str">
        <f ca="1">TEXT(DATE(YEAR(Invoer!$A$5),1,1)+INT((ROWS(B$2:B86)-1)/3),"jjjjmmdd")</f>
        <v>19450129</v>
      </c>
      <c r="C86" s="20" t="str">
        <f>INDEX(Data,2,2+MOD(ROWS(C$2:C86)-1,3))</f>
        <v>08.00</v>
      </c>
      <c r="D86" s="14" t="str">
        <f t="shared" ca="1" si="4"/>
        <v>—</v>
      </c>
      <c r="E86" s="25">
        <f t="shared" ca="1" si="5"/>
        <v>7</v>
      </c>
    </row>
    <row r="87" spans="1:5" x14ac:dyDescent="0.25">
      <c r="A87" s="8">
        <f t="shared" si="3"/>
        <v>73</v>
      </c>
      <c r="B87" t="str">
        <f ca="1">TEXT(DATE(YEAR(Invoer!$A$5),1,1)+INT((ROWS(B$2:B87)-1)/3),"jjjjmmdd")</f>
        <v>19450129</v>
      </c>
      <c r="C87" s="20" t="str">
        <f>INDEX(Data,2,2+MOD(ROWS(C$2:C87)-1,3))</f>
        <v>12.00</v>
      </c>
      <c r="D87" s="14" t="str">
        <f t="shared" ca="1" si="4"/>
        <v>—</v>
      </c>
      <c r="E87" s="25">
        <f t="shared" ca="1" si="5"/>
        <v>7</v>
      </c>
    </row>
    <row r="88" spans="1:5" x14ac:dyDescent="0.25">
      <c r="A88" s="8">
        <f t="shared" si="3"/>
        <v>73</v>
      </c>
      <c r="B88" t="str">
        <f ca="1">TEXT(DATE(YEAR(Invoer!$A$5),1,1)+INT((ROWS(B$2:B88)-1)/3),"jjjjmmdd")</f>
        <v>19450129</v>
      </c>
      <c r="C88" s="20" t="str">
        <f>INDEX(Data,2,2+MOD(ROWS(C$2:C88)-1,3))</f>
        <v>16.00</v>
      </c>
      <c r="D88" s="14" t="str">
        <f t="shared" ca="1" si="4"/>
        <v>—</v>
      </c>
      <c r="E88" s="25">
        <f t="shared" ca="1" si="5"/>
        <v>7</v>
      </c>
    </row>
    <row r="89" spans="1:5" x14ac:dyDescent="0.25">
      <c r="A89" s="8">
        <f t="shared" si="3"/>
        <v>73</v>
      </c>
      <c r="B89" t="str">
        <f ca="1">TEXT(DATE(YEAR(Invoer!$A$5),1,1)+INT((ROWS(B$2:B89)-1)/3),"jjjjmmdd")</f>
        <v>19450130</v>
      </c>
      <c r="C89" s="20" t="str">
        <f>INDEX(Data,2,2+MOD(ROWS(C$2:C89)-1,3))</f>
        <v>08.00</v>
      </c>
      <c r="D89" s="14" t="str">
        <f t="shared" ca="1" si="4"/>
        <v>—</v>
      </c>
      <c r="E89" s="25">
        <f t="shared" ca="1" si="5"/>
        <v>7</v>
      </c>
    </row>
    <row r="90" spans="1:5" x14ac:dyDescent="0.25">
      <c r="A90" s="8">
        <f t="shared" si="3"/>
        <v>73</v>
      </c>
      <c r="B90" t="str">
        <f ca="1">TEXT(DATE(YEAR(Invoer!$A$5),1,1)+INT((ROWS(B$2:B90)-1)/3),"jjjjmmdd")</f>
        <v>19450130</v>
      </c>
      <c r="C90" s="20" t="str">
        <f>INDEX(Data,2,2+MOD(ROWS(C$2:C90)-1,3))</f>
        <v>12.00</v>
      </c>
      <c r="D90" s="14" t="str">
        <f t="shared" ca="1" si="4"/>
        <v>—</v>
      </c>
      <c r="E90" s="25">
        <f t="shared" ca="1" si="5"/>
        <v>7</v>
      </c>
    </row>
    <row r="91" spans="1:5" x14ac:dyDescent="0.25">
      <c r="A91" s="8">
        <f t="shared" si="3"/>
        <v>73</v>
      </c>
      <c r="B91" t="str">
        <f ca="1">TEXT(DATE(YEAR(Invoer!$A$5),1,1)+INT((ROWS(B$2:B91)-1)/3),"jjjjmmdd")</f>
        <v>19450130</v>
      </c>
      <c r="C91" s="20" t="str">
        <f>INDEX(Data,2,2+MOD(ROWS(C$2:C91)-1,3))</f>
        <v>16.00</v>
      </c>
      <c r="D91" s="14" t="str">
        <f t="shared" ca="1" si="4"/>
        <v>—</v>
      </c>
      <c r="E91" s="25">
        <f t="shared" ca="1" si="5"/>
        <v>7</v>
      </c>
    </row>
    <row r="92" spans="1:5" x14ac:dyDescent="0.25">
      <c r="A92" s="8">
        <f t="shared" si="3"/>
        <v>73</v>
      </c>
      <c r="B92" t="str">
        <f ca="1">TEXT(DATE(YEAR(Invoer!$A$5),1,1)+INT((ROWS(B$2:B92)-1)/3),"jjjjmmdd")</f>
        <v>19450131</v>
      </c>
      <c r="C92" s="20" t="str">
        <f>INDEX(Data,2,2+MOD(ROWS(C$2:C92)-1,3))</f>
        <v>08.00</v>
      </c>
      <c r="D92" s="14" t="str">
        <f t="shared" ca="1" si="4"/>
        <v>—</v>
      </c>
      <c r="E92" s="25">
        <f t="shared" ca="1" si="5"/>
        <v>7</v>
      </c>
    </row>
    <row r="93" spans="1:5" x14ac:dyDescent="0.25">
      <c r="A93" s="8">
        <f t="shared" si="3"/>
        <v>73</v>
      </c>
      <c r="B93" t="str">
        <f ca="1">TEXT(DATE(YEAR(Invoer!$A$5),1,1)+INT((ROWS(B$2:B93)-1)/3),"jjjjmmdd")</f>
        <v>19450131</v>
      </c>
      <c r="C93" s="20" t="str">
        <f>INDEX(Data,2,2+MOD(ROWS(C$2:C93)-1,3))</f>
        <v>12.00</v>
      </c>
      <c r="D93" s="14" t="str">
        <f t="shared" ca="1" si="4"/>
        <v>—</v>
      </c>
      <c r="E93" s="25">
        <f t="shared" ca="1" si="5"/>
        <v>7</v>
      </c>
    </row>
    <row r="94" spans="1:5" x14ac:dyDescent="0.25">
      <c r="A94" s="8">
        <f t="shared" si="3"/>
        <v>73</v>
      </c>
      <c r="B94" t="str">
        <f ca="1">TEXT(DATE(YEAR(Invoer!$A$5),1,1)+INT((ROWS(B$2:B94)-1)/3),"jjjjmmdd")</f>
        <v>19450131</v>
      </c>
      <c r="C94" s="20" t="str">
        <f>INDEX(Data,2,2+MOD(ROWS(C$2:C94)-1,3))</f>
        <v>16.00</v>
      </c>
      <c r="D94" s="14" t="str">
        <f t="shared" ca="1" si="4"/>
        <v>—</v>
      </c>
      <c r="E94" s="25">
        <f t="shared" ca="1" si="5"/>
        <v>7</v>
      </c>
    </row>
    <row r="95" spans="1:5" x14ac:dyDescent="0.25">
      <c r="A95" s="8">
        <f t="shared" si="3"/>
        <v>73</v>
      </c>
      <c r="B95" t="str">
        <f ca="1">TEXT(DATE(YEAR(Invoer!$A$5),1,1)+INT((ROWS(B$2:B95)-1)/3),"jjjjmmdd")</f>
        <v>19450201</v>
      </c>
      <c r="C95" s="20" t="str">
        <f>INDEX(Data,2,2+MOD(ROWS(C$2:C95)-1,3))</f>
        <v>08.00</v>
      </c>
      <c r="D95" s="14" t="str">
        <f t="shared" ca="1" si="4"/>
        <v>—</v>
      </c>
      <c r="E95" s="25">
        <f t="shared" ca="1" si="5"/>
        <v>7</v>
      </c>
    </row>
    <row r="96" spans="1:5" x14ac:dyDescent="0.25">
      <c r="A96" s="8">
        <f t="shared" si="3"/>
        <v>73</v>
      </c>
      <c r="B96" t="str">
        <f ca="1">TEXT(DATE(YEAR(Invoer!$A$5),1,1)+INT((ROWS(B$2:B96)-1)/3),"jjjjmmdd")</f>
        <v>19450201</v>
      </c>
      <c r="C96" s="20" t="str">
        <f>INDEX(Data,2,2+MOD(ROWS(C$2:C96)-1,3))</f>
        <v>12.00</v>
      </c>
      <c r="D96" s="14" t="str">
        <f t="shared" ca="1" si="4"/>
        <v>—</v>
      </c>
      <c r="E96" s="25">
        <f t="shared" ca="1" si="5"/>
        <v>7</v>
      </c>
    </row>
    <row r="97" spans="1:5" x14ac:dyDescent="0.25">
      <c r="A97" s="8">
        <f t="shared" si="3"/>
        <v>73</v>
      </c>
      <c r="B97" t="str">
        <f ca="1">TEXT(DATE(YEAR(Invoer!$A$5),1,1)+INT((ROWS(B$2:B97)-1)/3),"jjjjmmdd")</f>
        <v>19450201</v>
      </c>
      <c r="C97" s="20" t="str">
        <f>INDEX(Data,2,2+MOD(ROWS(C$2:C97)-1,3))</f>
        <v>16.00</v>
      </c>
      <c r="D97" s="14" t="str">
        <f t="shared" ca="1" si="4"/>
        <v>—</v>
      </c>
      <c r="E97" s="25">
        <f t="shared" ca="1" si="5"/>
        <v>7</v>
      </c>
    </row>
    <row r="98" spans="1:5" x14ac:dyDescent="0.25">
      <c r="A98" s="8">
        <f t="shared" si="3"/>
        <v>73</v>
      </c>
      <c r="B98" t="str">
        <f ca="1">TEXT(DATE(YEAR(Invoer!$A$5),1,1)+INT((ROWS(B$2:B98)-1)/3),"jjjjmmdd")</f>
        <v>19450202</v>
      </c>
      <c r="C98" s="20" t="str">
        <f>INDEX(Data,2,2+MOD(ROWS(C$2:C98)-1,3))</f>
        <v>08.00</v>
      </c>
      <c r="D98" s="14" t="str">
        <f t="shared" ca="1" si="4"/>
        <v>—</v>
      </c>
      <c r="E98" s="25">
        <f t="shared" ca="1" si="5"/>
        <v>7</v>
      </c>
    </row>
    <row r="99" spans="1:5" x14ac:dyDescent="0.25">
      <c r="A99" s="8">
        <f t="shared" si="3"/>
        <v>73</v>
      </c>
      <c r="B99" t="str">
        <f ca="1">TEXT(DATE(YEAR(Invoer!$A$5),1,1)+INT((ROWS(B$2:B99)-1)/3),"jjjjmmdd")</f>
        <v>19450202</v>
      </c>
      <c r="C99" s="20" t="str">
        <f>INDEX(Data,2,2+MOD(ROWS(C$2:C99)-1,3))</f>
        <v>12.00</v>
      </c>
      <c r="D99" s="14" t="str">
        <f t="shared" ca="1" si="4"/>
        <v>—</v>
      </c>
      <c r="E99" s="25">
        <f t="shared" ca="1" si="5"/>
        <v>7</v>
      </c>
    </row>
    <row r="100" spans="1:5" x14ac:dyDescent="0.25">
      <c r="A100" s="8">
        <f t="shared" si="3"/>
        <v>73</v>
      </c>
      <c r="B100" t="str">
        <f ca="1">TEXT(DATE(YEAR(Invoer!$A$5),1,1)+INT((ROWS(B$2:B100)-1)/3),"jjjjmmdd")</f>
        <v>19450202</v>
      </c>
      <c r="C100" s="20" t="str">
        <f>INDEX(Data,2,2+MOD(ROWS(C$2:C100)-1,3))</f>
        <v>16.00</v>
      </c>
      <c r="D100" s="14" t="str">
        <f t="shared" ca="1" si="4"/>
        <v>—</v>
      </c>
      <c r="E100" s="25">
        <f t="shared" ca="1" si="5"/>
        <v>7</v>
      </c>
    </row>
    <row r="101" spans="1:5" x14ac:dyDescent="0.25">
      <c r="A101" s="8">
        <f t="shared" si="3"/>
        <v>73</v>
      </c>
      <c r="B101" t="str">
        <f ca="1">TEXT(DATE(YEAR(Invoer!$A$5),1,1)+INT((ROWS(B$2:B101)-1)/3),"jjjjmmdd")</f>
        <v>19450203</v>
      </c>
      <c r="C101" s="20" t="str">
        <f>INDEX(Data,2,2+MOD(ROWS(C$2:C101)-1,3))</f>
        <v>08.00</v>
      </c>
      <c r="D101" s="14" t="str">
        <f t="shared" ca="1" si="4"/>
        <v>—</v>
      </c>
      <c r="E101" s="25">
        <f t="shared" ca="1" si="5"/>
        <v>7</v>
      </c>
    </row>
    <row r="102" spans="1:5" x14ac:dyDescent="0.25">
      <c r="A102" s="8">
        <f t="shared" si="3"/>
        <v>73</v>
      </c>
      <c r="B102" t="str">
        <f ca="1">TEXT(DATE(YEAR(Invoer!$A$5),1,1)+INT((ROWS(B$2:B102)-1)/3),"jjjjmmdd")</f>
        <v>19450203</v>
      </c>
      <c r="C102" s="20" t="str">
        <f>INDEX(Data,2,2+MOD(ROWS(C$2:C102)-1,3))</f>
        <v>12.00</v>
      </c>
      <c r="D102" s="14" t="str">
        <f t="shared" ca="1" si="4"/>
        <v>—</v>
      </c>
      <c r="E102" s="25">
        <f t="shared" ca="1" si="5"/>
        <v>7</v>
      </c>
    </row>
    <row r="103" spans="1:5" x14ac:dyDescent="0.25">
      <c r="A103" s="8">
        <f t="shared" si="3"/>
        <v>73</v>
      </c>
      <c r="B103" t="str">
        <f ca="1">TEXT(DATE(YEAR(Invoer!$A$5),1,1)+INT((ROWS(B$2:B103)-1)/3),"jjjjmmdd")</f>
        <v>19450203</v>
      </c>
      <c r="C103" s="20" t="str">
        <f>INDEX(Data,2,2+MOD(ROWS(C$2:C103)-1,3))</f>
        <v>16.00</v>
      </c>
      <c r="D103" s="14" t="str">
        <f t="shared" ca="1" si="4"/>
        <v>—</v>
      </c>
      <c r="E103" s="25">
        <f t="shared" ca="1" si="5"/>
        <v>7</v>
      </c>
    </row>
    <row r="104" spans="1:5" x14ac:dyDescent="0.25">
      <c r="A104" s="8">
        <f t="shared" si="3"/>
        <v>73</v>
      </c>
      <c r="B104" t="str">
        <f ca="1">TEXT(DATE(YEAR(Invoer!$A$5),1,1)+INT((ROWS(B$2:B104)-1)/3),"jjjjmmdd")</f>
        <v>19450204</v>
      </c>
      <c r="C104" s="20" t="str">
        <f>INDEX(Data,2,2+MOD(ROWS(C$2:C104)-1,3))</f>
        <v>08.00</v>
      </c>
      <c r="D104" s="14" t="str">
        <f t="shared" ca="1" si="4"/>
        <v>—</v>
      </c>
      <c r="E104" s="25">
        <f t="shared" ca="1" si="5"/>
        <v>7</v>
      </c>
    </row>
    <row r="105" spans="1:5" x14ac:dyDescent="0.25">
      <c r="A105" s="8">
        <f t="shared" si="3"/>
        <v>73</v>
      </c>
      <c r="B105" t="str">
        <f ca="1">TEXT(DATE(YEAR(Invoer!$A$5),1,1)+INT((ROWS(B$2:B105)-1)/3),"jjjjmmdd")</f>
        <v>19450204</v>
      </c>
      <c r="C105" s="20" t="str">
        <f>INDEX(Data,2,2+MOD(ROWS(C$2:C105)-1,3))</f>
        <v>12.00</v>
      </c>
      <c r="D105" s="14" t="str">
        <f t="shared" ca="1" si="4"/>
        <v>—</v>
      </c>
      <c r="E105" s="25">
        <f t="shared" ca="1" si="5"/>
        <v>7</v>
      </c>
    </row>
    <row r="106" spans="1:5" x14ac:dyDescent="0.25">
      <c r="A106" s="8">
        <f t="shared" si="3"/>
        <v>73</v>
      </c>
      <c r="B106" t="str">
        <f ca="1">TEXT(DATE(YEAR(Invoer!$A$5),1,1)+INT((ROWS(B$2:B106)-1)/3),"jjjjmmdd")</f>
        <v>19450204</v>
      </c>
      <c r="C106" s="20" t="str">
        <f>INDEX(Data,2,2+MOD(ROWS(C$2:C106)-1,3))</f>
        <v>16.00</v>
      </c>
      <c r="D106" s="14" t="str">
        <f t="shared" ca="1" si="4"/>
        <v>—</v>
      </c>
      <c r="E106" s="25">
        <f t="shared" ca="1" si="5"/>
        <v>7</v>
      </c>
    </row>
    <row r="107" spans="1:5" x14ac:dyDescent="0.25">
      <c r="A107" s="8">
        <f t="shared" si="3"/>
        <v>73</v>
      </c>
      <c r="B107" t="str">
        <f ca="1">TEXT(DATE(YEAR(Invoer!$A$5),1,1)+INT((ROWS(B$2:B107)-1)/3),"jjjjmmdd")</f>
        <v>19450205</v>
      </c>
      <c r="C107" s="20" t="str">
        <f>INDEX(Data,2,2+MOD(ROWS(C$2:C107)-1,3))</f>
        <v>08.00</v>
      </c>
      <c r="D107" s="14" t="str">
        <f t="shared" ca="1" si="4"/>
        <v>—</v>
      </c>
      <c r="E107" s="25">
        <f t="shared" ca="1" si="5"/>
        <v>7</v>
      </c>
    </row>
    <row r="108" spans="1:5" x14ac:dyDescent="0.25">
      <c r="A108" s="8">
        <f t="shared" si="3"/>
        <v>73</v>
      </c>
      <c r="B108" t="str">
        <f ca="1">TEXT(DATE(YEAR(Invoer!$A$5),1,1)+INT((ROWS(B$2:B108)-1)/3),"jjjjmmdd")</f>
        <v>19450205</v>
      </c>
      <c r="C108" s="20" t="str">
        <f>INDEX(Data,2,2+MOD(ROWS(C$2:C108)-1,3))</f>
        <v>12.00</v>
      </c>
      <c r="D108" s="14" t="str">
        <f t="shared" ca="1" si="4"/>
        <v>—</v>
      </c>
      <c r="E108" s="25">
        <f t="shared" ca="1" si="5"/>
        <v>7</v>
      </c>
    </row>
    <row r="109" spans="1:5" x14ac:dyDescent="0.25">
      <c r="A109" s="8">
        <f t="shared" si="3"/>
        <v>73</v>
      </c>
      <c r="B109" t="str">
        <f ca="1">TEXT(DATE(YEAR(Invoer!$A$5),1,1)+INT((ROWS(B$2:B109)-1)/3),"jjjjmmdd")</f>
        <v>19450205</v>
      </c>
      <c r="C109" s="20" t="str">
        <f>INDEX(Data,2,2+MOD(ROWS(C$2:C109)-1,3))</f>
        <v>16.00</v>
      </c>
      <c r="D109" s="14" t="str">
        <f t="shared" ca="1" si="4"/>
        <v>—</v>
      </c>
      <c r="E109" s="25">
        <f t="shared" ca="1" si="5"/>
        <v>7</v>
      </c>
    </row>
    <row r="110" spans="1:5" x14ac:dyDescent="0.25">
      <c r="A110" s="8">
        <f t="shared" si="3"/>
        <v>73</v>
      </c>
      <c r="B110" t="str">
        <f ca="1">TEXT(DATE(YEAR(Invoer!$A$5),1,1)+INT((ROWS(B$2:B110)-1)/3),"jjjjmmdd")</f>
        <v>19450206</v>
      </c>
      <c r="C110" s="20" t="str">
        <f>INDEX(Data,2,2+MOD(ROWS(C$2:C110)-1,3))</f>
        <v>08.00</v>
      </c>
      <c r="D110" s="14" t="str">
        <f t="shared" ca="1" si="4"/>
        <v>—</v>
      </c>
      <c r="E110" s="25">
        <f t="shared" ca="1" si="5"/>
        <v>7</v>
      </c>
    </row>
    <row r="111" spans="1:5" x14ac:dyDescent="0.25">
      <c r="A111" s="8">
        <f t="shared" si="3"/>
        <v>73</v>
      </c>
      <c r="B111" t="str">
        <f ca="1">TEXT(DATE(YEAR(Invoer!$A$5),1,1)+INT((ROWS(B$2:B111)-1)/3),"jjjjmmdd")</f>
        <v>19450206</v>
      </c>
      <c r="C111" s="20" t="str">
        <f>INDEX(Data,2,2+MOD(ROWS(C$2:C111)-1,3))</f>
        <v>12.00</v>
      </c>
      <c r="D111" s="14" t="str">
        <f t="shared" ca="1" si="4"/>
        <v>—</v>
      </c>
      <c r="E111" s="25">
        <f t="shared" ca="1" si="5"/>
        <v>7</v>
      </c>
    </row>
    <row r="112" spans="1:5" x14ac:dyDescent="0.25">
      <c r="A112" s="8">
        <f t="shared" si="3"/>
        <v>73</v>
      </c>
      <c r="B112" t="str">
        <f ca="1">TEXT(DATE(YEAR(Invoer!$A$5),1,1)+INT((ROWS(B$2:B112)-1)/3),"jjjjmmdd")</f>
        <v>19450206</v>
      </c>
      <c r="C112" s="20" t="str">
        <f>INDEX(Data,2,2+MOD(ROWS(C$2:C112)-1,3))</f>
        <v>16.00</v>
      </c>
      <c r="D112" s="14" t="str">
        <f t="shared" ca="1" si="4"/>
        <v>—</v>
      </c>
      <c r="E112" s="25">
        <f t="shared" ca="1" si="5"/>
        <v>7</v>
      </c>
    </row>
    <row r="113" spans="1:5" x14ac:dyDescent="0.25">
      <c r="A113" s="8">
        <f t="shared" si="3"/>
        <v>73</v>
      </c>
      <c r="B113" t="str">
        <f ca="1">TEXT(DATE(YEAR(Invoer!$A$5),1,1)+INT((ROWS(B$2:B113)-1)/3),"jjjjmmdd")</f>
        <v>19450207</v>
      </c>
      <c r="C113" s="20" t="str">
        <f>INDEX(Data,2,2+MOD(ROWS(C$2:C113)-1,3))</f>
        <v>08.00</v>
      </c>
      <c r="D113" s="14" t="str">
        <f t="shared" ca="1" si="4"/>
        <v>—</v>
      </c>
      <c r="E113" s="25">
        <f t="shared" ca="1" si="5"/>
        <v>7</v>
      </c>
    </row>
    <row r="114" spans="1:5" x14ac:dyDescent="0.25">
      <c r="A114" s="8">
        <f t="shared" si="3"/>
        <v>73</v>
      </c>
      <c r="B114" t="str">
        <f ca="1">TEXT(DATE(YEAR(Invoer!$A$5),1,1)+INT((ROWS(B$2:B114)-1)/3),"jjjjmmdd")</f>
        <v>19450207</v>
      </c>
      <c r="C114" s="20" t="str">
        <f>INDEX(Data,2,2+MOD(ROWS(C$2:C114)-1,3))</f>
        <v>12.00</v>
      </c>
      <c r="D114" s="14" t="str">
        <f t="shared" ca="1" si="4"/>
        <v>—</v>
      </c>
      <c r="E114" s="25">
        <f t="shared" ca="1" si="5"/>
        <v>7</v>
      </c>
    </row>
    <row r="115" spans="1:5" x14ac:dyDescent="0.25">
      <c r="A115" s="8">
        <f t="shared" si="3"/>
        <v>73</v>
      </c>
      <c r="B115" t="str">
        <f ca="1">TEXT(DATE(YEAR(Invoer!$A$5),1,1)+INT((ROWS(B$2:B115)-1)/3),"jjjjmmdd")</f>
        <v>19450207</v>
      </c>
      <c r="C115" s="20" t="str">
        <f>INDEX(Data,2,2+MOD(ROWS(C$2:C115)-1,3))</f>
        <v>16.00</v>
      </c>
      <c r="D115" s="14" t="str">
        <f t="shared" ca="1" si="4"/>
        <v>—</v>
      </c>
      <c r="E115" s="25">
        <f t="shared" ca="1" si="5"/>
        <v>7</v>
      </c>
    </row>
    <row r="116" spans="1:5" x14ac:dyDescent="0.25">
      <c r="A116" s="8">
        <f t="shared" si="3"/>
        <v>73</v>
      </c>
      <c r="B116" t="str">
        <f ca="1">TEXT(DATE(YEAR(Invoer!$A$5),1,1)+INT((ROWS(B$2:B116)-1)/3),"jjjjmmdd")</f>
        <v>19450208</v>
      </c>
      <c r="C116" s="20" t="str">
        <f>INDEX(Data,2,2+MOD(ROWS(C$2:C116)-1,3))</f>
        <v>08.00</v>
      </c>
      <c r="D116" s="14" t="str">
        <f t="shared" ca="1" si="4"/>
        <v>—</v>
      </c>
      <c r="E116" s="25">
        <f t="shared" ca="1" si="5"/>
        <v>7</v>
      </c>
    </row>
    <row r="117" spans="1:5" x14ac:dyDescent="0.25">
      <c r="A117" s="8">
        <f t="shared" si="3"/>
        <v>73</v>
      </c>
      <c r="B117" t="str">
        <f ca="1">TEXT(DATE(YEAR(Invoer!$A$5),1,1)+INT((ROWS(B$2:B117)-1)/3),"jjjjmmdd")</f>
        <v>19450208</v>
      </c>
      <c r="C117" s="20" t="str">
        <f>INDEX(Data,2,2+MOD(ROWS(C$2:C117)-1,3))</f>
        <v>12.00</v>
      </c>
      <c r="D117" s="14" t="str">
        <f t="shared" ca="1" si="4"/>
        <v>—</v>
      </c>
      <c r="E117" s="25">
        <f t="shared" ca="1" si="5"/>
        <v>7</v>
      </c>
    </row>
    <row r="118" spans="1:5" x14ac:dyDescent="0.25">
      <c r="A118" s="8">
        <f t="shared" si="3"/>
        <v>73</v>
      </c>
      <c r="B118" t="str">
        <f ca="1">TEXT(DATE(YEAR(Invoer!$A$5),1,1)+INT((ROWS(B$2:B118)-1)/3),"jjjjmmdd")</f>
        <v>19450208</v>
      </c>
      <c r="C118" s="20" t="str">
        <f>INDEX(Data,2,2+MOD(ROWS(C$2:C118)-1,3))</f>
        <v>16.00</v>
      </c>
      <c r="D118" s="14" t="str">
        <f t="shared" ca="1" si="4"/>
        <v>—</v>
      </c>
      <c r="E118" s="25">
        <f t="shared" ca="1" si="5"/>
        <v>7</v>
      </c>
    </row>
    <row r="119" spans="1:5" x14ac:dyDescent="0.25">
      <c r="A119" s="8">
        <f t="shared" si="3"/>
        <v>73</v>
      </c>
      <c r="B119" t="str">
        <f ca="1">TEXT(DATE(YEAR(Invoer!$A$5),1,1)+INT((ROWS(B$2:B119)-1)/3),"jjjjmmdd")</f>
        <v>19450209</v>
      </c>
      <c r="C119" s="20" t="str">
        <f>INDEX(Data,2,2+MOD(ROWS(C$2:C119)-1,3))</f>
        <v>08.00</v>
      </c>
      <c r="D119" s="14" t="str">
        <f t="shared" ca="1" si="4"/>
        <v>—</v>
      </c>
      <c r="E119" s="25">
        <f t="shared" ca="1" si="5"/>
        <v>7</v>
      </c>
    </row>
    <row r="120" spans="1:5" x14ac:dyDescent="0.25">
      <c r="A120" s="8">
        <f t="shared" si="3"/>
        <v>73</v>
      </c>
      <c r="B120" t="str">
        <f ca="1">TEXT(DATE(YEAR(Invoer!$A$5),1,1)+INT((ROWS(B$2:B120)-1)/3),"jjjjmmdd")</f>
        <v>19450209</v>
      </c>
      <c r="C120" s="20" t="str">
        <f>INDEX(Data,2,2+MOD(ROWS(C$2:C120)-1,3))</f>
        <v>12.00</v>
      </c>
      <c r="D120" s="14" t="str">
        <f t="shared" ca="1" si="4"/>
        <v>—</v>
      </c>
      <c r="E120" s="25">
        <f t="shared" ca="1" si="5"/>
        <v>7</v>
      </c>
    </row>
    <row r="121" spans="1:5" x14ac:dyDescent="0.25">
      <c r="A121" s="8">
        <f t="shared" si="3"/>
        <v>73</v>
      </c>
      <c r="B121" t="str">
        <f ca="1">TEXT(DATE(YEAR(Invoer!$A$5),1,1)+INT((ROWS(B$2:B121)-1)/3),"jjjjmmdd")</f>
        <v>19450209</v>
      </c>
      <c r="C121" s="20" t="str">
        <f>INDEX(Data,2,2+MOD(ROWS(C$2:C121)-1,3))</f>
        <v>16.00</v>
      </c>
      <c r="D121" s="14" t="str">
        <f t="shared" ca="1" si="4"/>
        <v>—</v>
      </c>
      <c r="E121" s="25">
        <f t="shared" ca="1" si="5"/>
        <v>7</v>
      </c>
    </row>
    <row r="122" spans="1:5" x14ac:dyDescent="0.25">
      <c r="A122" s="8">
        <f t="shared" si="3"/>
        <v>73</v>
      </c>
      <c r="B122" t="str">
        <f ca="1">TEXT(DATE(YEAR(Invoer!$A$5),1,1)+INT((ROWS(B$2:B122)-1)/3),"jjjjmmdd")</f>
        <v>19450210</v>
      </c>
      <c r="C122" s="20" t="str">
        <f>INDEX(Data,2,2+MOD(ROWS(C$2:C122)-1,3))</f>
        <v>08.00</v>
      </c>
      <c r="D122" s="14" t="str">
        <f t="shared" ca="1" si="4"/>
        <v>—</v>
      </c>
      <c r="E122" s="25">
        <f t="shared" ca="1" si="5"/>
        <v>7</v>
      </c>
    </row>
    <row r="123" spans="1:5" x14ac:dyDescent="0.25">
      <c r="A123" s="8">
        <f t="shared" si="3"/>
        <v>73</v>
      </c>
      <c r="B123" t="str">
        <f ca="1">TEXT(DATE(YEAR(Invoer!$A$5),1,1)+INT((ROWS(B$2:B123)-1)/3),"jjjjmmdd")</f>
        <v>19450210</v>
      </c>
      <c r="C123" s="20" t="str">
        <f>INDEX(Data,2,2+MOD(ROWS(C$2:C123)-1,3))</f>
        <v>12.00</v>
      </c>
      <c r="D123" s="14" t="str">
        <f t="shared" ca="1" si="4"/>
        <v>—</v>
      </c>
      <c r="E123" s="25">
        <f t="shared" ca="1" si="5"/>
        <v>7</v>
      </c>
    </row>
    <row r="124" spans="1:5" x14ac:dyDescent="0.25">
      <c r="A124" s="8">
        <f t="shared" si="3"/>
        <v>73</v>
      </c>
      <c r="B124" t="str">
        <f ca="1">TEXT(DATE(YEAR(Invoer!$A$5),1,1)+INT((ROWS(B$2:B124)-1)/3),"jjjjmmdd")</f>
        <v>19450210</v>
      </c>
      <c r="C124" s="20" t="str">
        <f>INDEX(Data,2,2+MOD(ROWS(C$2:C124)-1,3))</f>
        <v>16.00</v>
      </c>
      <c r="D124" s="14" t="str">
        <f t="shared" ca="1" si="4"/>
        <v>—</v>
      </c>
      <c r="E124" s="25">
        <f t="shared" ca="1" si="5"/>
        <v>7</v>
      </c>
    </row>
    <row r="125" spans="1:5" x14ac:dyDescent="0.25">
      <c r="A125" s="8">
        <f t="shared" si="3"/>
        <v>73</v>
      </c>
      <c r="B125" t="str">
        <f ca="1">TEXT(DATE(YEAR(Invoer!$A$5),1,1)+INT((ROWS(B$2:B125)-1)/3),"jjjjmmdd")</f>
        <v>19450211</v>
      </c>
      <c r="C125" s="20" t="str">
        <f>INDEX(Data,2,2+MOD(ROWS(C$2:C125)-1,3))</f>
        <v>08.00</v>
      </c>
      <c r="D125" s="14" t="str">
        <f t="shared" ca="1" si="4"/>
        <v>—</v>
      </c>
      <c r="E125" s="25">
        <f t="shared" ca="1" si="5"/>
        <v>7</v>
      </c>
    </row>
    <row r="126" spans="1:5" x14ac:dyDescent="0.25">
      <c r="A126" s="8">
        <f t="shared" si="3"/>
        <v>73</v>
      </c>
      <c r="B126" t="str">
        <f ca="1">TEXT(DATE(YEAR(Invoer!$A$5),1,1)+INT((ROWS(B$2:B126)-1)/3),"jjjjmmdd")</f>
        <v>19450211</v>
      </c>
      <c r="C126" s="20" t="str">
        <f>INDEX(Data,2,2+MOD(ROWS(C$2:C126)-1,3))</f>
        <v>12.00</v>
      </c>
      <c r="D126" s="14" t="str">
        <f t="shared" ca="1" si="4"/>
        <v>—</v>
      </c>
      <c r="E126" s="25">
        <f t="shared" ca="1" si="5"/>
        <v>7</v>
      </c>
    </row>
    <row r="127" spans="1:5" x14ac:dyDescent="0.25">
      <c r="A127" s="8">
        <f t="shared" si="3"/>
        <v>73</v>
      </c>
      <c r="B127" t="str">
        <f ca="1">TEXT(DATE(YEAR(Invoer!$A$5),1,1)+INT((ROWS(B$2:B127)-1)/3),"jjjjmmdd")</f>
        <v>19450211</v>
      </c>
      <c r="C127" s="20" t="str">
        <f>INDEX(Data,2,2+MOD(ROWS(C$2:C127)-1,3))</f>
        <v>16.00</v>
      </c>
      <c r="D127" s="14" t="str">
        <f t="shared" ca="1" si="4"/>
        <v>—</v>
      </c>
      <c r="E127" s="25">
        <f t="shared" ca="1" si="5"/>
        <v>7</v>
      </c>
    </row>
    <row r="128" spans="1:5" x14ac:dyDescent="0.25">
      <c r="A128" s="8">
        <f t="shared" si="3"/>
        <v>73</v>
      </c>
      <c r="B128" t="str">
        <f ca="1">TEXT(DATE(YEAR(Invoer!$A$5),1,1)+INT((ROWS(B$2:B128)-1)/3),"jjjjmmdd")</f>
        <v>19450212</v>
      </c>
      <c r="C128" s="20" t="str">
        <f>INDEX(Data,2,2+MOD(ROWS(C$2:C128)-1,3))</f>
        <v>08.00</v>
      </c>
      <c r="D128" s="14" t="str">
        <f t="shared" ca="1" si="4"/>
        <v>—</v>
      </c>
      <c r="E128" s="25">
        <f t="shared" ca="1" si="5"/>
        <v>7</v>
      </c>
    </row>
    <row r="129" spans="1:5" x14ac:dyDescent="0.25">
      <c r="A129" s="8">
        <f t="shared" si="3"/>
        <v>73</v>
      </c>
      <c r="B129" t="str">
        <f ca="1">TEXT(DATE(YEAR(Invoer!$A$5),1,1)+INT((ROWS(B$2:B129)-1)/3),"jjjjmmdd")</f>
        <v>19450212</v>
      </c>
      <c r="C129" s="20" t="str">
        <f>INDEX(Data,2,2+MOD(ROWS(C$2:C129)-1,3))</f>
        <v>12.00</v>
      </c>
      <c r="D129" s="14" t="str">
        <f t="shared" ca="1" si="4"/>
        <v>—</v>
      </c>
      <c r="E129" s="25">
        <f t="shared" ca="1" si="5"/>
        <v>7</v>
      </c>
    </row>
    <row r="130" spans="1:5" x14ac:dyDescent="0.25">
      <c r="A130" s="8">
        <f t="shared" ref="A130:A193" si="6">INDEX(Stations,2,1)</f>
        <v>73</v>
      </c>
      <c r="B130" t="str">
        <f ca="1">TEXT(DATE(YEAR(Invoer!$A$5),1,1)+INT((ROWS(B$2:B130)-1)/3),"jjjjmmdd")</f>
        <v>19450212</v>
      </c>
      <c r="C130" s="20" t="str">
        <f>INDEX(Data,2,2+MOD(ROWS(C$2:C130)-1,3))</f>
        <v>16.00</v>
      </c>
      <c r="D130" s="14" t="str">
        <f t="shared" ref="D130:D193" ca="1" si="7">IF(OR(ISBLANK(VLOOKUP(DATEVALUE(LEFT($B130,4)&amp;"-"&amp;MID($B130,5,2)&amp;"-"&amp;RIGHT($B130,2)),Data,MATCH(LEFT(VLOOKUP(D$1,Parameters,2,FALSE()),4)&amp;"*",OFFSET(Data,0,0,1),0)+MATCH($C130,OFFSET(Data,1,0,1),0)-2,FALSE())),ISTEXT(VLOOKUP(DATEVALUE(LEFT($B130,4)&amp;"-"&amp;MID($B130,5,2)&amp;"-"&amp;RIGHT($B130,2)),Data,MATCH(LEFT(VLOOKUP(D$1,Parameters,2,FALSE()),4)&amp;"*",OFFSET(Data,0,0,1),0)+MATCH($C130,OFFSET(Data,1,0,1),0)-2,FALSE()))),"—",VLOOKUP(DATEVALUE(LEFT($B130,4)&amp;"-"&amp;MID($B130,5,2)&amp;"-"&amp;RIGHT($B130,2)),Data,MATCH(LEFT(VLOOKUP(D$1,Parameters,2,FALSE()),4)&amp;"*",OFFSET(Data,0,0,1),0)+MATCH($C130,OFFSET(Data,1,0,1),0)-2,FALSE()))</f>
        <v>—</v>
      </c>
      <c r="E130" s="25">
        <f t="shared" ref="E130:E193" ca="1" si="8">IF(OR(ISBLANK(VLOOKUP(DATEVALUE(LEFT($B130,4)&amp;"-"&amp;MID($B130,5,2)&amp;"-"&amp;RIGHT($B130,2)),Data,MATCH(LEFT(VLOOKUP(MID(E$1,2,LEN(E$1)-1),Parameters,2,FALSE()),4)&amp;"*",OFFSET(Data,0,0,1),0)+MATCH($C130,OFFSET(Data,1,0,1),0)-2,FALSE())),ISTEXT(VLOOKUP(DATEVALUE(LEFT($B130,4)&amp;"-"&amp;MID($B130,5,2)&amp;"-"&amp;RIGHT($B130,2)),Data,MATCH(LEFT(VLOOKUP(MID(E$1,2,LEN(E$1)-1),Parameters,2,FALSE()),4)&amp;"*",OFFSET(Data,0,0,1),0)+MATCH($C130,OFFSET(Data,1,0,1),0)-2,FALSE()))),Lacking,IF(ISNA(MATCH(DATEVALUE(LEFT($B130,4)&amp;"-"&amp;MID($B130,5,2)&amp;"-"&amp;RIGHT($B130,2)),OFFSET(Catalogus,0,0,,1),0)),Ok,VLOOKUP(DATEVALUE(LEFT($B130,4)&amp;"-"&amp;MID($B130,5,2)&amp;"-"&amp;RIGHT($B130,2)),Catalogus,MATCH(LEFT(VLOOKUP(MID(E$1,2,LEN(E$1)-1),Parameters,2,FALSE()),4)&amp;"*",OFFSET(Catalogus,0,0,1),0)+MATCH($C130,OFFSET(Catalogus,1,0,1),0)-2,FALSE())))</f>
        <v>7</v>
      </c>
    </row>
    <row r="131" spans="1:5" x14ac:dyDescent="0.25">
      <c r="A131" s="8">
        <f t="shared" si="6"/>
        <v>73</v>
      </c>
      <c r="B131" t="str">
        <f ca="1">TEXT(DATE(YEAR(Invoer!$A$5),1,1)+INT((ROWS(B$2:B131)-1)/3),"jjjjmmdd")</f>
        <v>19450213</v>
      </c>
      <c r="C131" s="20" t="str">
        <f>INDEX(Data,2,2+MOD(ROWS(C$2:C131)-1,3))</f>
        <v>08.00</v>
      </c>
      <c r="D131" s="14" t="str">
        <f t="shared" ca="1" si="7"/>
        <v>—</v>
      </c>
      <c r="E131" s="25">
        <f t="shared" ca="1" si="8"/>
        <v>7</v>
      </c>
    </row>
    <row r="132" spans="1:5" x14ac:dyDescent="0.25">
      <c r="A132" s="8">
        <f t="shared" si="6"/>
        <v>73</v>
      </c>
      <c r="B132" t="str">
        <f ca="1">TEXT(DATE(YEAR(Invoer!$A$5),1,1)+INT((ROWS(B$2:B132)-1)/3),"jjjjmmdd")</f>
        <v>19450213</v>
      </c>
      <c r="C132" s="20" t="str">
        <f>INDEX(Data,2,2+MOD(ROWS(C$2:C132)-1,3))</f>
        <v>12.00</v>
      </c>
      <c r="D132" s="14" t="str">
        <f t="shared" ca="1" si="7"/>
        <v>—</v>
      </c>
      <c r="E132" s="25">
        <f t="shared" ca="1" si="8"/>
        <v>7</v>
      </c>
    </row>
    <row r="133" spans="1:5" x14ac:dyDescent="0.25">
      <c r="A133" s="8">
        <f t="shared" si="6"/>
        <v>73</v>
      </c>
      <c r="B133" t="str">
        <f ca="1">TEXT(DATE(YEAR(Invoer!$A$5),1,1)+INT((ROWS(B$2:B133)-1)/3),"jjjjmmdd")</f>
        <v>19450213</v>
      </c>
      <c r="C133" s="20" t="str">
        <f>INDEX(Data,2,2+MOD(ROWS(C$2:C133)-1,3))</f>
        <v>16.00</v>
      </c>
      <c r="D133" s="14" t="str">
        <f t="shared" ca="1" si="7"/>
        <v>—</v>
      </c>
      <c r="E133" s="25">
        <f t="shared" ca="1" si="8"/>
        <v>7</v>
      </c>
    </row>
    <row r="134" spans="1:5" x14ac:dyDescent="0.25">
      <c r="A134" s="8">
        <f t="shared" si="6"/>
        <v>73</v>
      </c>
      <c r="B134" t="str">
        <f ca="1">TEXT(DATE(YEAR(Invoer!$A$5),1,1)+INT((ROWS(B$2:B134)-1)/3),"jjjjmmdd")</f>
        <v>19450214</v>
      </c>
      <c r="C134" s="20" t="str">
        <f>INDEX(Data,2,2+MOD(ROWS(C$2:C134)-1,3))</f>
        <v>08.00</v>
      </c>
      <c r="D134" s="14" t="str">
        <f t="shared" ca="1" si="7"/>
        <v>—</v>
      </c>
      <c r="E134" s="25">
        <f t="shared" ca="1" si="8"/>
        <v>7</v>
      </c>
    </row>
    <row r="135" spans="1:5" x14ac:dyDescent="0.25">
      <c r="A135" s="8">
        <f t="shared" si="6"/>
        <v>73</v>
      </c>
      <c r="B135" t="str">
        <f ca="1">TEXT(DATE(YEAR(Invoer!$A$5),1,1)+INT((ROWS(B$2:B135)-1)/3),"jjjjmmdd")</f>
        <v>19450214</v>
      </c>
      <c r="C135" s="20" t="str">
        <f>INDEX(Data,2,2+MOD(ROWS(C$2:C135)-1,3))</f>
        <v>12.00</v>
      </c>
      <c r="D135" s="14" t="str">
        <f t="shared" ca="1" si="7"/>
        <v>—</v>
      </c>
      <c r="E135" s="25">
        <f t="shared" ca="1" si="8"/>
        <v>7</v>
      </c>
    </row>
    <row r="136" spans="1:5" x14ac:dyDescent="0.25">
      <c r="A136" s="8">
        <f t="shared" si="6"/>
        <v>73</v>
      </c>
      <c r="B136" t="str">
        <f ca="1">TEXT(DATE(YEAR(Invoer!$A$5),1,1)+INT((ROWS(B$2:B136)-1)/3),"jjjjmmdd")</f>
        <v>19450214</v>
      </c>
      <c r="C136" s="20" t="str">
        <f>INDEX(Data,2,2+MOD(ROWS(C$2:C136)-1,3))</f>
        <v>16.00</v>
      </c>
      <c r="D136" s="14" t="str">
        <f t="shared" ca="1" si="7"/>
        <v>—</v>
      </c>
      <c r="E136" s="25">
        <f t="shared" ca="1" si="8"/>
        <v>7</v>
      </c>
    </row>
    <row r="137" spans="1:5" x14ac:dyDescent="0.25">
      <c r="A137" s="8">
        <f t="shared" si="6"/>
        <v>73</v>
      </c>
      <c r="B137" t="str">
        <f ca="1">TEXT(DATE(YEAR(Invoer!$A$5),1,1)+INT((ROWS(B$2:B137)-1)/3),"jjjjmmdd")</f>
        <v>19450215</v>
      </c>
      <c r="C137" s="20" t="str">
        <f>INDEX(Data,2,2+MOD(ROWS(C$2:C137)-1,3))</f>
        <v>08.00</v>
      </c>
      <c r="D137" s="14" t="str">
        <f t="shared" ca="1" si="7"/>
        <v>—</v>
      </c>
      <c r="E137" s="25">
        <f t="shared" ca="1" si="8"/>
        <v>7</v>
      </c>
    </row>
    <row r="138" spans="1:5" x14ac:dyDescent="0.25">
      <c r="A138" s="8">
        <f t="shared" si="6"/>
        <v>73</v>
      </c>
      <c r="B138" t="str">
        <f ca="1">TEXT(DATE(YEAR(Invoer!$A$5),1,1)+INT((ROWS(B$2:B138)-1)/3),"jjjjmmdd")</f>
        <v>19450215</v>
      </c>
      <c r="C138" s="20" t="str">
        <f>INDEX(Data,2,2+MOD(ROWS(C$2:C138)-1,3))</f>
        <v>12.00</v>
      </c>
      <c r="D138" s="14" t="str">
        <f t="shared" ca="1" si="7"/>
        <v>—</v>
      </c>
      <c r="E138" s="25">
        <f t="shared" ca="1" si="8"/>
        <v>7</v>
      </c>
    </row>
    <row r="139" spans="1:5" x14ac:dyDescent="0.25">
      <c r="A139" s="8">
        <f t="shared" si="6"/>
        <v>73</v>
      </c>
      <c r="B139" t="str">
        <f ca="1">TEXT(DATE(YEAR(Invoer!$A$5),1,1)+INT((ROWS(B$2:B139)-1)/3),"jjjjmmdd")</f>
        <v>19450215</v>
      </c>
      <c r="C139" s="20" t="str">
        <f>INDEX(Data,2,2+MOD(ROWS(C$2:C139)-1,3))</f>
        <v>16.00</v>
      </c>
      <c r="D139" s="14" t="str">
        <f t="shared" ca="1" si="7"/>
        <v>—</v>
      </c>
      <c r="E139" s="25">
        <f t="shared" ca="1" si="8"/>
        <v>7</v>
      </c>
    </row>
    <row r="140" spans="1:5" x14ac:dyDescent="0.25">
      <c r="A140" s="8">
        <f t="shared" si="6"/>
        <v>73</v>
      </c>
      <c r="B140" t="str">
        <f ca="1">TEXT(DATE(YEAR(Invoer!$A$5),1,1)+INT((ROWS(B$2:B140)-1)/3),"jjjjmmdd")</f>
        <v>19450216</v>
      </c>
      <c r="C140" s="20" t="str">
        <f>INDEX(Data,2,2+MOD(ROWS(C$2:C140)-1,3))</f>
        <v>08.00</v>
      </c>
      <c r="D140" s="14" t="str">
        <f t="shared" ca="1" si="7"/>
        <v>—</v>
      </c>
      <c r="E140" s="25">
        <f t="shared" ca="1" si="8"/>
        <v>7</v>
      </c>
    </row>
    <row r="141" spans="1:5" x14ac:dyDescent="0.25">
      <c r="A141" s="8">
        <f t="shared" si="6"/>
        <v>73</v>
      </c>
      <c r="B141" t="str">
        <f ca="1">TEXT(DATE(YEAR(Invoer!$A$5),1,1)+INT((ROWS(B$2:B141)-1)/3),"jjjjmmdd")</f>
        <v>19450216</v>
      </c>
      <c r="C141" s="20" t="str">
        <f>INDEX(Data,2,2+MOD(ROWS(C$2:C141)-1,3))</f>
        <v>12.00</v>
      </c>
      <c r="D141" s="14" t="str">
        <f t="shared" ca="1" si="7"/>
        <v>—</v>
      </c>
      <c r="E141" s="25">
        <f t="shared" ca="1" si="8"/>
        <v>7</v>
      </c>
    </row>
    <row r="142" spans="1:5" x14ac:dyDescent="0.25">
      <c r="A142" s="8">
        <f t="shared" si="6"/>
        <v>73</v>
      </c>
      <c r="B142" t="str">
        <f ca="1">TEXT(DATE(YEAR(Invoer!$A$5),1,1)+INT((ROWS(B$2:B142)-1)/3),"jjjjmmdd")</f>
        <v>19450216</v>
      </c>
      <c r="C142" s="20" t="str">
        <f>INDEX(Data,2,2+MOD(ROWS(C$2:C142)-1,3))</f>
        <v>16.00</v>
      </c>
      <c r="D142" s="14" t="str">
        <f t="shared" ca="1" si="7"/>
        <v>—</v>
      </c>
      <c r="E142" s="25">
        <f t="shared" ca="1" si="8"/>
        <v>7</v>
      </c>
    </row>
    <row r="143" spans="1:5" x14ac:dyDescent="0.25">
      <c r="A143" s="8">
        <f t="shared" si="6"/>
        <v>73</v>
      </c>
      <c r="B143" t="str">
        <f ca="1">TEXT(DATE(YEAR(Invoer!$A$5),1,1)+INT((ROWS(B$2:B143)-1)/3),"jjjjmmdd")</f>
        <v>19450217</v>
      </c>
      <c r="C143" s="20" t="str">
        <f>INDEX(Data,2,2+MOD(ROWS(C$2:C143)-1,3))</f>
        <v>08.00</v>
      </c>
      <c r="D143" s="14" t="str">
        <f t="shared" ca="1" si="7"/>
        <v>—</v>
      </c>
      <c r="E143" s="25">
        <f t="shared" ca="1" si="8"/>
        <v>7</v>
      </c>
    </row>
    <row r="144" spans="1:5" x14ac:dyDescent="0.25">
      <c r="A144" s="8">
        <f t="shared" si="6"/>
        <v>73</v>
      </c>
      <c r="B144" t="str">
        <f ca="1">TEXT(DATE(YEAR(Invoer!$A$5),1,1)+INT((ROWS(B$2:B144)-1)/3),"jjjjmmdd")</f>
        <v>19450217</v>
      </c>
      <c r="C144" s="20" t="str">
        <f>INDEX(Data,2,2+MOD(ROWS(C$2:C144)-1,3))</f>
        <v>12.00</v>
      </c>
      <c r="D144" s="14" t="str">
        <f t="shared" ca="1" si="7"/>
        <v>—</v>
      </c>
      <c r="E144" s="25">
        <f t="shared" ca="1" si="8"/>
        <v>7</v>
      </c>
    </row>
    <row r="145" spans="1:5" x14ac:dyDescent="0.25">
      <c r="A145" s="8">
        <f t="shared" si="6"/>
        <v>73</v>
      </c>
      <c r="B145" t="str">
        <f ca="1">TEXT(DATE(YEAR(Invoer!$A$5),1,1)+INT((ROWS(B$2:B145)-1)/3),"jjjjmmdd")</f>
        <v>19450217</v>
      </c>
      <c r="C145" s="20" t="str">
        <f>INDEX(Data,2,2+MOD(ROWS(C$2:C145)-1,3))</f>
        <v>16.00</v>
      </c>
      <c r="D145" s="14" t="str">
        <f t="shared" ca="1" si="7"/>
        <v>—</v>
      </c>
      <c r="E145" s="25">
        <f t="shared" ca="1" si="8"/>
        <v>7</v>
      </c>
    </row>
    <row r="146" spans="1:5" x14ac:dyDescent="0.25">
      <c r="A146" s="8">
        <f t="shared" si="6"/>
        <v>73</v>
      </c>
      <c r="B146" t="str">
        <f ca="1">TEXT(DATE(YEAR(Invoer!$A$5),1,1)+INT((ROWS(B$2:B146)-1)/3),"jjjjmmdd")</f>
        <v>19450218</v>
      </c>
      <c r="C146" s="20" t="str">
        <f>INDEX(Data,2,2+MOD(ROWS(C$2:C146)-1,3))</f>
        <v>08.00</v>
      </c>
      <c r="D146" s="14" t="str">
        <f t="shared" ca="1" si="7"/>
        <v>—</v>
      </c>
      <c r="E146" s="25">
        <f t="shared" ca="1" si="8"/>
        <v>7</v>
      </c>
    </row>
    <row r="147" spans="1:5" x14ac:dyDescent="0.25">
      <c r="A147" s="8">
        <f t="shared" si="6"/>
        <v>73</v>
      </c>
      <c r="B147" t="str">
        <f ca="1">TEXT(DATE(YEAR(Invoer!$A$5),1,1)+INT((ROWS(B$2:B147)-1)/3),"jjjjmmdd")</f>
        <v>19450218</v>
      </c>
      <c r="C147" s="20" t="str">
        <f>INDEX(Data,2,2+MOD(ROWS(C$2:C147)-1,3))</f>
        <v>12.00</v>
      </c>
      <c r="D147" s="14" t="str">
        <f t="shared" ca="1" si="7"/>
        <v>—</v>
      </c>
      <c r="E147" s="25">
        <f t="shared" ca="1" si="8"/>
        <v>7</v>
      </c>
    </row>
    <row r="148" spans="1:5" x14ac:dyDescent="0.25">
      <c r="A148" s="8">
        <f t="shared" si="6"/>
        <v>73</v>
      </c>
      <c r="B148" t="str">
        <f ca="1">TEXT(DATE(YEAR(Invoer!$A$5),1,1)+INT((ROWS(B$2:B148)-1)/3),"jjjjmmdd")</f>
        <v>19450218</v>
      </c>
      <c r="C148" s="20" t="str">
        <f>INDEX(Data,2,2+MOD(ROWS(C$2:C148)-1,3))</f>
        <v>16.00</v>
      </c>
      <c r="D148" s="14" t="str">
        <f t="shared" ca="1" si="7"/>
        <v>—</v>
      </c>
      <c r="E148" s="25">
        <f t="shared" ca="1" si="8"/>
        <v>7</v>
      </c>
    </row>
    <row r="149" spans="1:5" x14ac:dyDescent="0.25">
      <c r="A149" s="8">
        <f t="shared" si="6"/>
        <v>73</v>
      </c>
      <c r="B149" t="str">
        <f ca="1">TEXT(DATE(YEAR(Invoer!$A$5),1,1)+INT((ROWS(B$2:B149)-1)/3),"jjjjmmdd")</f>
        <v>19450219</v>
      </c>
      <c r="C149" s="20" t="str">
        <f>INDEX(Data,2,2+MOD(ROWS(C$2:C149)-1,3))</f>
        <v>08.00</v>
      </c>
      <c r="D149" s="14" t="str">
        <f t="shared" ca="1" si="7"/>
        <v>—</v>
      </c>
      <c r="E149" s="25">
        <f t="shared" ca="1" si="8"/>
        <v>7</v>
      </c>
    </row>
    <row r="150" spans="1:5" x14ac:dyDescent="0.25">
      <c r="A150" s="8">
        <f t="shared" si="6"/>
        <v>73</v>
      </c>
      <c r="B150" t="str">
        <f ca="1">TEXT(DATE(YEAR(Invoer!$A$5),1,1)+INT((ROWS(B$2:B150)-1)/3),"jjjjmmdd")</f>
        <v>19450219</v>
      </c>
      <c r="C150" s="20" t="str">
        <f>INDEX(Data,2,2+MOD(ROWS(C$2:C150)-1,3))</f>
        <v>12.00</v>
      </c>
      <c r="D150" s="14" t="str">
        <f t="shared" ca="1" si="7"/>
        <v>—</v>
      </c>
      <c r="E150" s="25">
        <f t="shared" ca="1" si="8"/>
        <v>7</v>
      </c>
    </row>
    <row r="151" spans="1:5" x14ac:dyDescent="0.25">
      <c r="A151" s="8">
        <f t="shared" si="6"/>
        <v>73</v>
      </c>
      <c r="B151" t="str">
        <f ca="1">TEXT(DATE(YEAR(Invoer!$A$5),1,1)+INT((ROWS(B$2:B151)-1)/3),"jjjjmmdd")</f>
        <v>19450219</v>
      </c>
      <c r="C151" s="20" t="str">
        <f>INDEX(Data,2,2+MOD(ROWS(C$2:C151)-1,3))</f>
        <v>16.00</v>
      </c>
      <c r="D151" s="14" t="str">
        <f t="shared" ca="1" si="7"/>
        <v>—</v>
      </c>
      <c r="E151" s="25">
        <f t="shared" ca="1" si="8"/>
        <v>7</v>
      </c>
    </row>
    <row r="152" spans="1:5" x14ac:dyDescent="0.25">
      <c r="A152" s="8">
        <f t="shared" si="6"/>
        <v>73</v>
      </c>
      <c r="B152" t="str">
        <f ca="1">TEXT(DATE(YEAR(Invoer!$A$5),1,1)+INT((ROWS(B$2:B152)-1)/3),"jjjjmmdd")</f>
        <v>19450220</v>
      </c>
      <c r="C152" s="20" t="str">
        <f>INDEX(Data,2,2+MOD(ROWS(C$2:C152)-1,3))</f>
        <v>08.00</v>
      </c>
      <c r="D152" s="14" t="str">
        <f t="shared" ca="1" si="7"/>
        <v>—</v>
      </c>
      <c r="E152" s="25">
        <f t="shared" ca="1" si="8"/>
        <v>7</v>
      </c>
    </row>
    <row r="153" spans="1:5" x14ac:dyDescent="0.25">
      <c r="A153" s="8">
        <f t="shared" si="6"/>
        <v>73</v>
      </c>
      <c r="B153" t="str">
        <f ca="1">TEXT(DATE(YEAR(Invoer!$A$5),1,1)+INT((ROWS(B$2:B153)-1)/3),"jjjjmmdd")</f>
        <v>19450220</v>
      </c>
      <c r="C153" s="20" t="str">
        <f>INDEX(Data,2,2+MOD(ROWS(C$2:C153)-1,3))</f>
        <v>12.00</v>
      </c>
      <c r="D153" s="14" t="str">
        <f t="shared" ca="1" si="7"/>
        <v>—</v>
      </c>
      <c r="E153" s="25">
        <f t="shared" ca="1" si="8"/>
        <v>7</v>
      </c>
    </row>
    <row r="154" spans="1:5" x14ac:dyDescent="0.25">
      <c r="A154" s="8">
        <f t="shared" si="6"/>
        <v>73</v>
      </c>
      <c r="B154" t="str">
        <f ca="1">TEXT(DATE(YEAR(Invoer!$A$5),1,1)+INT((ROWS(B$2:B154)-1)/3),"jjjjmmdd")</f>
        <v>19450220</v>
      </c>
      <c r="C154" s="20" t="str">
        <f>INDEX(Data,2,2+MOD(ROWS(C$2:C154)-1,3))</f>
        <v>16.00</v>
      </c>
      <c r="D154" s="14" t="str">
        <f t="shared" ca="1" si="7"/>
        <v>—</v>
      </c>
      <c r="E154" s="25">
        <f t="shared" ca="1" si="8"/>
        <v>7</v>
      </c>
    </row>
    <row r="155" spans="1:5" x14ac:dyDescent="0.25">
      <c r="A155" s="8">
        <f t="shared" si="6"/>
        <v>73</v>
      </c>
      <c r="B155" t="str">
        <f ca="1">TEXT(DATE(YEAR(Invoer!$A$5),1,1)+INT((ROWS(B$2:B155)-1)/3),"jjjjmmdd")</f>
        <v>19450221</v>
      </c>
      <c r="C155" s="20" t="str">
        <f>INDEX(Data,2,2+MOD(ROWS(C$2:C155)-1,3))</f>
        <v>08.00</v>
      </c>
      <c r="D155" s="14" t="str">
        <f t="shared" ca="1" si="7"/>
        <v>—</v>
      </c>
      <c r="E155" s="25">
        <f t="shared" ca="1" si="8"/>
        <v>7</v>
      </c>
    </row>
    <row r="156" spans="1:5" x14ac:dyDescent="0.25">
      <c r="A156" s="8">
        <f t="shared" si="6"/>
        <v>73</v>
      </c>
      <c r="B156" t="str">
        <f ca="1">TEXT(DATE(YEAR(Invoer!$A$5),1,1)+INT((ROWS(B$2:B156)-1)/3),"jjjjmmdd")</f>
        <v>19450221</v>
      </c>
      <c r="C156" s="20" t="str">
        <f>INDEX(Data,2,2+MOD(ROWS(C$2:C156)-1,3))</f>
        <v>12.00</v>
      </c>
      <c r="D156" s="14" t="str">
        <f t="shared" ca="1" si="7"/>
        <v>—</v>
      </c>
      <c r="E156" s="25">
        <f t="shared" ca="1" si="8"/>
        <v>7</v>
      </c>
    </row>
    <row r="157" spans="1:5" x14ac:dyDescent="0.25">
      <c r="A157" s="8">
        <f t="shared" si="6"/>
        <v>73</v>
      </c>
      <c r="B157" t="str">
        <f ca="1">TEXT(DATE(YEAR(Invoer!$A$5),1,1)+INT((ROWS(B$2:B157)-1)/3),"jjjjmmdd")</f>
        <v>19450221</v>
      </c>
      <c r="C157" s="20" t="str">
        <f>INDEX(Data,2,2+MOD(ROWS(C$2:C157)-1,3))</f>
        <v>16.00</v>
      </c>
      <c r="D157" s="14" t="str">
        <f t="shared" ca="1" si="7"/>
        <v>—</v>
      </c>
      <c r="E157" s="25">
        <f t="shared" ca="1" si="8"/>
        <v>7</v>
      </c>
    </row>
    <row r="158" spans="1:5" x14ac:dyDescent="0.25">
      <c r="A158" s="8">
        <f t="shared" si="6"/>
        <v>73</v>
      </c>
      <c r="B158" t="str">
        <f ca="1">TEXT(DATE(YEAR(Invoer!$A$5),1,1)+INT((ROWS(B$2:B158)-1)/3),"jjjjmmdd")</f>
        <v>19450222</v>
      </c>
      <c r="C158" s="20" t="str">
        <f>INDEX(Data,2,2+MOD(ROWS(C$2:C158)-1,3))</f>
        <v>08.00</v>
      </c>
      <c r="D158" s="14" t="str">
        <f t="shared" ca="1" si="7"/>
        <v>—</v>
      </c>
      <c r="E158" s="25">
        <f t="shared" ca="1" si="8"/>
        <v>7</v>
      </c>
    </row>
    <row r="159" spans="1:5" x14ac:dyDescent="0.25">
      <c r="A159" s="8">
        <f t="shared" si="6"/>
        <v>73</v>
      </c>
      <c r="B159" t="str">
        <f ca="1">TEXT(DATE(YEAR(Invoer!$A$5),1,1)+INT((ROWS(B$2:B159)-1)/3),"jjjjmmdd")</f>
        <v>19450222</v>
      </c>
      <c r="C159" s="20" t="str">
        <f>INDEX(Data,2,2+MOD(ROWS(C$2:C159)-1,3))</f>
        <v>12.00</v>
      </c>
      <c r="D159" s="14" t="str">
        <f t="shared" ca="1" si="7"/>
        <v>—</v>
      </c>
      <c r="E159" s="25">
        <f t="shared" ca="1" si="8"/>
        <v>7</v>
      </c>
    </row>
    <row r="160" spans="1:5" x14ac:dyDescent="0.25">
      <c r="A160" s="8">
        <f t="shared" si="6"/>
        <v>73</v>
      </c>
      <c r="B160" t="str">
        <f ca="1">TEXT(DATE(YEAR(Invoer!$A$5),1,1)+INT((ROWS(B$2:B160)-1)/3),"jjjjmmdd")</f>
        <v>19450222</v>
      </c>
      <c r="C160" s="20" t="str">
        <f>INDEX(Data,2,2+MOD(ROWS(C$2:C160)-1,3))</f>
        <v>16.00</v>
      </c>
      <c r="D160" s="14" t="str">
        <f t="shared" ca="1" si="7"/>
        <v>—</v>
      </c>
      <c r="E160" s="25">
        <f t="shared" ca="1" si="8"/>
        <v>7</v>
      </c>
    </row>
    <row r="161" spans="1:5" x14ac:dyDescent="0.25">
      <c r="A161" s="8">
        <f t="shared" si="6"/>
        <v>73</v>
      </c>
      <c r="B161" t="str">
        <f ca="1">TEXT(DATE(YEAR(Invoer!$A$5),1,1)+INT((ROWS(B$2:B161)-1)/3),"jjjjmmdd")</f>
        <v>19450223</v>
      </c>
      <c r="C161" s="20" t="str">
        <f>INDEX(Data,2,2+MOD(ROWS(C$2:C161)-1,3))</f>
        <v>08.00</v>
      </c>
      <c r="D161" s="14" t="str">
        <f t="shared" ca="1" si="7"/>
        <v>—</v>
      </c>
      <c r="E161" s="25">
        <f t="shared" ca="1" si="8"/>
        <v>7</v>
      </c>
    </row>
    <row r="162" spans="1:5" x14ac:dyDescent="0.25">
      <c r="A162" s="8">
        <f t="shared" si="6"/>
        <v>73</v>
      </c>
      <c r="B162" t="str">
        <f ca="1">TEXT(DATE(YEAR(Invoer!$A$5),1,1)+INT((ROWS(B$2:B162)-1)/3),"jjjjmmdd")</f>
        <v>19450223</v>
      </c>
      <c r="C162" s="20" t="str">
        <f>INDEX(Data,2,2+MOD(ROWS(C$2:C162)-1,3))</f>
        <v>12.00</v>
      </c>
      <c r="D162" s="14" t="str">
        <f t="shared" ca="1" si="7"/>
        <v>—</v>
      </c>
      <c r="E162" s="25">
        <f t="shared" ca="1" si="8"/>
        <v>7</v>
      </c>
    </row>
    <row r="163" spans="1:5" x14ac:dyDescent="0.25">
      <c r="A163" s="8">
        <f t="shared" si="6"/>
        <v>73</v>
      </c>
      <c r="B163" t="str">
        <f ca="1">TEXT(DATE(YEAR(Invoer!$A$5),1,1)+INT((ROWS(B$2:B163)-1)/3),"jjjjmmdd")</f>
        <v>19450223</v>
      </c>
      <c r="C163" s="20" t="str">
        <f>INDEX(Data,2,2+MOD(ROWS(C$2:C163)-1,3))</f>
        <v>16.00</v>
      </c>
      <c r="D163" s="14" t="str">
        <f t="shared" ca="1" si="7"/>
        <v>—</v>
      </c>
      <c r="E163" s="25">
        <f t="shared" ca="1" si="8"/>
        <v>7</v>
      </c>
    </row>
    <row r="164" spans="1:5" x14ac:dyDescent="0.25">
      <c r="A164" s="8">
        <f t="shared" si="6"/>
        <v>73</v>
      </c>
      <c r="B164" t="str">
        <f ca="1">TEXT(DATE(YEAR(Invoer!$A$5),1,1)+INT((ROWS(B$2:B164)-1)/3),"jjjjmmdd")</f>
        <v>19450224</v>
      </c>
      <c r="C164" s="20" t="str">
        <f>INDEX(Data,2,2+MOD(ROWS(C$2:C164)-1,3))</f>
        <v>08.00</v>
      </c>
      <c r="D164" s="14" t="str">
        <f t="shared" ca="1" si="7"/>
        <v>—</v>
      </c>
      <c r="E164" s="25">
        <f t="shared" ca="1" si="8"/>
        <v>7</v>
      </c>
    </row>
    <row r="165" spans="1:5" x14ac:dyDescent="0.25">
      <c r="A165" s="8">
        <f t="shared" si="6"/>
        <v>73</v>
      </c>
      <c r="B165" t="str">
        <f ca="1">TEXT(DATE(YEAR(Invoer!$A$5),1,1)+INT((ROWS(B$2:B165)-1)/3),"jjjjmmdd")</f>
        <v>19450224</v>
      </c>
      <c r="C165" s="20" t="str">
        <f>INDEX(Data,2,2+MOD(ROWS(C$2:C165)-1,3))</f>
        <v>12.00</v>
      </c>
      <c r="D165" s="14" t="str">
        <f t="shared" ca="1" si="7"/>
        <v>—</v>
      </c>
      <c r="E165" s="25">
        <f t="shared" ca="1" si="8"/>
        <v>7</v>
      </c>
    </row>
    <row r="166" spans="1:5" x14ac:dyDescent="0.25">
      <c r="A166" s="8">
        <f t="shared" si="6"/>
        <v>73</v>
      </c>
      <c r="B166" t="str">
        <f ca="1">TEXT(DATE(YEAR(Invoer!$A$5),1,1)+INT((ROWS(B$2:B166)-1)/3),"jjjjmmdd")</f>
        <v>19450224</v>
      </c>
      <c r="C166" s="20" t="str">
        <f>INDEX(Data,2,2+MOD(ROWS(C$2:C166)-1,3))</f>
        <v>16.00</v>
      </c>
      <c r="D166" s="14" t="str">
        <f t="shared" ca="1" si="7"/>
        <v>—</v>
      </c>
      <c r="E166" s="25">
        <f t="shared" ca="1" si="8"/>
        <v>7</v>
      </c>
    </row>
    <row r="167" spans="1:5" x14ac:dyDescent="0.25">
      <c r="A167" s="8">
        <f t="shared" si="6"/>
        <v>73</v>
      </c>
      <c r="B167" t="str">
        <f ca="1">TEXT(DATE(YEAR(Invoer!$A$5),1,1)+INT((ROWS(B$2:B167)-1)/3),"jjjjmmdd")</f>
        <v>19450225</v>
      </c>
      <c r="C167" s="20" t="str">
        <f>INDEX(Data,2,2+MOD(ROWS(C$2:C167)-1,3))</f>
        <v>08.00</v>
      </c>
      <c r="D167" s="14" t="str">
        <f t="shared" ca="1" si="7"/>
        <v>—</v>
      </c>
      <c r="E167" s="25">
        <f t="shared" ca="1" si="8"/>
        <v>7</v>
      </c>
    </row>
    <row r="168" spans="1:5" x14ac:dyDescent="0.25">
      <c r="A168" s="8">
        <f t="shared" si="6"/>
        <v>73</v>
      </c>
      <c r="B168" t="str">
        <f ca="1">TEXT(DATE(YEAR(Invoer!$A$5),1,1)+INT((ROWS(B$2:B168)-1)/3),"jjjjmmdd")</f>
        <v>19450225</v>
      </c>
      <c r="C168" s="20" t="str">
        <f>INDEX(Data,2,2+MOD(ROWS(C$2:C168)-1,3))</f>
        <v>12.00</v>
      </c>
      <c r="D168" s="14" t="str">
        <f t="shared" ca="1" si="7"/>
        <v>—</v>
      </c>
      <c r="E168" s="25">
        <f t="shared" ca="1" si="8"/>
        <v>7</v>
      </c>
    </row>
    <row r="169" spans="1:5" x14ac:dyDescent="0.25">
      <c r="A169" s="8">
        <f t="shared" si="6"/>
        <v>73</v>
      </c>
      <c r="B169" t="str">
        <f ca="1">TEXT(DATE(YEAR(Invoer!$A$5),1,1)+INT((ROWS(B$2:B169)-1)/3),"jjjjmmdd")</f>
        <v>19450225</v>
      </c>
      <c r="C169" s="20" t="str">
        <f>INDEX(Data,2,2+MOD(ROWS(C$2:C169)-1,3))</f>
        <v>16.00</v>
      </c>
      <c r="D169" s="14" t="str">
        <f t="shared" ca="1" si="7"/>
        <v>—</v>
      </c>
      <c r="E169" s="25">
        <f t="shared" ca="1" si="8"/>
        <v>7</v>
      </c>
    </row>
    <row r="170" spans="1:5" x14ac:dyDescent="0.25">
      <c r="A170" s="8">
        <f t="shared" si="6"/>
        <v>73</v>
      </c>
      <c r="B170" t="str">
        <f ca="1">TEXT(DATE(YEAR(Invoer!$A$5),1,1)+INT((ROWS(B$2:B170)-1)/3),"jjjjmmdd")</f>
        <v>19450226</v>
      </c>
      <c r="C170" s="20" t="str">
        <f>INDEX(Data,2,2+MOD(ROWS(C$2:C170)-1,3))</f>
        <v>08.00</v>
      </c>
      <c r="D170" s="14" t="str">
        <f t="shared" ca="1" si="7"/>
        <v>—</v>
      </c>
      <c r="E170" s="25">
        <f t="shared" ca="1" si="8"/>
        <v>7</v>
      </c>
    </row>
    <row r="171" spans="1:5" x14ac:dyDescent="0.25">
      <c r="A171" s="8">
        <f t="shared" si="6"/>
        <v>73</v>
      </c>
      <c r="B171" t="str">
        <f ca="1">TEXT(DATE(YEAR(Invoer!$A$5),1,1)+INT((ROWS(B$2:B171)-1)/3),"jjjjmmdd")</f>
        <v>19450226</v>
      </c>
      <c r="C171" s="20" t="str">
        <f>INDEX(Data,2,2+MOD(ROWS(C$2:C171)-1,3))</f>
        <v>12.00</v>
      </c>
      <c r="D171" s="14" t="str">
        <f t="shared" ca="1" si="7"/>
        <v>—</v>
      </c>
      <c r="E171" s="25">
        <f t="shared" ca="1" si="8"/>
        <v>7</v>
      </c>
    </row>
    <row r="172" spans="1:5" x14ac:dyDescent="0.25">
      <c r="A172" s="8">
        <f t="shared" si="6"/>
        <v>73</v>
      </c>
      <c r="B172" t="str">
        <f ca="1">TEXT(DATE(YEAR(Invoer!$A$5),1,1)+INT((ROWS(B$2:B172)-1)/3),"jjjjmmdd")</f>
        <v>19450226</v>
      </c>
      <c r="C172" s="20" t="str">
        <f>INDEX(Data,2,2+MOD(ROWS(C$2:C172)-1,3))</f>
        <v>16.00</v>
      </c>
      <c r="D172" s="14" t="str">
        <f t="shared" ca="1" si="7"/>
        <v>—</v>
      </c>
      <c r="E172" s="25">
        <f t="shared" ca="1" si="8"/>
        <v>7</v>
      </c>
    </row>
    <row r="173" spans="1:5" x14ac:dyDescent="0.25">
      <c r="A173" s="8">
        <f t="shared" si="6"/>
        <v>73</v>
      </c>
      <c r="B173" t="str">
        <f ca="1">TEXT(DATE(YEAR(Invoer!$A$5),1,1)+INT((ROWS(B$2:B173)-1)/3),"jjjjmmdd")</f>
        <v>19450227</v>
      </c>
      <c r="C173" s="20" t="str">
        <f>INDEX(Data,2,2+MOD(ROWS(C$2:C173)-1,3))</f>
        <v>08.00</v>
      </c>
      <c r="D173" s="14" t="str">
        <f t="shared" ca="1" si="7"/>
        <v>—</v>
      </c>
      <c r="E173" s="25">
        <f t="shared" ca="1" si="8"/>
        <v>7</v>
      </c>
    </row>
    <row r="174" spans="1:5" x14ac:dyDescent="0.25">
      <c r="A174" s="8">
        <f t="shared" si="6"/>
        <v>73</v>
      </c>
      <c r="B174" t="str">
        <f ca="1">TEXT(DATE(YEAR(Invoer!$A$5),1,1)+INT((ROWS(B$2:B174)-1)/3),"jjjjmmdd")</f>
        <v>19450227</v>
      </c>
      <c r="C174" s="20" t="str">
        <f>INDEX(Data,2,2+MOD(ROWS(C$2:C174)-1,3))</f>
        <v>12.00</v>
      </c>
      <c r="D174" s="14" t="str">
        <f t="shared" ca="1" si="7"/>
        <v>—</v>
      </c>
      <c r="E174" s="25">
        <f t="shared" ca="1" si="8"/>
        <v>7</v>
      </c>
    </row>
    <row r="175" spans="1:5" x14ac:dyDescent="0.25">
      <c r="A175" s="8">
        <f t="shared" si="6"/>
        <v>73</v>
      </c>
      <c r="B175" t="str">
        <f ca="1">TEXT(DATE(YEAR(Invoer!$A$5),1,1)+INT((ROWS(B$2:B175)-1)/3),"jjjjmmdd")</f>
        <v>19450227</v>
      </c>
      <c r="C175" s="20" t="str">
        <f>INDEX(Data,2,2+MOD(ROWS(C$2:C175)-1,3))</f>
        <v>16.00</v>
      </c>
      <c r="D175" s="14" t="str">
        <f t="shared" ca="1" si="7"/>
        <v>—</v>
      </c>
      <c r="E175" s="25">
        <f t="shared" ca="1" si="8"/>
        <v>7</v>
      </c>
    </row>
    <row r="176" spans="1:5" x14ac:dyDescent="0.25">
      <c r="A176" s="8">
        <f t="shared" si="6"/>
        <v>73</v>
      </c>
      <c r="B176" t="str">
        <f ca="1">TEXT(DATE(YEAR(Invoer!$A$5),1,1)+INT((ROWS(B$2:B176)-1)/3),"jjjjmmdd")</f>
        <v>19450228</v>
      </c>
      <c r="C176" s="20" t="str">
        <f>INDEX(Data,2,2+MOD(ROWS(C$2:C176)-1,3))</f>
        <v>08.00</v>
      </c>
      <c r="D176" s="14" t="str">
        <f t="shared" ca="1" si="7"/>
        <v>—</v>
      </c>
      <c r="E176" s="25">
        <f t="shared" ca="1" si="8"/>
        <v>7</v>
      </c>
    </row>
    <row r="177" spans="1:5" x14ac:dyDescent="0.25">
      <c r="A177" s="8">
        <f t="shared" si="6"/>
        <v>73</v>
      </c>
      <c r="B177" t="str">
        <f ca="1">TEXT(DATE(YEAR(Invoer!$A$5),1,1)+INT((ROWS(B$2:B177)-1)/3),"jjjjmmdd")</f>
        <v>19450228</v>
      </c>
      <c r="C177" s="20" t="str">
        <f>INDEX(Data,2,2+MOD(ROWS(C$2:C177)-1,3))</f>
        <v>12.00</v>
      </c>
      <c r="D177" s="14" t="str">
        <f t="shared" ca="1" si="7"/>
        <v>—</v>
      </c>
      <c r="E177" s="25">
        <f t="shared" ca="1" si="8"/>
        <v>7</v>
      </c>
    </row>
    <row r="178" spans="1:5" x14ac:dyDescent="0.25">
      <c r="A178" s="8">
        <f t="shared" si="6"/>
        <v>73</v>
      </c>
      <c r="B178" t="str">
        <f ca="1">TEXT(DATE(YEAR(Invoer!$A$5),1,1)+INT((ROWS(B$2:B178)-1)/3),"jjjjmmdd")</f>
        <v>19450228</v>
      </c>
      <c r="C178" s="20" t="str">
        <f>INDEX(Data,2,2+MOD(ROWS(C$2:C178)-1,3))</f>
        <v>16.00</v>
      </c>
      <c r="D178" s="14" t="str">
        <f t="shared" ca="1" si="7"/>
        <v>—</v>
      </c>
      <c r="E178" s="25">
        <f t="shared" ca="1" si="8"/>
        <v>7</v>
      </c>
    </row>
    <row r="179" spans="1:5" x14ac:dyDescent="0.25">
      <c r="A179" s="8">
        <f t="shared" si="6"/>
        <v>73</v>
      </c>
      <c r="B179" t="str">
        <f ca="1">TEXT(DATE(YEAR(Invoer!$A$5),1,1)+INT((ROWS(B$2:B179)-1)/3),"jjjjmmdd")</f>
        <v>19450301</v>
      </c>
      <c r="C179" s="20" t="str">
        <f>INDEX(Data,2,2+MOD(ROWS(C$2:C179)-1,3))</f>
        <v>08.00</v>
      </c>
      <c r="D179" s="14" t="str">
        <f t="shared" ca="1" si="7"/>
        <v>—</v>
      </c>
      <c r="E179" s="25">
        <f t="shared" ca="1" si="8"/>
        <v>7</v>
      </c>
    </row>
    <row r="180" spans="1:5" x14ac:dyDescent="0.25">
      <c r="A180" s="8">
        <f t="shared" si="6"/>
        <v>73</v>
      </c>
      <c r="B180" t="str">
        <f ca="1">TEXT(DATE(YEAR(Invoer!$A$5),1,1)+INT((ROWS(B$2:B180)-1)/3),"jjjjmmdd")</f>
        <v>19450301</v>
      </c>
      <c r="C180" s="20" t="str">
        <f>INDEX(Data,2,2+MOD(ROWS(C$2:C180)-1,3))</f>
        <v>12.00</v>
      </c>
      <c r="D180" s="14" t="str">
        <f t="shared" ca="1" si="7"/>
        <v>—</v>
      </c>
      <c r="E180" s="25">
        <f t="shared" ca="1" si="8"/>
        <v>7</v>
      </c>
    </row>
    <row r="181" spans="1:5" x14ac:dyDescent="0.25">
      <c r="A181" s="8">
        <f t="shared" si="6"/>
        <v>73</v>
      </c>
      <c r="B181" t="str">
        <f ca="1">TEXT(DATE(YEAR(Invoer!$A$5),1,1)+INT((ROWS(B$2:B181)-1)/3),"jjjjmmdd")</f>
        <v>19450301</v>
      </c>
      <c r="C181" s="20" t="str">
        <f>INDEX(Data,2,2+MOD(ROWS(C$2:C181)-1,3))</f>
        <v>16.00</v>
      </c>
      <c r="D181" s="14" t="str">
        <f t="shared" ca="1" si="7"/>
        <v>—</v>
      </c>
      <c r="E181" s="25">
        <f t="shared" ca="1" si="8"/>
        <v>7</v>
      </c>
    </row>
    <row r="182" spans="1:5" x14ac:dyDescent="0.25">
      <c r="A182" s="8">
        <f t="shared" si="6"/>
        <v>73</v>
      </c>
      <c r="B182" t="str">
        <f ca="1">TEXT(DATE(YEAR(Invoer!$A$5),1,1)+INT((ROWS(B$2:B182)-1)/3),"jjjjmmdd")</f>
        <v>19450302</v>
      </c>
      <c r="C182" s="20" t="str">
        <f>INDEX(Data,2,2+MOD(ROWS(C$2:C182)-1,3))</f>
        <v>08.00</v>
      </c>
      <c r="D182" s="14" t="str">
        <f t="shared" ca="1" si="7"/>
        <v>—</v>
      </c>
      <c r="E182" s="25">
        <f t="shared" ca="1" si="8"/>
        <v>7</v>
      </c>
    </row>
    <row r="183" spans="1:5" x14ac:dyDescent="0.25">
      <c r="A183" s="8">
        <f t="shared" si="6"/>
        <v>73</v>
      </c>
      <c r="B183" t="str">
        <f ca="1">TEXT(DATE(YEAR(Invoer!$A$5),1,1)+INT((ROWS(B$2:B183)-1)/3),"jjjjmmdd")</f>
        <v>19450302</v>
      </c>
      <c r="C183" s="20" t="str">
        <f>INDEX(Data,2,2+MOD(ROWS(C$2:C183)-1,3))</f>
        <v>12.00</v>
      </c>
      <c r="D183" s="14" t="str">
        <f t="shared" ca="1" si="7"/>
        <v>—</v>
      </c>
      <c r="E183" s="25">
        <f t="shared" ca="1" si="8"/>
        <v>7</v>
      </c>
    </row>
    <row r="184" spans="1:5" x14ac:dyDescent="0.25">
      <c r="A184" s="8">
        <f t="shared" si="6"/>
        <v>73</v>
      </c>
      <c r="B184" t="str">
        <f ca="1">TEXT(DATE(YEAR(Invoer!$A$5),1,1)+INT((ROWS(B$2:B184)-1)/3),"jjjjmmdd")</f>
        <v>19450302</v>
      </c>
      <c r="C184" s="20" t="str">
        <f>INDEX(Data,2,2+MOD(ROWS(C$2:C184)-1,3))</f>
        <v>16.00</v>
      </c>
      <c r="D184" s="14" t="str">
        <f t="shared" ca="1" si="7"/>
        <v>—</v>
      </c>
      <c r="E184" s="25">
        <f t="shared" ca="1" si="8"/>
        <v>7</v>
      </c>
    </row>
    <row r="185" spans="1:5" x14ac:dyDescent="0.25">
      <c r="A185" s="8">
        <f t="shared" si="6"/>
        <v>73</v>
      </c>
      <c r="B185" t="str">
        <f ca="1">TEXT(DATE(YEAR(Invoer!$A$5),1,1)+INT((ROWS(B$2:B185)-1)/3),"jjjjmmdd")</f>
        <v>19450303</v>
      </c>
      <c r="C185" s="20" t="str">
        <f>INDEX(Data,2,2+MOD(ROWS(C$2:C185)-1,3))</f>
        <v>08.00</v>
      </c>
      <c r="D185" s="14" t="str">
        <f t="shared" ca="1" si="7"/>
        <v>—</v>
      </c>
      <c r="E185" s="25">
        <f t="shared" ca="1" si="8"/>
        <v>7</v>
      </c>
    </row>
    <row r="186" spans="1:5" x14ac:dyDescent="0.25">
      <c r="A186" s="8">
        <f t="shared" si="6"/>
        <v>73</v>
      </c>
      <c r="B186" t="str">
        <f ca="1">TEXT(DATE(YEAR(Invoer!$A$5),1,1)+INT((ROWS(B$2:B186)-1)/3),"jjjjmmdd")</f>
        <v>19450303</v>
      </c>
      <c r="C186" s="20" t="str">
        <f>INDEX(Data,2,2+MOD(ROWS(C$2:C186)-1,3))</f>
        <v>12.00</v>
      </c>
      <c r="D186" s="14" t="str">
        <f t="shared" ca="1" si="7"/>
        <v>—</v>
      </c>
      <c r="E186" s="25">
        <f t="shared" ca="1" si="8"/>
        <v>7</v>
      </c>
    </row>
    <row r="187" spans="1:5" x14ac:dyDescent="0.25">
      <c r="A187" s="8">
        <f t="shared" si="6"/>
        <v>73</v>
      </c>
      <c r="B187" t="str">
        <f ca="1">TEXT(DATE(YEAR(Invoer!$A$5),1,1)+INT((ROWS(B$2:B187)-1)/3),"jjjjmmdd")</f>
        <v>19450303</v>
      </c>
      <c r="C187" s="20" t="str">
        <f>INDEX(Data,2,2+MOD(ROWS(C$2:C187)-1,3))</f>
        <v>16.00</v>
      </c>
      <c r="D187" s="14" t="str">
        <f t="shared" ca="1" si="7"/>
        <v>—</v>
      </c>
      <c r="E187" s="25">
        <f t="shared" ca="1" si="8"/>
        <v>7</v>
      </c>
    </row>
    <row r="188" spans="1:5" x14ac:dyDescent="0.25">
      <c r="A188" s="8">
        <f t="shared" si="6"/>
        <v>73</v>
      </c>
      <c r="B188" t="str">
        <f ca="1">TEXT(DATE(YEAR(Invoer!$A$5),1,1)+INT((ROWS(B$2:B188)-1)/3),"jjjjmmdd")</f>
        <v>19450304</v>
      </c>
      <c r="C188" s="20" t="str">
        <f>INDEX(Data,2,2+MOD(ROWS(C$2:C188)-1,3))</f>
        <v>08.00</v>
      </c>
      <c r="D188" s="14" t="str">
        <f t="shared" ca="1" si="7"/>
        <v>—</v>
      </c>
      <c r="E188" s="25">
        <f t="shared" ca="1" si="8"/>
        <v>7</v>
      </c>
    </row>
    <row r="189" spans="1:5" x14ac:dyDescent="0.25">
      <c r="A189" s="8">
        <f t="shared" si="6"/>
        <v>73</v>
      </c>
      <c r="B189" t="str">
        <f ca="1">TEXT(DATE(YEAR(Invoer!$A$5),1,1)+INT((ROWS(B$2:B189)-1)/3),"jjjjmmdd")</f>
        <v>19450304</v>
      </c>
      <c r="C189" s="20" t="str">
        <f>INDEX(Data,2,2+MOD(ROWS(C$2:C189)-1,3))</f>
        <v>12.00</v>
      </c>
      <c r="D189" s="14" t="str">
        <f t="shared" ca="1" si="7"/>
        <v>—</v>
      </c>
      <c r="E189" s="25">
        <f t="shared" ca="1" si="8"/>
        <v>7</v>
      </c>
    </row>
    <row r="190" spans="1:5" x14ac:dyDescent="0.25">
      <c r="A190" s="8">
        <f t="shared" si="6"/>
        <v>73</v>
      </c>
      <c r="B190" t="str">
        <f ca="1">TEXT(DATE(YEAR(Invoer!$A$5),1,1)+INT((ROWS(B$2:B190)-1)/3),"jjjjmmdd")</f>
        <v>19450304</v>
      </c>
      <c r="C190" s="20" t="str">
        <f>INDEX(Data,2,2+MOD(ROWS(C$2:C190)-1,3))</f>
        <v>16.00</v>
      </c>
      <c r="D190" s="14" t="str">
        <f t="shared" ca="1" si="7"/>
        <v>—</v>
      </c>
      <c r="E190" s="25">
        <f t="shared" ca="1" si="8"/>
        <v>7</v>
      </c>
    </row>
    <row r="191" spans="1:5" x14ac:dyDescent="0.25">
      <c r="A191" s="8">
        <f t="shared" si="6"/>
        <v>73</v>
      </c>
      <c r="B191" t="str">
        <f ca="1">TEXT(DATE(YEAR(Invoer!$A$5),1,1)+INT((ROWS(B$2:B191)-1)/3),"jjjjmmdd")</f>
        <v>19450305</v>
      </c>
      <c r="C191" s="20" t="str">
        <f>INDEX(Data,2,2+MOD(ROWS(C$2:C191)-1,3))</f>
        <v>08.00</v>
      </c>
      <c r="D191" s="14" t="str">
        <f t="shared" ca="1" si="7"/>
        <v>—</v>
      </c>
      <c r="E191" s="25">
        <f t="shared" ca="1" si="8"/>
        <v>7</v>
      </c>
    </row>
    <row r="192" spans="1:5" x14ac:dyDescent="0.25">
      <c r="A192" s="8">
        <f t="shared" si="6"/>
        <v>73</v>
      </c>
      <c r="B192" t="str">
        <f ca="1">TEXT(DATE(YEAR(Invoer!$A$5),1,1)+INT((ROWS(B$2:B192)-1)/3),"jjjjmmdd")</f>
        <v>19450305</v>
      </c>
      <c r="C192" s="20" t="str">
        <f>INDEX(Data,2,2+MOD(ROWS(C$2:C192)-1,3))</f>
        <v>12.00</v>
      </c>
      <c r="D192" s="14" t="str">
        <f t="shared" ca="1" si="7"/>
        <v>—</v>
      </c>
      <c r="E192" s="25">
        <f t="shared" ca="1" si="8"/>
        <v>7</v>
      </c>
    </row>
    <row r="193" spans="1:5" x14ac:dyDescent="0.25">
      <c r="A193" s="8">
        <f t="shared" si="6"/>
        <v>73</v>
      </c>
      <c r="B193" t="str">
        <f ca="1">TEXT(DATE(YEAR(Invoer!$A$5),1,1)+INT((ROWS(B$2:B193)-1)/3),"jjjjmmdd")</f>
        <v>19450305</v>
      </c>
      <c r="C193" s="20" t="str">
        <f>INDEX(Data,2,2+MOD(ROWS(C$2:C193)-1,3))</f>
        <v>16.00</v>
      </c>
      <c r="D193" s="14" t="str">
        <f t="shared" ca="1" si="7"/>
        <v>—</v>
      </c>
      <c r="E193" s="25">
        <f t="shared" ca="1" si="8"/>
        <v>7</v>
      </c>
    </row>
    <row r="194" spans="1:5" x14ac:dyDescent="0.25">
      <c r="A194" s="8">
        <f t="shared" ref="A194:A257" si="9">INDEX(Stations,2,1)</f>
        <v>73</v>
      </c>
      <c r="B194" t="str">
        <f ca="1">TEXT(DATE(YEAR(Invoer!$A$5),1,1)+INT((ROWS(B$2:B194)-1)/3),"jjjjmmdd")</f>
        <v>19450306</v>
      </c>
      <c r="C194" s="20" t="str">
        <f>INDEX(Data,2,2+MOD(ROWS(C$2:C194)-1,3))</f>
        <v>08.00</v>
      </c>
      <c r="D194" s="14" t="str">
        <f t="shared" ref="D194:D257" ca="1" si="10">IF(OR(ISBLANK(VLOOKUP(DATEVALUE(LEFT($B194,4)&amp;"-"&amp;MID($B194,5,2)&amp;"-"&amp;RIGHT($B194,2)),Data,MATCH(LEFT(VLOOKUP(D$1,Parameters,2,FALSE()),4)&amp;"*",OFFSET(Data,0,0,1),0)+MATCH($C194,OFFSET(Data,1,0,1),0)-2,FALSE())),ISTEXT(VLOOKUP(DATEVALUE(LEFT($B194,4)&amp;"-"&amp;MID($B194,5,2)&amp;"-"&amp;RIGHT($B194,2)),Data,MATCH(LEFT(VLOOKUP(D$1,Parameters,2,FALSE()),4)&amp;"*",OFFSET(Data,0,0,1),0)+MATCH($C194,OFFSET(Data,1,0,1),0)-2,FALSE()))),"—",VLOOKUP(DATEVALUE(LEFT($B194,4)&amp;"-"&amp;MID($B194,5,2)&amp;"-"&amp;RIGHT($B194,2)),Data,MATCH(LEFT(VLOOKUP(D$1,Parameters,2,FALSE()),4)&amp;"*",OFFSET(Data,0,0,1),0)+MATCH($C194,OFFSET(Data,1,0,1),0)-2,FALSE()))</f>
        <v>—</v>
      </c>
      <c r="E194" s="25">
        <f t="shared" ref="E194:E257" ca="1" si="11">IF(OR(ISBLANK(VLOOKUP(DATEVALUE(LEFT($B194,4)&amp;"-"&amp;MID($B194,5,2)&amp;"-"&amp;RIGHT($B194,2)),Data,MATCH(LEFT(VLOOKUP(MID(E$1,2,LEN(E$1)-1),Parameters,2,FALSE()),4)&amp;"*",OFFSET(Data,0,0,1),0)+MATCH($C194,OFFSET(Data,1,0,1),0)-2,FALSE())),ISTEXT(VLOOKUP(DATEVALUE(LEFT($B194,4)&amp;"-"&amp;MID($B194,5,2)&amp;"-"&amp;RIGHT($B194,2)),Data,MATCH(LEFT(VLOOKUP(MID(E$1,2,LEN(E$1)-1),Parameters,2,FALSE()),4)&amp;"*",OFFSET(Data,0,0,1),0)+MATCH($C194,OFFSET(Data,1,0,1),0)-2,FALSE()))),Lacking,IF(ISNA(MATCH(DATEVALUE(LEFT($B194,4)&amp;"-"&amp;MID($B194,5,2)&amp;"-"&amp;RIGHT($B194,2)),OFFSET(Catalogus,0,0,,1),0)),Ok,VLOOKUP(DATEVALUE(LEFT($B194,4)&amp;"-"&amp;MID($B194,5,2)&amp;"-"&amp;RIGHT($B194,2)),Catalogus,MATCH(LEFT(VLOOKUP(MID(E$1,2,LEN(E$1)-1),Parameters,2,FALSE()),4)&amp;"*",OFFSET(Catalogus,0,0,1),0)+MATCH($C194,OFFSET(Catalogus,1,0,1),0)-2,FALSE())))</f>
        <v>7</v>
      </c>
    </row>
    <row r="195" spans="1:5" x14ac:dyDescent="0.25">
      <c r="A195" s="8">
        <f t="shared" si="9"/>
        <v>73</v>
      </c>
      <c r="B195" t="str">
        <f ca="1">TEXT(DATE(YEAR(Invoer!$A$5),1,1)+INT((ROWS(B$2:B195)-1)/3),"jjjjmmdd")</f>
        <v>19450306</v>
      </c>
      <c r="C195" s="20" t="str">
        <f>INDEX(Data,2,2+MOD(ROWS(C$2:C195)-1,3))</f>
        <v>12.00</v>
      </c>
      <c r="D195" s="14" t="str">
        <f t="shared" ca="1" si="10"/>
        <v>—</v>
      </c>
      <c r="E195" s="25">
        <f t="shared" ca="1" si="11"/>
        <v>7</v>
      </c>
    </row>
    <row r="196" spans="1:5" x14ac:dyDescent="0.25">
      <c r="A196" s="8">
        <f t="shared" si="9"/>
        <v>73</v>
      </c>
      <c r="B196" t="str">
        <f ca="1">TEXT(DATE(YEAR(Invoer!$A$5),1,1)+INT((ROWS(B$2:B196)-1)/3),"jjjjmmdd")</f>
        <v>19450306</v>
      </c>
      <c r="C196" s="20" t="str">
        <f>INDEX(Data,2,2+MOD(ROWS(C$2:C196)-1,3))</f>
        <v>16.00</v>
      </c>
      <c r="D196" s="14" t="str">
        <f t="shared" ca="1" si="10"/>
        <v>—</v>
      </c>
      <c r="E196" s="25">
        <f t="shared" ca="1" si="11"/>
        <v>7</v>
      </c>
    </row>
    <row r="197" spans="1:5" x14ac:dyDescent="0.25">
      <c r="A197" s="8">
        <f t="shared" si="9"/>
        <v>73</v>
      </c>
      <c r="B197" t="str">
        <f ca="1">TEXT(DATE(YEAR(Invoer!$A$5),1,1)+INT((ROWS(B$2:B197)-1)/3),"jjjjmmdd")</f>
        <v>19450307</v>
      </c>
      <c r="C197" s="20" t="str">
        <f>INDEX(Data,2,2+MOD(ROWS(C$2:C197)-1,3))</f>
        <v>08.00</v>
      </c>
      <c r="D197" s="14" t="str">
        <f t="shared" ca="1" si="10"/>
        <v>—</v>
      </c>
      <c r="E197" s="25">
        <f t="shared" ca="1" si="11"/>
        <v>7</v>
      </c>
    </row>
    <row r="198" spans="1:5" x14ac:dyDescent="0.25">
      <c r="A198" s="8">
        <f t="shared" si="9"/>
        <v>73</v>
      </c>
      <c r="B198" t="str">
        <f ca="1">TEXT(DATE(YEAR(Invoer!$A$5),1,1)+INT((ROWS(B$2:B198)-1)/3),"jjjjmmdd")</f>
        <v>19450307</v>
      </c>
      <c r="C198" s="20" t="str">
        <f>INDEX(Data,2,2+MOD(ROWS(C$2:C198)-1,3))</f>
        <v>12.00</v>
      </c>
      <c r="D198" s="14" t="str">
        <f t="shared" ca="1" si="10"/>
        <v>—</v>
      </c>
      <c r="E198" s="25">
        <f t="shared" ca="1" si="11"/>
        <v>7</v>
      </c>
    </row>
    <row r="199" spans="1:5" x14ac:dyDescent="0.25">
      <c r="A199" s="8">
        <f t="shared" si="9"/>
        <v>73</v>
      </c>
      <c r="B199" t="str">
        <f ca="1">TEXT(DATE(YEAR(Invoer!$A$5),1,1)+INT((ROWS(B$2:B199)-1)/3),"jjjjmmdd")</f>
        <v>19450307</v>
      </c>
      <c r="C199" s="20" t="str">
        <f>INDEX(Data,2,2+MOD(ROWS(C$2:C199)-1,3))</f>
        <v>16.00</v>
      </c>
      <c r="D199" s="14" t="str">
        <f t="shared" ca="1" si="10"/>
        <v>—</v>
      </c>
      <c r="E199" s="25">
        <f t="shared" ca="1" si="11"/>
        <v>7</v>
      </c>
    </row>
    <row r="200" spans="1:5" x14ac:dyDescent="0.25">
      <c r="A200" s="8">
        <f t="shared" si="9"/>
        <v>73</v>
      </c>
      <c r="B200" t="str">
        <f ca="1">TEXT(DATE(YEAR(Invoer!$A$5),1,1)+INT((ROWS(B$2:B200)-1)/3),"jjjjmmdd")</f>
        <v>19450308</v>
      </c>
      <c r="C200" s="20" t="str">
        <f>INDEX(Data,2,2+MOD(ROWS(C$2:C200)-1,3))</f>
        <v>08.00</v>
      </c>
      <c r="D200" s="14" t="str">
        <f t="shared" ca="1" si="10"/>
        <v>—</v>
      </c>
      <c r="E200" s="25">
        <f t="shared" ca="1" si="11"/>
        <v>7</v>
      </c>
    </row>
    <row r="201" spans="1:5" x14ac:dyDescent="0.25">
      <c r="A201" s="8">
        <f t="shared" si="9"/>
        <v>73</v>
      </c>
      <c r="B201" t="str">
        <f ca="1">TEXT(DATE(YEAR(Invoer!$A$5),1,1)+INT((ROWS(B$2:B201)-1)/3),"jjjjmmdd")</f>
        <v>19450308</v>
      </c>
      <c r="C201" s="20" t="str">
        <f>INDEX(Data,2,2+MOD(ROWS(C$2:C201)-1,3))</f>
        <v>12.00</v>
      </c>
      <c r="D201" s="14" t="str">
        <f t="shared" ca="1" si="10"/>
        <v>—</v>
      </c>
      <c r="E201" s="25">
        <f t="shared" ca="1" si="11"/>
        <v>7</v>
      </c>
    </row>
    <row r="202" spans="1:5" x14ac:dyDescent="0.25">
      <c r="A202" s="8">
        <f t="shared" si="9"/>
        <v>73</v>
      </c>
      <c r="B202" t="str">
        <f ca="1">TEXT(DATE(YEAR(Invoer!$A$5),1,1)+INT((ROWS(B$2:B202)-1)/3),"jjjjmmdd")</f>
        <v>19450308</v>
      </c>
      <c r="C202" s="20" t="str">
        <f>INDEX(Data,2,2+MOD(ROWS(C$2:C202)-1,3))</f>
        <v>16.00</v>
      </c>
      <c r="D202" s="14" t="str">
        <f t="shared" ca="1" si="10"/>
        <v>—</v>
      </c>
      <c r="E202" s="25">
        <f t="shared" ca="1" si="11"/>
        <v>7</v>
      </c>
    </row>
    <row r="203" spans="1:5" x14ac:dyDescent="0.25">
      <c r="A203" s="8">
        <f t="shared" si="9"/>
        <v>73</v>
      </c>
      <c r="B203" t="str">
        <f ca="1">TEXT(DATE(YEAR(Invoer!$A$5),1,1)+INT((ROWS(B$2:B203)-1)/3),"jjjjmmdd")</f>
        <v>19450309</v>
      </c>
      <c r="C203" s="20" t="str">
        <f>INDEX(Data,2,2+MOD(ROWS(C$2:C203)-1,3))</f>
        <v>08.00</v>
      </c>
      <c r="D203" s="14" t="str">
        <f t="shared" ca="1" si="10"/>
        <v>—</v>
      </c>
      <c r="E203" s="25">
        <f t="shared" ca="1" si="11"/>
        <v>7</v>
      </c>
    </row>
    <row r="204" spans="1:5" x14ac:dyDescent="0.25">
      <c r="A204" s="8">
        <f t="shared" si="9"/>
        <v>73</v>
      </c>
      <c r="B204" t="str">
        <f ca="1">TEXT(DATE(YEAR(Invoer!$A$5),1,1)+INT((ROWS(B$2:B204)-1)/3),"jjjjmmdd")</f>
        <v>19450309</v>
      </c>
      <c r="C204" s="20" t="str">
        <f>INDEX(Data,2,2+MOD(ROWS(C$2:C204)-1,3))</f>
        <v>12.00</v>
      </c>
      <c r="D204" s="14" t="str">
        <f t="shared" ca="1" si="10"/>
        <v>—</v>
      </c>
      <c r="E204" s="25">
        <f t="shared" ca="1" si="11"/>
        <v>7</v>
      </c>
    </row>
    <row r="205" spans="1:5" x14ac:dyDescent="0.25">
      <c r="A205" s="8">
        <f t="shared" si="9"/>
        <v>73</v>
      </c>
      <c r="B205" t="str">
        <f ca="1">TEXT(DATE(YEAR(Invoer!$A$5),1,1)+INT((ROWS(B$2:B205)-1)/3),"jjjjmmdd")</f>
        <v>19450309</v>
      </c>
      <c r="C205" s="20" t="str">
        <f>INDEX(Data,2,2+MOD(ROWS(C$2:C205)-1,3))</f>
        <v>16.00</v>
      </c>
      <c r="D205" s="14" t="str">
        <f t="shared" ca="1" si="10"/>
        <v>—</v>
      </c>
      <c r="E205" s="25">
        <f t="shared" ca="1" si="11"/>
        <v>7</v>
      </c>
    </row>
    <row r="206" spans="1:5" x14ac:dyDescent="0.25">
      <c r="A206" s="8">
        <f t="shared" si="9"/>
        <v>73</v>
      </c>
      <c r="B206" t="str">
        <f ca="1">TEXT(DATE(YEAR(Invoer!$A$5),1,1)+INT((ROWS(B$2:B206)-1)/3),"jjjjmmdd")</f>
        <v>19450310</v>
      </c>
      <c r="C206" s="20" t="str">
        <f>INDEX(Data,2,2+MOD(ROWS(C$2:C206)-1,3))</f>
        <v>08.00</v>
      </c>
      <c r="D206" s="14" t="str">
        <f t="shared" ca="1" si="10"/>
        <v>—</v>
      </c>
      <c r="E206" s="25">
        <f t="shared" ca="1" si="11"/>
        <v>7</v>
      </c>
    </row>
    <row r="207" spans="1:5" x14ac:dyDescent="0.25">
      <c r="A207" s="8">
        <f t="shared" si="9"/>
        <v>73</v>
      </c>
      <c r="B207" t="str">
        <f ca="1">TEXT(DATE(YEAR(Invoer!$A$5),1,1)+INT((ROWS(B$2:B207)-1)/3),"jjjjmmdd")</f>
        <v>19450310</v>
      </c>
      <c r="C207" s="20" t="str">
        <f>INDEX(Data,2,2+MOD(ROWS(C$2:C207)-1,3))</f>
        <v>12.00</v>
      </c>
      <c r="D207" s="14" t="str">
        <f t="shared" ca="1" si="10"/>
        <v>—</v>
      </c>
      <c r="E207" s="25">
        <f t="shared" ca="1" si="11"/>
        <v>7</v>
      </c>
    </row>
    <row r="208" spans="1:5" x14ac:dyDescent="0.25">
      <c r="A208" s="8">
        <f t="shared" si="9"/>
        <v>73</v>
      </c>
      <c r="B208" t="str">
        <f ca="1">TEXT(DATE(YEAR(Invoer!$A$5),1,1)+INT((ROWS(B$2:B208)-1)/3),"jjjjmmdd")</f>
        <v>19450310</v>
      </c>
      <c r="C208" s="20" t="str">
        <f>INDEX(Data,2,2+MOD(ROWS(C$2:C208)-1,3))</f>
        <v>16.00</v>
      </c>
      <c r="D208" s="14" t="str">
        <f t="shared" ca="1" si="10"/>
        <v>—</v>
      </c>
      <c r="E208" s="25">
        <f t="shared" ca="1" si="11"/>
        <v>7</v>
      </c>
    </row>
    <row r="209" spans="1:5" x14ac:dyDescent="0.25">
      <c r="A209" s="8">
        <f t="shared" si="9"/>
        <v>73</v>
      </c>
      <c r="B209" t="str">
        <f ca="1">TEXT(DATE(YEAR(Invoer!$A$5),1,1)+INT((ROWS(B$2:B209)-1)/3),"jjjjmmdd")</f>
        <v>19450311</v>
      </c>
      <c r="C209" s="20" t="str">
        <f>INDEX(Data,2,2+MOD(ROWS(C$2:C209)-1,3))</f>
        <v>08.00</v>
      </c>
      <c r="D209" s="14" t="str">
        <f t="shared" ca="1" si="10"/>
        <v>—</v>
      </c>
      <c r="E209" s="25">
        <f t="shared" ca="1" si="11"/>
        <v>7</v>
      </c>
    </row>
    <row r="210" spans="1:5" x14ac:dyDescent="0.25">
      <c r="A210" s="8">
        <f t="shared" si="9"/>
        <v>73</v>
      </c>
      <c r="B210" t="str">
        <f ca="1">TEXT(DATE(YEAR(Invoer!$A$5),1,1)+INT((ROWS(B$2:B210)-1)/3),"jjjjmmdd")</f>
        <v>19450311</v>
      </c>
      <c r="C210" s="20" t="str">
        <f>INDEX(Data,2,2+MOD(ROWS(C$2:C210)-1,3))</f>
        <v>12.00</v>
      </c>
      <c r="D210" s="14" t="str">
        <f t="shared" ca="1" si="10"/>
        <v>—</v>
      </c>
      <c r="E210" s="25">
        <f t="shared" ca="1" si="11"/>
        <v>7</v>
      </c>
    </row>
    <row r="211" spans="1:5" x14ac:dyDescent="0.25">
      <c r="A211" s="8">
        <f t="shared" si="9"/>
        <v>73</v>
      </c>
      <c r="B211" t="str">
        <f ca="1">TEXT(DATE(YEAR(Invoer!$A$5),1,1)+INT((ROWS(B$2:B211)-1)/3),"jjjjmmdd")</f>
        <v>19450311</v>
      </c>
      <c r="C211" s="20" t="str">
        <f>INDEX(Data,2,2+MOD(ROWS(C$2:C211)-1,3))</f>
        <v>16.00</v>
      </c>
      <c r="D211" s="14" t="str">
        <f t="shared" ca="1" si="10"/>
        <v>—</v>
      </c>
      <c r="E211" s="25">
        <f t="shared" ca="1" si="11"/>
        <v>7</v>
      </c>
    </row>
    <row r="212" spans="1:5" x14ac:dyDescent="0.25">
      <c r="A212" s="8">
        <f t="shared" si="9"/>
        <v>73</v>
      </c>
      <c r="B212" t="str">
        <f ca="1">TEXT(DATE(YEAR(Invoer!$A$5),1,1)+INT((ROWS(B$2:B212)-1)/3),"jjjjmmdd")</f>
        <v>19450312</v>
      </c>
      <c r="C212" s="20" t="str">
        <f>INDEX(Data,2,2+MOD(ROWS(C$2:C212)-1,3))</f>
        <v>08.00</v>
      </c>
      <c r="D212" s="14" t="str">
        <f t="shared" ca="1" si="10"/>
        <v>—</v>
      </c>
      <c r="E212" s="25">
        <f t="shared" ca="1" si="11"/>
        <v>7</v>
      </c>
    </row>
    <row r="213" spans="1:5" x14ac:dyDescent="0.25">
      <c r="A213" s="8">
        <f t="shared" si="9"/>
        <v>73</v>
      </c>
      <c r="B213" t="str">
        <f ca="1">TEXT(DATE(YEAR(Invoer!$A$5),1,1)+INT((ROWS(B$2:B213)-1)/3),"jjjjmmdd")</f>
        <v>19450312</v>
      </c>
      <c r="C213" s="20" t="str">
        <f>INDEX(Data,2,2+MOD(ROWS(C$2:C213)-1,3))</f>
        <v>12.00</v>
      </c>
      <c r="D213" s="14" t="str">
        <f t="shared" ca="1" si="10"/>
        <v>—</v>
      </c>
      <c r="E213" s="25">
        <f t="shared" ca="1" si="11"/>
        <v>7</v>
      </c>
    </row>
    <row r="214" spans="1:5" x14ac:dyDescent="0.25">
      <c r="A214" s="8">
        <f t="shared" si="9"/>
        <v>73</v>
      </c>
      <c r="B214" t="str">
        <f ca="1">TEXT(DATE(YEAR(Invoer!$A$5),1,1)+INT((ROWS(B$2:B214)-1)/3),"jjjjmmdd")</f>
        <v>19450312</v>
      </c>
      <c r="C214" s="20" t="str">
        <f>INDEX(Data,2,2+MOD(ROWS(C$2:C214)-1,3))</f>
        <v>16.00</v>
      </c>
      <c r="D214" s="14" t="str">
        <f t="shared" ca="1" si="10"/>
        <v>—</v>
      </c>
      <c r="E214" s="25">
        <f t="shared" ca="1" si="11"/>
        <v>7</v>
      </c>
    </row>
    <row r="215" spans="1:5" x14ac:dyDescent="0.25">
      <c r="A215" s="8">
        <f t="shared" si="9"/>
        <v>73</v>
      </c>
      <c r="B215" t="str">
        <f ca="1">TEXT(DATE(YEAR(Invoer!$A$5),1,1)+INT((ROWS(B$2:B215)-1)/3),"jjjjmmdd")</f>
        <v>19450313</v>
      </c>
      <c r="C215" s="20" t="str">
        <f>INDEX(Data,2,2+MOD(ROWS(C$2:C215)-1,3))</f>
        <v>08.00</v>
      </c>
      <c r="D215" s="14" t="str">
        <f t="shared" ca="1" si="10"/>
        <v>—</v>
      </c>
      <c r="E215" s="25">
        <f t="shared" ca="1" si="11"/>
        <v>7</v>
      </c>
    </row>
    <row r="216" spans="1:5" x14ac:dyDescent="0.25">
      <c r="A216" s="8">
        <f t="shared" si="9"/>
        <v>73</v>
      </c>
      <c r="B216" t="str">
        <f ca="1">TEXT(DATE(YEAR(Invoer!$A$5),1,1)+INT((ROWS(B$2:B216)-1)/3),"jjjjmmdd")</f>
        <v>19450313</v>
      </c>
      <c r="C216" s="20" t="str">
        <f>INDEX(Data,2,2+MOD(ROWS(C$2:C216)-1,3))</f>
        <v>12.00</v>
      </c>
      <c r="D216" s="14" t="str">
        <f t="shared" ca="1" si="10"/>
        <v>—</v>
      </c>
      <c r="E216" s="25">
        <f t="shared" ca="1" si="11"/>
        <v>7</v>
      </c>
    </row>
    <row r="217" spans="1:5" x14ac:dyDescent="0.25">
      <c r="A217" s="8">
        <f t="shared" si="9"/>
        <v>73</v>
      </c>
      <c r="B217" t="str">
        <f ca="1">TEXT(DATE(YEAR(Invoer!$A$5),1,1)+INT((ROWS(B$2:B217)-1)/3),"jjjjmmdd")</f>
        <v>19450313</v>
      </c>
      <c r="C217" s="20" t="str">
        <f>INDEX(Data,2,2+MOD(ROWS(C$2:C217)-1,3))</f>
        <v>16.00</v>
      </c>
      <c r="D217" s="14" t="str">
        <f t="shared" ca="1" si="10"/>
        <v>—</v>
      </c>
      <c r="E217" s="25">
        <f t="shared" ca="1" si="11"/>
        <v>7</v>
      </c>
    </row>
    <row r="218" spans="1:5" x14ac:dyDescent="0.25">
      <c r="A218" s="8">
        <f t="shared" si="9"/>
        <v>73</v>
      </c>
      <c r="B218" t="str">
        <f ca="1">TEXT(DATE(YEAR(Invoer!$A$5),1,1)+INT((ROWS(B$2:B218)-1)/3),"jjjjmmdd")</f>
        <v>19450314</v>
      </c>
      <c r="C218" s="20" t="str">
        <f>INDEX(Data,2,2+MOD(ROWS(C$2:C218)-1,3))</f>
        <v>08.00</v>
      </c>
      <c r="D218" s="14" t="str">
        <f t="shared" ca="1" si="10"/>
        <v>—</v>
      </c>
      <c r="E218" s="25">
        <f t="shared" ca="1" si="11"/>
        <v>7</v>
      </c>
    </row>
    <row r="219" spans="1:5" x14ac:dyDescent="0.25">
      <c r="A219" s="8">
        <f t="shared" si="9"/>
        <v>73</v>
      </c>
      <c r="B219" t="str">
        <f ca="1">TEXT(DATE(YEAR(Invoer!$A$5),1,1)+INT((ROWS(B$2:B219)-1)/3),"jjjjmmdd")</f>
        <v>19450314</v>
      </c>
      <c r="C219" s="20" t="str">
        <f>INDEX(Data,2,2+MOD(ROWS(C$2:C219)-1,3))</f>
        <v>12.00</v>
      </c>
      <c r="D219" s="14" t="str">
        <f t="shared" ca="1" si="10"/>
        <v>—</v>
      </c>
      <c r="E219" s="25">
        <f t="shared" ca="1" si="11"/>
        <v>7</v>
      </c>
    </row>
    <row r="220" spans="1:5" x14ac:dyDescent="0.25">
      <c r="A220" s="8">
        <f t="shared" si="9"/>
        <v>73</v>
      </c>
      <c r="B220" t="str">
        <f ca="1">TEXT(DATE(YEAR(Invoer!$A$5),1,1)+INT((ROWS(B$2:B220)-1)/3),"jjjjmmdd")</f>
        <v>19450314</v>
      </c>
      <c r="C220" s="20" t="str">
        <f>INDEX(Data,2,2+MOD(ROWS(C$2:C220)-1,3))</f>
        <v>16.00</v>
      </c>
      <c r="D220" s="14" t="str">
        <f t="shared" ca="1" si="10"/>
        <v>—</v>
      </c>
      <c r="E220" s="25">
        <f t="shared" ca="1" si="11"/>
        <v>7</v>
      </c>
    </row>
    <row r="221" spans="1:5" x14ac:dyDescent="0.25">
      <c r="A221" s="8">
        <f t="shared" si="9"/>
        <v>73</v>
      </c>
      <c r="B221" t="str">
        <f ca="1">TEXT(DATE(YEAR(Invoer!$A$5),1,1)+INT((ROWS(B$2:B221)-1)/3),"jjjjmmdd")</f>
        <v>19450315</v>
      </c>
      <c r="C221" s="20" t="str">
        <f>INDEX(Data,2,2+MOD(ROWS(C$2:C221)-1,3))</f>
        <v>08.00</v>
      </c>
      <c r="D221" s="14" t="str">
        <f t="shared" ca="1" si="10"/>
        <v>—</v>
      </c>
      <c r="E221" s="25">
        <f t="shared" ca="1" si="11"/>
        <v>7</v>
      </c>
    </row>
    <row r="222" spans="1:5" x14ac:dyDescent="0.25">
      <c r="A222" s="8">
        <f t="shared" si="9"/>
        <v>73</v>
      </c>
      <c r="B222" t="str">
        <f ca="1">TEXT(DATE(YEAR(Invoer!$A$5),1,1)+INT((ROWS(B$2:B222)-1)/3),"jjjjmmdd")</f>
        <v>19450315</v>
      </c>
      <c r="C222" s="20" t="str">
        <f>INDEX(Data,2,2+MOD(ROWS(C$2:C222)-1,3))</f>
        <v>12.00</v>
      </c>
      <c r="D222" s="14" t="str">
        <f t="shared" ca="1" si="10"/>
        <v>—</v>
      </c>
      <c r="E222" s="25">
        <f t="shared" ca="1" si="11"/>
        <v>7</v>
      </c>
    </row>
    <row r="223" spans="1:5" x14ac:dyDescent="0.25">
      <c r="A223" s="8">
        <f t="shared" si="9"/>
        <v>73</v>
      </c>
      <c r="B223" t="str">
        <f ca="1">TEXT(DATE(YEAR(Invoer!$A$5),1,1)+INT((ROWS(B$2:B223)-1)/3),"jjjjmmdd")</f>
        <v>19450315</v>
      </c>
      <c r="C223" s="20" t="str">
        <f>INDEX(Data,2,2+MOD(ROWS(C$2:C223)-1,3))</f>
        <v>16.00</v>
      </c>
      <c r="D223" s="14" t="str">
        <f t="shared" ca="1" si="10"/>
        <v>—</v>
      </c>
      <c r="E223" s="25">
        <f t="shared" ca="1" si="11"/>
        <v>7</v>
      </c>
    </row>
    <row r="224" spans="1:5" x14ac:dyDescent="0.25">
      <c r="A224" s="8">
        <f t="shared" si="9"/>
        <v>73</v>
      </c>
      <c r="B224" t="str">
        <f ca="1">TEXT(DATE(YEAR(Invoer!$A$5),1,1)+INT((ROWS(B$2:B224)-1)/3),"jjjjmmdd")</f>
        <v>19450316</v>
      </c>
      <c r="C224" s="20" t="str">
        <f>INDEX(Data,2,2+MOD(ROWS(C$2:C224)-1,3))</f>
        <v>08.00</v>
      </c>
      <c r="D224" s="14" t="str">
        <f t="shared" ca="1" si="10"/>
        <v>—</v>
      </c>
      <c r="E224" s="25">
        <f t="shared" ca="1" si="11"/>
        <v>7</v>
      </c>
    </row>
    <row r="225" spans="1:5" x14ac:dyDescent="0.25">
      <c r="A225" s="8">
        <f t="shared" si="9"/>
        <v>73</v>
      </c>
      <c r="B225" t="str">
        <f ca="1">TEXT(DATE(YEAR(Invoer!$A$5),1,1)+INT((ROWS(B$2:B225)-1)/3),"jjjjmmdd")</f>
        <v>19450316</v>
      </c>
      <c r="C225" s="20" t="str">
        <f>INDEX(Data,2,2+MOD(ROWS(C$2:C225)-1,3))</f>
        <v>12.00</v>
      </c>
      <c r="D225" s="14" t="str">
        <f t="shared" ca="1" si="10"/>
        <v>—</v>
      </c>
      <c r="E225" s="25">
        <f t="shared" ca="1" si="11"/>
        <v>7</v>
      </c>
    </row>
    <row r="226" spans="1:5" x14ac:dyDescent="0.25">
      <c r="A226" s="8">
        <f t="shared" si="9"/>
        <v>73</v>
      </c>
      <c r="B226" t="str">
        <f ca="1">TEXT(DATE(YEAR(Invoer!$A$5),1,1)+INT((ROWS(B$2:B226)-1)/3),"jjjjmmdd")</f>
        <v>19450316</v>
      </c>
      <c r="C226" s="20" t="str">
        <f>INDEX(Data,2,2+MOD(ROWS(C$2:C226)-1,3))</f>
        <v>16.00</v>
      </c>
      <c r="D226" s="14" t="str">
        <f t="shared" ca="1" si="10"/>
        <v>—</v>
      </c>
      <c r="E226" s="25">
        <f t="shared" ca="1" si="11"/>
        <v>7</v>
      </c>
    </row>
    <row r="227" spans="1:5" x14ac:dyDescent="0.25">
      <c r="A227" s="8">
        <f t="shared" si="9"/>
        <v>73</v>
      </c>
      <c r="B227" t="str">
        <f ca="1">TEXT(DATE(YEAR(Invoer!$A$5),1,1)+INT((ROWS(B$2:B227)-1)/3),"jjjjmmdd")</f>
        <v>19450317</v>
      </c>
      <c r="C227" s="20" t="str">
        <f>INDEX(Data,2,2+MOD(ROWS(C$2:C227)-1,3))</f>
        <v>08.00</v>
      </c>
      <c r="D227" s="14" t="str">
        <f t="shared" ca="1" si="10"/>
        <v>—</v>
      </c>
      <c r="E227" s="25">
        <f t="shared" ca="1" si="11"/>
        <v>7</v>
      </c>
    </row>
    <row r="228" spans="1:5" x14ac:dyDescent="0.25">
      <c r="A228" s="8">
        <f t="shared" si="9"/>
        <v>73</v>
      </c>
      <c r="B228" t="str">
        <f ca="1">TEXT(DATE(YEAR(Invoer!$A$5),1,1)+INT((ROWS(B$2:B228)-1)/3),"jjjjmmdd")</f>
        <v>19450317</v>
      </c>
      <c r="C228" s="20" t="str">
        <f>INDEX(Data,2,2+MOD(ROWS(C$2:C228)-1,3))</f>
        <v>12.00</v>
      </c>
      <c r="D228" s="14" t="str">
        <f t="shared" ca="1" si="10"/>
        <v>—</v>
      </c>
      <c r="E228" s="25">
        <f t="shared" ca="1" si="11"/>
        <v>7</v>
      </c>
    </row>
    <row r="229" spans="1:5" x14ac:dyDescent="0.25">
      <c r="A229" s="8">
        <f t="shared" si="9"/>
        <v>73</v>
      </c>
      <c r="B229" t="str">
        <f ca="1">TEXT(DATE(YEAR(Invoer!$A$5),1,1)+INT((ROWS(B$2:B229)-1)/3),"jjjjmmdd")</f>
        <v>19450317</v>
      </c>
      <c r="C229" s="20" t="str">
        <f>INDEX(Data,2,2+MOD(ROWS(C$2:C229)-1,3))</f>
        <v>16.00</v>
      </c>
      <c r="D229" s="14" t="str">
        <f t="shared" ca="1" si="10"/>
        <v>—</v>
      </c>
      <c r="E229" s="25">
        <f t="shared" ca="1" si="11"/>
        <v>7</v>
      </c>
    </row>
    <row r="230" spans="1:5" x14ac:dyDescent="0.25">
      <c r="A230" s="8">
        <f t="shared" si="9"/>
        <v>73</v>
      </c>
      <c r="B230" t="str">
        <f ca="1">TEXT(DATE(YEAR(Invoer!$A$5),1,1)+INT((ROWS(B$2:B230)-1)/3),"jjjjmmdd")</f>
        <v>19450318</v>
      </c>
      <c r="C230" s="20" t="str">
        <f>INDEX(Data,2,2+MOD(ROWS(C$2:C230)-1,3))</f>
        <v>08.00</v>
      </c>
      <c r="D230" s="14" t="str">
        <f t="shared" ca="1" si="10"/>
        <v>—</v>
      </c>
      <c r="E230" s="25">
        <f t="shared" ca="1" si="11"/>
        <v>7</v>
      </c>
    </row>
    <row r="231" spans="1:5" x14ac:dyDescent="0.25">
      <c r="A231" s="8">
        <f t="shared" si="9"/>
        <v>73</v>
      </c>
      <c r="B231" t="str">
        <f ca="1">TEXT(DATE(YEAR(Invoer!$A$5),1,1)+INT((ROWS(B$2:B231)-1)/3),"jjjjmmdd")</f>
        <v>19450318</v>
      </c>
      <c r="C231" s="20" t="str">
        <f>INDEX(Data,2,2+MOD(ROWS(C$2:C231)-1,3))</f>
        <v>12.00</v>
      </c>
      <c r="D231" s="14" t="str">
        <f t="shared" ca="1" si="10"/>
        <v>—</v>
      </c>
      <c r="E231" s="25">
        <f t="shared" ca="1" si="11"/>
        <v>7</v>
      </c>
    </row>
    <row r="232" spans="1:5" x14ac:dyDescent="0.25">
      <c r="A232" s="8">
        <f t="shared" si="9"/>
        <v>73</v>
      </c>
      <c r="B232" t="str">
        <f ca="1">TEXT(DATE(YEAR(Invoer!$A$5),1,1)+INT((ROWS(B$2:B232)-1)/3),"jjjjmmdd")</f>
        <v>19450318</v>
      </c>
      <c r="C232" s="20" t="str">
        <f>INDEX(Data,2,2+MOD(ROWS(C$2:C232)-1,3))</f>
        <v>16.00</v>
      </c>
      <c r="D232" s="14" t="str">
        <f t="shared" ca="1" si="10"/>
        <v>—</v>
      </c>
      <c r="E232" s="25">
        <f t="shared" ca="1" si="11"/>
        <v>7</v>
      </c>
    </row>
    <row r="233" spans="1:5" x14ac:dyDescent="0.25">
      <c r="A233" s="8">
        <f t="shared" si="9"/>
        <v>73</v>
      </c>
      <c r="B233" t="str">
        <f ca="1">TEXT(DATE(YEAR(Invoer!$A$5),1,1)+INT((ROWS(B$2:B233)-1)/3),"jjjjmmdd")</f>
        <v>19450319</v>
      </c>
      <c r="C233" s="20" t="str">
        <f>INDEX(Data,2,2+MOD(ROWS(C$2:C233)-1,3))</f>
        <v>08.00</v>
      </c>
      <c r="D233" s="14" t="str">
        <f t="shared" ca="1" si="10"/>
        <v>—</v>
      </c>
      <c r="E233" s="25">
        <f t="shared" ca="1" si="11"/>
        <v>7</v>
      </c>
    </row>
    <row r="234" spans="1:5" x14ac:dyDescent="0.25">
      <c r="A234" s="8">
        <f t="shared" si="9"/>
        <v>73</v>
      </c>
      <c r="B234" t="str">
        <f ca="1">TEXT(DATE(YEAR(Invoer!$A$5),1,1)+INT((ROWS(B$2:B234)-1)/3),"jjjjmmdd")</f>
        <v>19450319</v>
      </c>
      <c r="C234" s="20" t="str">
        <f>INDEX(Data,2,2+MOD(ROWS(C$2:C234)-1,3))</f>
        <v>12.00</v>
      </c>
      <c r="D234" s="14" t="str">
        <f t="shared" ca="1" si="10"/>
        <v>—</v>
      </c>
      <c r="E234" s="25">
        <f t="shared" ca="1" si="11"/>
        <v>7</v>
      </c>
    </row>
    <row r="235" spans="1:5" x14ac:dyDescent="0.25">
      <c r="A235" s="8">
        <f t="shared" si="9"/>
        <v>73</v>
      </c>
      <c r="B235" t="str">
        <f ca="1">TEXT(DATE(YEAR(Invoer!$A$5),1,1)+INT((ROWS(B$2:B235)-1)/3),"jjjjmmdd")</f>
        <v>19450319</v>
      </c>
      <c r="C235" s="20" t="str">
        <f>INDEX(Data,2,2+MOD(ROWS(C$2:C235)-1,3))</f>
        <v>16.00</v>
      </c>
      <c r="D235" s="14" t="str">
        <f t="shared" ca="1" si="10"/>
        <v>—</v>
      </c>
      <c r="E235" s="25">
        <f t="shared" ca="1" si="11"/>
        <v>7</v>
      </c>
    </row>
    <row r="236" spans="1:5" x14ac:dyDescent="0.25">
      <c r="A236" s="8">
        <f t="shared" si="9"/>
        <v>73</v>
      </c>
      <c r="B236" t="str">
        <f ca="1">TEXT(DATE(YEAR(Invoer!$A$5),1,1)+INT((ROWS(B$2:B236)-1)/3),"jjjjmmdd")</f>
        <v>19450320</v>
      </c>
      <c r="C236" s="20" t="str">
        <f>INDEX(Data,2,2+MOD(ROWS(C$2:C236)-1,3))</f>
        <v>08.00</v>
      </c>
      <c r="D236" s="14" t="str">
        <f t="shared" ca="1" si="10"/>
        <v>—</v>
      </c>
      <c r="E236" s="25">
        <f t="shared" ca="1" si="11"/>
        <v>7</v>
      </c>
    </row>
    <row r="237" spans="1:5" x14ac:dyDescent="0.25">
      <c r="A237" s="8">
        <f t="shared" si="9"/>
        <v>73</v>
      </c>
      <c r="B237" t="str">
        <f ca="1">TEXT(DATE(YEAR(Invoer!$A$5),1,1)+INT((ROWS(B$2:B237)-1)/3),"jjjjmmdd")</f>
        <v>19450320</v>
      </c>
      <c r="C237" s="20" t="str">
        <f>INDEX(Data,2,2+MOD(ROWS(C$2:C237)-1,3))</f>
        <v>12.00</v>
      </c>
      <c r="D237" s="14" t="str">
        <f t="shared" ca="1" si="10"/>
        <v>—</v>
      </c>
      <c r="E237" s="25">
        <f t="shared" ca="1" si="11"/>
        <v>7</v>
      </c>
    </row>
    <row r="238" spans="1:5" x14ac:dyDescent="0.25">
      <c r="A238" s="8">
        <f t="shared" si="9"/>
        <v>73</v>
      </c>
      <c r="B238" t="str">
        <f ca="1">TEXT(DATE(YEAR(Invoer!$A$5),1,1)+INT((ROWS(B$2:B238)-1)/3),"jjjjmmdd")</f>
        <v>19450320</v>
      </c>
      <c r="C238" s="20" t="str">
        <f>INDEX(Data,2,2+MOD(ROWS(C$2:C238)-1,3))</f>
        <v>16.00</v>
      </c>
      <c r="D238" s="14" t="str">
        <f t="shared" ca="1" si="10"/>
        <v>—</v>
      </c>
      <c r="E238" s="25">
        <f t="shared" ca="1" si="11"/>
        <v>7</v>
      </c>
    </row>
    <row r="239" spans="1:5" x14ac:dyDescent="0.25">
      <c r="A239" s="8">
        <f t="shared" si="9"/>
        <v>73</v>
      </c>
      <c r="B239" t="str">
        <f ca="1">TEXT(DATE(YEAR(Invoer!$A$5),1,1)+INT((ROWS(B$2:B239)-1)/3),"jjjjmmdd")</f>
        <v>19450321</v>
      </c>
      <c r="C239" s="20" t="str">
        <f>INDEX(Data,2,2+MOD(ROWS(C$2:C239)-1,3))</f>
        <v>08.00</v>
      </c>
      <c r="D239" s="14" t="str">
        <f t="shared" ca="1" si="10"/>
        <v>—</v>
      </c>
      <c r="E239" s="25">
        <f t="shared" ca="1" si="11"/>
        <v>7</v>
      </c>
    </row>
    <row r="240" spans="1:5" x14ac:dyDescent="0.25">
      <c r="A240" s="8">
        <f t="shared" si="9"/>
        <v>73</v>
      </c>
      <c r="B240" t="str">
        <f ca="1">TEXT(DATE(YEAR(Invoer!$A$5),1,1)+INT((ROWS(B$2:B240)-1)/3),"jjjjmmdd")</f>
        <v>19450321</v>
      </c>
      <c r="C240" s="20" t="str">
        <f>INDEX(Data,2,2+MOD(ROWS(C$2:C240)-1,3))</f>
        <v>12.00</v>
      </c>
      <c r="D240" s="14" t="str">
        <f t="shared" ca="1" si="10"/>
        <v>—</v>
      </c>
      <c r="E240" s="25">
        <f t="shared" ca="1" si="11"/>
        <v>7</v>
      </c>
    </row>
    <row r="241" spans="1:5" x14ac:dyDescent="0.25">
      <c r="A241" s="8">
        <f t="shared" si="9"/>
        <v>73</v>
      </c>
      <c r="B241" t="str">
        <f ca="1">TEXT(DATE(YEAR(Invoer!$A$5),1,1)+INT((ROWS(B$2:B241)-1)/3),"jjjjmmdd")</f>
        <v>19450321</v>
      </c>
      <c r="C241" s="20" t="str">
        <f>INDEX(Data,2,2+MOD(ROWS(C$2:C241)-1,3))</f>
        <v>16.00</v>
      </c>
      <c r="D241" s="14" t="str">
        <f t="shared" ca="1" si="10"/>
        <v>—</v>
      </c>
      <c r="E241" s="25">
        <f t="shared" ca="1" si="11"/>
        <v>7</v>
      </c>
    </row>
    <row r="242" spans="1:5" x14ac:dyDescent="0.25">
      <c r="A242" s="8">
        <f t="shared" si="9"/>
        <v>73</v>
      </c>
      <c r="B242" t="str">
        <f ca="1">TEXT(DATE(YEAR(Invoer!$A$5),1,1)+INT((ROWS(B$2:B242)-1)/3),"jjjjmmdd")</f>
        <v>19450322</v>
      </c>
      <c r="C242" s="20" t="str">
        <f>INDEX(Data,2,2+MOD(ROWS(C$2:C242)-1,3))</f>
        <v>08.00</v>
      </c>
      <c r="D242" s="14" t="str">
        <f t="shared" ca="1" si="10"/>
        <v>—</v>
      </c>
      <c r="E242" s="25">
        <f t="shared" ca="1" si="11"/>
        <v>7</v>
      </c>
    </row>
    <row r="243" spans="1:5" x14ac:dyDescent="0.25">
      <c r="A243" s="8">
        <f t="shared" si="9"/>
        <v>73</v>
      </c>
      <c r="B243" t="str">
        <f ca="1">TEXT(DATE(YEAR(Invoer!$A$5),1,1)+INT((ROWS(B$2:B243)-1)/3),"jjjjmmdd")</f>
        <v>19450322</v>
      </c>
      <c r="C243" s="20" t="str">
        <f>INDEX(Data,2,2+MOD(ROWS(C$2:C243)-1,3))</f>
        <v>12.00</v>
      </c>
      <c r="D243" s="14" t="str">
        <f t="shared" ca="1" si="10"/>
        <v>—</v>
      </c>
      <c r="E243" s="25">
        <f t="shared" ca="1" si="11"/>
        <v>7</v>
      </c>
    </row>
    <row r="244" spans="1:5" x14ac:dyDescent="0.25">
      <c r="A244" s="8">
        <f t="shared" si="9"/>
        <v>73</v>
      </c>
      <c r="B244" t="str">
        <f ca="1">TEXT(DATE(YEAR(Invoer!$A$5),1,1)+INT((ROWS(B$2:B244)-1)/3),"jjjjmmdd")</f>
        <v>19450322</v>
      </c>
      <c r="C244" s="20" t="str">
        <f>INDEX(Data,2,2+MOD(ROWS(C$2:C244)-1,3))</f>
        <v>16.00</v>
      </c>
      <c r="D244" s="14" t="str">
        <f t="shared" ca="1" si="10"/>
        <v>—</v>
      </c>
      <c r="E244" s="25">
        <f t="shared" ca="1" si="11"/>
        <v>7</v>
      </c>
    </row>
    <row r="245" spans="1:5" x14ac:dyDescent="0.25">
      <c r="A245" s="8">
        <f t="shared" si="9"/>
        <v>73</v>
      </c>
      <c r="B245" t="str">
        <f ca="1">TEXT(DATE(YEAR(Invoer!$A$5),1,1)+INT((ROWS(B$2:B245)-1)/3),"jjjjmmdd")</f>
        <v>19450323</v>
      </c>
      <c r="C245" s="20" t="str">
        <f>INDEX(Data,2,2+MOD(ROWS(C$2:C245)-1,3))</f>
        <v>08.00</v>
      </c>
      <c r="D245" s="14" t="str">
        <f t="shared" ca="1" si="10"/>
        <v>—</v>
      </c>
      <c r="E245" s="25">
        <f t="shared" ca="1" si="11"/>
        <v>7</v>
      </c>
    </row>
    <row r="246" spans="1:5" x14ac:dyDescent="0.25">
      <c r="A246" s="8">
        <f t="shared" si="9"/>
        <v>73</v>
      </c>
      <c r="B246" t="str">
        <f ca="1">TEXT(DATE(YEAR(Invoer!$A$5),1,1)+INT((ROWS(B$2:B246)-1)/3),"jjjjmmdd")</f>
        <v>19450323</v>
      </c>
      <c r="C246" s="20" t="str">
        <f>INDEX(Data,2,2+MOD(ROWS(C$2:C246)-1,3))</f>
        <v>12.00</v>
      </c>
      <c r="D246" s="14" t="str">
        <f t="shared" ca="1" si="10"/>
        <v>—</v>
      </c>
      <c r="E246" s="25">
        <f t="shared" ca="1" si="11"/>
        <v>7</v>
      </c>
    </row>
    <row r="247" spans="1:5" x14ac:dyDescent="0.25">
      <c r="A247" s="8">
        <f t="shared" si="9"/>
        <v>73</v>
      </c>
      <c r="B247" t="str">
        <f ca="1">TEXT(DATE(YEAR(Invoer!$A$5),1,1)+INT((ROWS(B$2:B247)-1)/3),"jjjjmmdd")</f>
        <v>19450323</v>
      </c>
      <c r="C247" s="20" t="str">
        <f>INDEX(Data,2,2+MOD(ROWS(C$2:C247)-1,3))</f>
        <v>16.00</v>
      </c>
      <c r="D247" s="14" t="str">
        <f t="shared" ca="1" si="10"/>
        <v>—</v>
      </c>
      <c r="E247" s="25">
        <f t="shared" ca="1" si="11"/>
        <v>7</v>
      </c>
    </row>
    <row r="248" spans="1:5" x14ac:dyDescent="0.25">
      <c r="A248" s="8">
        <f t="shared" si="9"/>
        <v>73</v>
      </c>
      <c r="B248" t="str">
        <f ca="1">TEXT(DATE(YEAR(Invoer!$A$5),1,1)+INT((ROWS(B$2:B248)-1)/3),"jjjjmmdd")</f>
        <v>19450324</v>
      </c>
      <c r="C248" s="20" t="str">
        <f>INDEX(Data,2,2+MOD(ROWS(C$2:C248)-1,3))</f>
        <v>08.00</v>
      </c>
      <c r="D248" s="14" t="str">
        <f t="shared" ca="1" si="10"/>
        <v>—</v>
      </c>
      <c r="E248" s="25">
        <f t="shared" ca="1" si="11"/>
        <v>7</v>
      </c>
    </row>
    <row r="249" spans="1:5" x14ac:dyDescent="0.25">
      <c r="A249" s="8">
        <f t="shared" si="9"/>
        <v>73</v>
      </c>
      <c r="B249" t="str">
        <f ca="1">TEXT(DATE(YEAR(Invoer!$A$5),1,1)+INT((ROWS(B$2:B249)-1)/3),"jjjjmmdd")</f>
        <v>19450324</v>
      </c>
      <c r="C249" s="20" t="str">
        <f>INDEX(Data,2,2+MOD(ROWS(C$2:C249)-1,3))</f>
        <v>12.00</v>
      </c>
      <c r="D249" s="14" t="str">
        <f t="shared" ca="1" si="10"/>
        <v>—</v>
      </c>
      <c r="E249" s="25">
        <f t="shared" ca="1" si="11"/>
        <v>7</v>
      </c>
    </row>
    <row r="250" spans="1:5" x14ac:dyDescent="0.25">
      <c r="A250" s="8">
        <f t="shared" si="9"/>
        <v>73</v>
      </c>
      <c r="B250" t="str">
        <f ca="1">TEXT(DATE(YEAR(Invoer!$A$5),1,1)+INT((ROWS(B$2:B250)-1)/3),"jjjjmmdd")</f>
        <v>19450324</v>
      </c>
      <c r="C250" s="20" t="str">
        <f>INDEX(Data,2,2+MOD(ROWS(C$2:C250)-1,3))</f>
        <v>16.00</v>
      </c>
      <c r="D250" s="14" t="str">
        <f t="shared" ca="1" si="10"/>
        <v>—</v>
      </c>
      <c r="E250" s="25">
        <f t="shared" ca="1" si="11"/>
        <v>7</v>
      </c>
    </row>
    <row r="251" spans="1:5" x14ac:dyDescent="0.25">
      <c r="A251" s="8">
        <f t="shared" si="9"/>
        <v>73</v>
      </c>
      <c r="B251" t="str">
        <f ca="1">TEXT(DATE(YEAR(Invoer!$A$5),1,1)+INT((ROWS(B$2:B251)-1)/3),"jjjjmmdd")</f>
        <v>19450325</v>
      </c>
      <c r="C251" s="20" t="str">
        <f>INDEX(Data,2,2+MOD(ROWS(C$2:C251)-1,3))</f>
        <v>08.00</v>
      </c>
      <c r="D251" s="14" t="str">
        <f t="shared" ca="1" si="10"/>
        <v>—</v>
      </c>
      <c r="E251" s="25">
        <f t="shared" ca="1" si="11"/>
        <v>7</v>
      </c>
    </row>
    <row r="252" spans="1:5" x14ac:dyDescent="0.25">
      <c r="A252" s="8">
        <f t="shared" si="9"/>
        <v>73</v>
      </c>
      <c r="B252" t="str">
        <f ca="1">TEXT(DATE(YEAR(Invoer!$A$5),1,1)+INT((ROWS(B$2:B252)-1)/3),"jjjjmmdd")</f>
        <v>19450325</v>
      </c>
      <c r="C252" s="20" t="str">
        <f>INDEX(Data,2,2+MOD(ROWS(C$2:C252)-1,3))</f>
        <v>12.00</v>
      </c>
      <c r="D252" s="14" t="str">
        <f t="shared" ca="1" si="10"/>
        <v>—</v>
      </c>
      <c r="E252" s="25">
        <f t="shared" ca="1" si="11"/>
        <v>7</v>
      </c>
    </row>
    <row r="253" spans="1:5" x14ac:dyDescent="0.25">
      <c r="A253" s="8">
        <f t="shared" si="9"/>
        <v>73</v>
      </c>
      <c r="B253" t="str">
        <f ca="1">TEXT(DATE(YEAR(Invoer!$A$5),1,1)+INT((ROWS(B$2:B253)-1)/3),"jjjjmmdd")</f>
        <v>19450325</v>
      </c>
      <c r="C253" s="20" t="str">
        <f>INDEX(Data,2,2+MOD(ROWS(C$2:C253)-1,3))</f>
        <v>16.00</v>
      </c>
      <c r="D253" s="14" t="str">
        <f t="shared" ca="1" si="10"/>
        <v>—</v>
      </c>
      <c r="E253" s="25">
        <f t="shared" ca="1" si="11"/>
        <v>7</v>
      </c>
    </row>
    <row r="254" spans="1:5" x14ac:dyDescent="0.25">
      <c r="A254" s="8">
        <f t="shared" si="9"/>
        <v>73</v>
      </c>
      <c r="B254" t="str">
        <f ca="1">TEXT(DATE(YEAR(Invoer!$A$5),1,1)+INT((ROWS(B$2:B254)-1)/3),"jjjjmmdd")</f>
        <v>19450326</v>
      </c>
      <c r="C254" s="20" t="str">
        <f>INDEX(Data,2,2+MOD(ROWS(C$2:C254)-1,3))</f>
        <v>08.00</v>
      </c>
      <c r="D254" s="14" t="str">
        <f t="shared" ca="1" si="10"/>
        <v>—</v>
      </c>
      <c r="E254" s="25">
        <f t="shared" ca="1" si="11"/>
        <v>7</v>
      </c>
    </row>
    <row r="255" spans="1:5" x14ac:dyDescent="0.25">
      <c r="A255" s="8">
        <f t="shared" si="9"/>
        <v>73</v>
      </c>
      <c r="B255" t="str">
        <f ca="1">TEXT(DATE(YEAR(Invoer!$A$5),1,1)+INT((ROWS(B$2:B255)-1)/3),"jjjjmmdd")</f>
        <v>19450326</v>
      </c>
      <c r="C255" s="20" t="str">
        <f>INDEX(Data,2,2+MOD(ROWS(C$2:C255)-1,3))</f>
        <v>12.00</v>
      </c>
      <c r="D255" s="14" t="str">
        <f t="shared" ca="1" si="10"/>
        <v>—</v>
      </c>
      <c r="E255" s="25">
        <f t="shared" ca="1" si="11"/>
        <v>7</v>
      </c>
    </row>
    <row r="256" spans="1:5" x14ac:dyDescent="0.25">
      <c r="A256" s="8">
        <f t="shared" si="9"/>
        <v>73</v>
      </c>
      <c r="B256" t="str">
        <f ca="1">TEXT(DATE(YEAR(Invoer!$A$5),1,1)+INT((ROWS(B$2:B256)-1)/3),"jjjjmmdd")</f>
        <v>19450326</v>
      </c>
      <c r="C256" s="20" t="str">
        <f>INDEX(Data,2,2+MOD(ROWS(C$2:C256)-1,3))</f>
        <v>16.00</v>
      </c>
      <c r="D256" s="14" t="str">
        <f t="shared" ca="1" si="10"/>
        <v>—</v>
      </c>
      <c r="E256" s="25">
        <f t="shared" ca="1" si="11"/>
        <v>7</v>
      </c>
    </row>
    <row r="257" spans="1:5" x14ac:dyDescent="0.25">
      <c r="A257" s="8">
        <f t="shared" si="9"/>
        <v>73</v>
      </c>
      <c r="B257" t="str">
        <f ca="1">TEXT(DATE(YEAR(Invoer!$A$5),1,1)+INT((ROWS(B$2:B257)-1)/3),"jjjjmmdd")</f>
        <v>19450327</v>
      </c>
      <c r="C257" s="20" t="str">
        <f>INDEX(Data,2,2+MOD(ROWS(C$2:C257)-1,3))</f>
        <v>08.00</v>
      </c>
      <c r="D257" s="14" t="str">
        <f t="shared" ca="1" si="10"/>
        <v>—</v>
      </c>
      <c r="E257" s="25">
        <f t="shared" ca="1" si="11"/>
        <v>7</v>
      </c>
    </row>
    <row r="258" spans="1:5" x14ac:dyDescent="0.25">
      <c r="A258" s="8">
        <f t="shared" ref="A258:A321" si="12">INDEX(Stations,2,1)</f>
        <v>73</v>
      </c>
      <c r="B258" t="str">
        <f ca="1">TEXT(DATE(YEAR(Invoer!$A$5),1,1)+INT((ROWS(B$2:B258)-1)/3),"jjjjmmdd")</f>
        <v>19450327</v>
      </c>
      <c r="C258" s="20" t="str">
        <f>INDEX(Data,2,2+MOD(ROWS(C$2:C258)-1,3))</f>
        <v>12.00</v>
      </c>
      <c r="D258" s="14" t="str">
        <f t="shared" ref="D258:D321" ca="1" si="13">IF(OR(ISBLANK(VLOOKUP(DATEVALUE(LEFT($B258,4)&amp;"-"&amp;MID($B258,5,2)&amp;"-"&amp;RIGHT($B258,2)),Data,MATCH(LEFT(VLOOKUP(D$1,Parameters,2,FALSE()),4)&amp;"*",OFFSET(Data,0,0,1),0)+MATCH($C258,OFFSET(Data,1,0,1),0)-2,FALSE())),ISTEXT(VLOOKUP(DATEVALUE(LEFT($B258,4)&amp;"-"&amp;MID($B258,5,2)&amp;"-"&amp;RIGHT($B258,2)),Data,MATCH(LEFT(VLOOKUP(D$1,Parameters,2,FALSE()),4)&amp;"*",OFFSET(Data,0,0,1),0)+MATCH($C258,OFFSET(Data,1,0,1),0)-2,FALSE()))),"—",VLOOKUP(DATEVALUE(LEFT($B258,4)&amp;"-"&amp;MID($B258,5,2)&amp;"-"&amp;RIGHT($B258,2)),Data,MATCH(LEFT(VLOOKUP(D$1,Parameters,2,FALSE()),4)&amp;"*",OFFSET(Data,0,0,1),0)+MATCH($C258,OFFSET(Data,1,0,1),0)-2,FALSE()))</f>
        <v>—</v>
      </c>
      <c r="E258" s="25">
        <f t="shared" ref="E258:E321" ca="1" si="14">IF(OR(ISBLANK(VLOOKUP(DATEVALUE(LEFT($B258,4)&amp;"-"&amp;MID($B258,5,2)&amp;"-"&amp;RIGHT($B258,2)),Data,MATCH(LEFT(VLOOKUP(MID(E$1,2,LEN(E$1)-1),Parameters,2,FALSE()),4)&amp;"*",OFFSET(Data,0,0,1),0)+MATCH($C258,OFFSET(Data,1,0,1),0)-2,FALSE())),ISTEXT(VLOOKUP(DATEVALUE(LEFT($B258,4)&amp;"-"&amp;MID($B258,5,2)&amp;"-"&amp;RIGHT($B258,2)),Data,MATCH(LEFT(VLOOKUP(MID(E$1,2,LEN(E$1)-1),Parameters,2,FALSE()),4)&amp;"*",OFFSET(Data,0,0,1),0)+MATCH($C258,OFFSET(Data,1,0,1),0)-2,FALSE()))),Lacking,IF(ISNA(MATCH(DATEVALUE(LEFT($B258,4)&amp;"-"&amp;MID($B258,5,2)&amp;"-"&amp;RIGHT($B258,2)),OFFSET(Catalogus,0,0,,1),0)),Ok,VLOOKUP(DATEVALUE(LEFT($B258,4)&amp;"-"&amp;MID($B258,5,2)&amp;"-"&amp;RIGHT($B258,2)),Catalogus,MATCH(LEFT(VLOOKUP(MID(E$1,2,LEN(E$1)-1),Parameters,2,FALSE()),4)&amp;"*",OFFSET(Catalogus,0,0,1),0)+MATCH($C258,OFFSET(Catalogus,1,0,1),0)-2,FALSE())))</f>
        <v>7</v>
      </c>
    </row>
    <row r="259" spans="1:5" x14ac:dyDescent="0.25">
      <c r="A259" s="8">
        <f t="shared" si="12"/>
        <v>73</v>
      </c>
      <c r="B259" t="str">
        <f ca="1">TEXT(DATE(YEAR(Invoer!$A$5),1,1)+INT((ROWS(B$2:B259)-1)/3),"jjjjmmdd")</f>
        <v>19450327</v>
      </c>
      <c r="C259" s="20" t="str">
        <f>INDEX(Data,2,2+MOD(ROWS(C$2:C259)-1,3))</f>
        <v>16.00</v>
      </c>
      <c r="D259" s="14" t="str">
        <f t="shared" ca="1" si="13"/>
        <v>—</v>
      </c>
      <c r="E259" s="25">
        <f t="shared" ca="1" si="14"/>
        <v>7</v>
      </c>
    </row>
    <row r="260" spans="1:5" x14ac:dyDescent="0.25">
      <c r="A260" s="8">
        <f t="shared" si="12"/>
        <v>73</v>
      </c>
      <c r="B260" t="str">
        <f ca="1">TEXT(DATE(YEAR(Invoer!$A$5),1,1)+INT((ROWS(B$2:B260)-1)/3),"jjjjmmdd")</f>
        <v>19450328</v>
      </c>
      <c r="C260" s="20" t="str">
        <f>INDEX(Data,2,2+MOD(ROWS(C$2:C260)-1,3))</f>
        <v>08.00</v>
      </c>
      <c r="D260" s="14" t="str">
        <f t="shared" ca="1" si="13"/>
        <v>—</v>
      </c>
      <c r="E260" s="25">
        <f t="shared" ca="1" si="14"/>
        <v>7</v>
      </c>
    </row>
    <row r="261" spans="1:5" x14ac:dyDescent="0.25">
      <c r="A261" s="8">
        <f t="shared" si="12"/>
        <v>73</v>
      </c>
      <c r="B261" t="str">
        <f ca="1">TEXT(DATE(YEAR(Invoer!$A$5),1,1)+INT((ROWS(B$2:B261)-1)/3),"jjjjmmdd")</f>
        <v>19450328</v>
      </c>
      <c r="C261" s="20" t="str">
        <f>INDEX(Data,2,2+MOD(ROWS(C$2:C261)-1,3))</f>
        <v>12.00</v>
      </c>
      <c r="D261" s="14" t="str">
        <f t="shared" ca="1" si="13"/>
        <v>—</v>
      </c>
      <c r="E261" s="25">
        <f t="shared" ca="1" si="14"/>
        <v>7</v>
      </c>
    </row>
    <row r="262" spans="1:5" x14ac:dyDescent="0.25">
      <c r="A262" s="8">
        <f t="shared" si="12"/>
        <v>73</v>
      </c>
      <c r="B262" t="str">
        <f ca="1">TEXT(DATE(YEAR(Invoer!$A$5),1,1)+INT((ROWS(B$2:B262)-1)/3),"jjjjmmdd")</f>
        <v>19450328</v>
      </c>
      <c r="C262" s="20" t="str">
        <f>INDEX(Data,2,2+MOD(ROWS(C$2:C262)-1,3))</f>
        <v>16.00</v>
      </c>
      <c r="D262" s="14" t="str">
        <f t="shared" ca="1" si="13"/>
        <v>—</v>
      </c>
      <c r="E262" s="25">
        <f t="shared" ca="1" si="14"/>
        <v>7</v>
      </c>
    </row>
    <row r="263" spans="1:5" x14ac:dyDescent="0.25">
      <c r="A263" s="8">
        <f t="shared" si="12"/>
        <v>73</v>
      </c>
      <c r="B263" t="str">
        <f ca="1">TEXT(DATE(YEAR(Invoer!$A$5),1,1)+INT((ROWS(B$2:B263)-1)/3),"jjjjmmdd")</f>
        <v>19450329</v>
      </c>
      <c r="C263" s="20" t="str">
        <f>INDEX(Data,2,2+MOD(ROWS(C$2:C263)-1,3))</f>
        <v>08.00</v>
      </c>
      <c r="D263" s="14" t="str">
        <f t="shared" ca="1" si="13"/>
        <v>—</v>
      </c>
      <c r="E263" s="25">
        <f t="shared" ca="1" si="14"/>
        <v>7</v>
      </c>
    </row>
    <row r="264" spans="1:5" x14ac:dyDescent="0.25">
      <c r="A264" s="8">
        <f t="shared" si="12"/>
        <v>73</v>
      </c>
      <c r="B264" t="str">
        <f ca="1">TEXT(DATE(YEAR(Invoer!$A$5),1,1)+INT((ROWS(B$2:B264)-1)/3),"jjjjmmdd")</f>
        <v>19450329</v>
      </c>
      <c r="C264" s="20" t="str">
        <f>INDEX(Data,2,2+MOD(ROWS(C$2:C264)-1,3))</f>
        <v>12.00</v>
      </c>
      <c r="D264" s="14" t="str">
        <f t="shared" ca="1" si="13"/>
        <v>—</v>
      </c>
      <c r="E264" s="25">
        <f t="shared" ca="1" si="14"/>
        <v>7</v>
      </c>
    </row>
    <row r="265" spans="1:5" x14ac:dyDescent="0.25">
      <c r="A265" s="8">
        <f t="shared" si="12"/>
        <v>73</v>
      </c>
      <c r="B265" t="str">
        <f ca="1">TEXT(DATE(YEAR(Invoer!$A$5),1,1)+INT((ROWS(B$2:B265)-1)/3),"jjjjmmdd")</f>
        <v>19450329</v>
      </c>
      <c r="C265" s="20" t="str">
        <f>INDEX(Data,2,2+MOD(ROWS(C$2:C265)-1,3))</f>
        <v>16.00</v>
      </c>
      <c r="D265" s="14" t="str">
        <f t="shared" ca="1" si="13"/>
        <v>—</v>
      </c>
      <c r="E265" s="25">
        <f t="shared" ca="1" si="14"/>
        <v>7</v>
      </c>
    </row>
    <row r="266" spans="1:5" x14ac:dyDescent="0.25">
      <c r="A266" s="8">
        <f t="shared" si="12"/>
        <v>73</v>
      </c>
      <c r="B266" t="str">
        <f ca="1">TEXT(DATE(YEAR(Invoer!$A$5),1,1)+INT((ROWS(B$2:B266)-1)/3),"jjjjmmdd")</f>
        <v>19450330</v>
      </c>
      <c r="C266" s="20" t="str">
        <f>INDEX(Data,2,2+MOD(ROWS(C$2:C266)-1,3))</f>
        <v>08.00</v>
      </c>
      <c r="D266" s="14" t="str">
        <f t="shared" ca="1" si="13"/>
        <v>—</v>
      </c>
      <c r="E266" s="25">
        <f t="shared" ca="1" si="14"/>
        <v>7</v>
      </c>
    </row>
    <row r="267" spans="1:5" x14ac:dyDescent="0.25">
      <c r="A267" s="8">
        <f t="shared" si="12"/>
        <v>73</v>
      </c>
      <c r="B267" t="str">
        <f ca="1">TEXT(DATE(YEAR(Invoer!$A$5),1,1)+INT((ROWS(B$2:B267)-1)/3),"jjjjmmdd")</f>
        <v>19450330</v>
      </c>
      <c r="C267" s="20" t="str">
        <f>INDEX(Data,2,2+MOD(ROWS(C$2:C267)-1,3))</f>
        <v>12.00</v>
      </c>
      <c r="D267" s="14" t="str">
        <f t="shared" ca="1" si="13"/>
        <v>—</v>
      </c>
      <c r="E267" s="25">
        <f t="shared" ca="1" si="14"/>
        <v>7</v>
      </c>
    </row>
    <row r="268" spans="1:5" x14ac:dyDescent="0.25">
      <c r="A268" s="8">
        <f t="shared" si="12"/>
        <v>73</v>
      </c>
      <c r="B268" t="str">
        <f ca="1">TEXT(DATE(YEAR(Invoer!$A$5),1,1)+INT((ROWS(B$2:B268)-1)/3),"jjjjmmdd")</f>
        <v>19450330</v>
      </c>
      <c r="C268" s="20" t="str">
        <f>INDEX(Data,2,2+MOD(ROWS(C$2:C268)-1,3))</f>
        <v>16.00</v>
      </c>
      <c r="D268" s="14" t="str">
        <f t="shared" ca="1" si="13"/>
        <v>—</v>
      </c>
      <c r="E268" s="25">
        <f t="shared" ca="1" si="14"/>
        <v>7</v>
      </c>
    </row>
    <row r="269" spans="1:5" x14ac:dyDescent="0.25">
      <c r="A269" s="8">
        <f t="shared" si="12"/>
        <v>73</v>
      </c>
      <c r="B269" t="str">
        <f ca="1">TEXT(DATE(YEAR(Invoer!$A$5),1,1)+INT((ROWS(B$2:B269)-1)/3),"jjjjmmdd")</f>
        <v>19450331</v>
      </c>
      <c r="C269" s="20" t="str">
        <f>INDEX(Data,2,2+MOD(ROWS(C$2:C269)-1,3))</f>
        <v>08.00</v>
      </c>
      <c r="D269" s="14" t="str">
        <f t="shared" ca="1" si="13"/>
        <v>—</v>
      </c>
      <c r="E269" s="25">
        <f t="shared" ca="1" si="14"/>
        <v>7</v>
      </c>
    </row>
    <row r="270" spans="1:5" x14ac:dyDescent="0.25">
      <c r="A270" s="8">
        <f t="shared" si="12"/>
        <v>73</v>
      </c>
      <c r="B270" t="str">
        <f ca="1">TEXT(DATE(YEAR(Invoer!$A$5),1,1)+INT((ROWS(B$2:B270)-1)/3),"jjjjmmdd")</f>
        <v>19450331</v>
      </c>
      <c r="C270" s="20" t="str">
        <f>INDEX(Data,2,2+MOD(ROWS(C$2:C270)-1,3))</f>
        <v>12.00</v>
      </c>
      <c r="D270" s="14" t="str">
        <f t="shared" ca="1" si="13"/>
        <v>—</v>
      </c>
      <c r="E270" s="25">
        <f t="shared" ca="1" si="14"/>
        <v>7</v>
      </c>
    </row>
    <row r="271" spans="1:5" x14ac:dyDescent="0.25">
      <c r="A271" s="8">
        <f t="shared" si="12"/>
        <v>73</v>
      </c>
      <c r="B271" t="str">
        <f ca="1">TEXT(DATE(YEAR(Invoer!$A$5),1,1)+INT((ROWS(B$2:B271)-1)/3),"jjjjmmdd")</f>
        <v>19450331</v>
      </c>
      <c r="C271" s="20" t="str">
        <f>INDEX(Data,2,2+MOD(ROWS(C$2:C271)-1,3))</f>
        <v>16.00</v>
      </c>
      <c r="D271" s="14" t="str">
        <f t="shared" ca="1" si="13"/>
        <v>—</v>
      </c>
      <c r="E271" s="25">
        <f t="shared" ca="1" si="14"/>
        <v>7</v>
      </c>
    </row>
    <row r="272" spans="1:5" x14ac:dyDescent="0.25">
      <c r="A272" s="8">
        <f t="shared" si="12"/>
        <v>73</v>
      </c>
      <c r="B272" t="str">
        <f ca="1">TEXT(DATE(YEAR(Invoer!$A$5),1,1)+INT((ROWS(B$2:B272)-1)/3),"jjjjmmdd")</f>
        <v>19450401</v>
      </c>
      <c r="C272" s="20" t="str">
        <f>INDEX(Data,2,2+MOD(ROWS(C$2:C272)-1,3))</f>
        <v>08.00</v>
      </c>
      <c r="D272" s="14" t="str">
        <f t="shared" ca="1" si="13"/>
        <v>—</v>
      </c>
      <c r="E272" s="25">
        <f t="shared" ca="1" si="14"/>
        <v>7</v>
      </c>
    </row>
    <row r="273" spans="1:5" x14ac:dyDescent="0.25">
      <c r="A273" s="8">
        <f t="shared" si="12"/>
        <v>73</v>
      </c>
      <c r="B273" t="str">
        <f ca="1">TEXT(DATE(YEAR(Invoer!$A$5),1,1)+INT((ROWS(B$2:B273)-1)/3),"jjjjmmdd")</f>
        <v>19450401</v>
      </c>
      <c r="C273" s="20" t="str">
        <f>INDEX(Data,2,2+MOD(ROWS(C$2:C273)-1,3))</f>
        <v>12.00</v>
      </c>
      <c r="D273" s="14" t="str">
        <f t="shared" ca="1" si="13"/>
        <v>—</v>
      </c>
      <c r="E273" s="25">
        <f t="shared" ca="1" si="14"/>
        <v>7</v>
      </c>
    </row>
    <row r="274" spans="1:5" x14ac:dyDescent="0.25">
      <c r="A274" s="8">
        <f t="shared" si="12"/>
        <v>73</v>
      </c>
      <c r="B274" t="str">
        <f ca="1">TEXT(DATE(YEAR(Invoer!$A$5),1,1)+INT((ROWS(B$2:B274)-1)/3),"jjjjmmdd")</f>
        <v>19450401</v>
      </c>
      <c r="C274" s="20" t="str">
        <f>INDEX(Data,2,2+MOD(ROWS(C$2:C274)-1,3))</f>
        <v>16.00</v>
      </c>
      <c r="D274" s="14" t="str">
        <f t="shared" ca="1" si="13"/>
        <v>—</v>
      </c>
      <c r="E274" s="25">
        <f t="shared" ca="1" si="14"/>
        <v>7</v>
      </c>
    </row>
    <row r="275" spans="1:5" x14ac:dyDescent="0.25">
      <c r="A275" s="8">
        <f t="shared" si="12"/>
        <v>73</v>
      </c>
      <c r="B275" t="str">
        <f ca="1">TEXT(DATE(YEAR(Invoer!$A$5),1,1)+INT((ROWS(B$2:B275)-1)/3),"jjjjmmdd")</f>
        <v>19450402</v>
      </c>
      <c r="C275" s="20" t="str">
        <f>INDEX(Data,2,2+MOD(ROWS(C$2:C275)-1,3))</f>
        <v>08.00</v>
      </c>
      <c r="D275" s="14" t="str">
        <f t="shared" ca="1" si="13"/>
        <v>—</v>
      </c>
      <c r="E275" s="25">
        <f t="shared" ca="1" si="14"/>
        <v>7</v>
      </c>
    </row>
    <row r="276" spans="1:5" x14ac:dyDescent="0.25">
      <c r="A276" s="8">
        <f t="shared" si="12"/>
        <v>73</v>
      </c>
      <c r="B276" t="str">
        <f ca="1">TEXT(DATE(YEAR(Invoer!$A$5),1,1)+INT((ROWS(B$2:B276)-1)/3),"jjjjmmdd")</f>
        <v>19450402</v>
      </c>
      <c r="C276" s="20" t="str">
        <f>INDEX(Data,2,2+MOD(ROWS(C$2:C276)-1,3))</f>
        <v>12.00</v>
      </c>
      <c r="D276" s="14" t="str">
        <f t="shared" ca="1" si="13"/>
        <v>—</v>
      </c>
      <c r="E276" s="25">
        <f t="shared" ca="1" si="14"/>
        <v>7</v>
      </c>
    </row>
    <row r="277" spans="1:5" x14ac:dyDescent="0.25">
      <c r="A277" s="8">
        <f t="shared" si="12"/>
        <v>73</v>
      </c>
      <c r="B277" t="str">
        <f ca="1">TEXT(DATE(YEAR(Invoer!$A$5),1,1)+INT((ROWS(B$2:B277)-1)/3),"jjjjmmdd")</f>
        <v>19450402</v>
      </c>
      <c r="C277" s="20" t="str">
        <f>INDEX(Data,2,2+MOD(ROWS(C$2:C277)-1,3))</f>
        <v>16.00</v>
      </c>
      <c r="D277" s="14" t="str">
        <f t="shared" ca="1" si="13"/>
        <v>—</v>
      </c>
      <c r="E277" s="25">
        <f t="shared" ca="1" si="14"/>
        <v>7</v>
      </c>
    </row>
    <row r="278" spans="1:5" x14ac:dyDescent="0.25">
      <c r="A278" s="8">
        <f t="shared" si="12"/>
        <v>73</v>
      </c>
      <c r="B278" t="str">
        <f ca="1">TEXT(DATE(YEAR(Invoer!$A$5),1,1)+INT((ROWS(B$2:B278)-1)/3),"jjjjmmdd")</f>
        <v>19450403</v>
      </c>
      <c r="C278" s="20" t="str">
        <f>INDEX(Data,2,2+MOD(ROWS(C$2:C278)-1,3))</f>
        <v>08.00</v>
      </c>
      <c r="D278" s="14" t="str">
        <f t="shared" ca="1" si="13"/>
        <v>—</v>
      </c>
      <c r="E278" s="25">
        <f t="shared" ca="1" si="14"/>
        <v>7</v>
      </c>
    </row>
    <row r="279" spans="1:5" x14ac:dyDescent="0.25">
      <c r="A279" s="8">
        <f t="shared" si="12"/>
        <v>73</v>
      </c>
      <c r="B279" t="str">
        <f ca="1">TEXT(DATE(YEAR(Invoer!$A$5),1,1)+INT((ROWS(B$2:B279)-1)/3),"jjjjmmdd")</f>
        <v>19450403</v>
      </c>
      <c r="C279" s="20" t="str">
        <f>INDEX(Data,2,2+MOD(ROWS(C$2:C279)-1,3))</f>
        <v>12.00</v>
      </c>
      <c r="D279" s="14" t="str">
        <f t="shared" ca="1" si="13"/>
        <v>—</v>
      </c>
      <c r="E279" s="25">
        <f t="shared" ca="1" si="14"/>
        <v>7</v>
      </c>
    </row>
    <row r="280" spans="1:5" x14ac:dyDescent="0.25">
      <c r="A280" s="8">
        <f t="shared" si="12"/>
        <v>73</v>
      </c>
      <c r="B280" t="str">
        <f ca="1">TEXT(DATE(YEAR(Invoer!$A$5),1,1)+INT((ROWS(B$2:B280)-1)/3),"jjjjmmdd")</f>
        <v>19450403</v>
      </c>
      <c r="C280" s="20" t="str">
        <f>INDEX(Data,2,2+MOD(ROWS(C$2:C280)-1,3))</f>
        <v>16.00</v>
      </c>
      <c r="D280" s="14" t="str">
        <f t="shared" ca="1" si="13"/>
        <v>—</v>
      </c>
      <c r="E280" s="25">
        <f t="shared" ca="1" si="14"/>
        <v>7</v>
      </c>
    </row>
    <row r="281" spans="1:5" x14ac:dyDescent="0.25">
      <c r="A281" s="8">
        <f t="shared" si="12"/>
        <v>73</v>
      </c>
      <c r="B281" t="str">
        <f ca="1">TEXT(DATE(YEAR(Invoer!$A$5),1,1)+INT((ROWS(B$2:B281)-1)/3),"jjjjmmdd")</f>
        <v>19450404</v>
      </c>
      <c r="C281" s="20" t="str">
        <f>INDEX(Data,2,2+MOD(ROWS(C$2:C281)-1,3))</f>
        <v>08.00</v>
      </c>
      <c r="D281" s="14" t="str">
        <f t="shared" ca="1" si="13"/>
        <v>—</v>
      </c>
      <c r="E281" s="25">
        <f t="shared" ca="1" si="14"/>
        <v>7</v>
      </c>
    </row>
    <row r="282" spans="1:5" x14ac:dyDescent="0.25">
      <c r="A282" s="8">
        <f t="shared" si="12"/>
        <v>73</v>
      </c>
      <c r="B282" t="str">
        <f ca="1">TEXT(DATE(YEAR(Invoer!$A$5),1,1)+INT((ROWS(B$2:B282)-1)/3),"jjjjmmdd")</f>
        <v>19450404</v>
      </c>
      <c r="C282" s="20" t="str">
        <f>INDEX(Data,2,2+MOD(ROWS(C$2:C282)-1,3))</f>
        <v>12.00</v>
      </c>
      <c r="D282" s="14" t="str">
        <f t="shared" ca="1" si="13"/>
        <v>—</v>
      </c>
      <c r="E282" s="25">
        <f t="shared" ca="1" si="14"/>
        <v>7</v>
      </c>
    </row>
    <row r="283" spans="1:5" x14ac:dyDescent="0.25">
      <c r="A283" s="8">
        <f t="shared" si="12"/>
        <v>73</v>
      </c>
      <c r="B283" t="str">
        <f ca="1">TEXT(DATE(YEAR(Invoer!$A$5),1,1)+INT((ROWS(B$2:B283)-1)/3),"jjjjmmdd")</f>
        <v>19450404</v>
      </c>
      <c r="C283" s="20" t="str">
        <f>INDEX(Data,2,2+MOD(ROWS(C$2:C283)-1,3))</f>
        <v>16.00</v>
      </c>
      <c r="D283" s="14" t="str">
        <f t="shared" ca="1" si="13"/>
        <v>—</v>
      </c>
      <c r="E283" s="25">
        <f t="shared" ca="1" si="14"/>
        <v>7</v>
      </c>
    </row>
    <row r="284" spans="1:5" x14ac:dyDescent="0.25">
      <c r="A284" s="8">
        <f t="shared" si="12"/>
        <v>73</v>
      </c>
      <c r="B284" t="str">
        <f ca="1">TEXT(DATE(YEAR(Invoer!$A$5),1,1)+INT((ROWS(B$2:B284)-1)/3),"jjjjmmdd")</f>
        <v>19450405</v>
      </c>
      <c r="C284" s="20" t="str">
        <f>INDEX(Data,2,2+MOD(ROWS(C$2:C284)-1,3))</f>
        <v>08.00</v>
      </c>
      <c r="D284" s="14" t="str">
        <f t="shared" ca="1" si="13"/>
        <v>—</v>
      </c>
      <c r="E284" s="25">
        <f t="shared" ca="1" si="14"/>
        <v>7</v>
      </c>
    </row>
    <row r="285" spans="1:5" x14ac:dyDescent="0.25">
      <c r="A285" s="8">
        <f t="shared" si="12"/>
        <v>73</v>
      </c>
      <c r="B285" t="str">
        <f ca="1">TEXT(DATE(YEAR(Invoer!$A$5),1,1)+INT((ROWS(B$2:B285)-1)/3),"jjjjmmdd")</f>
        <v>19450405</v>
      </c>
      <c r="C285" s="20" t="str">
        <f>INDEX(Data,2,2+MOD(ROWS(C$2:C285)-1,3))</f>
        <v>12.00</v>
      </c>
      <c r="D285" s="14" t="str">
        <f t="shared" ca="1" si="13"/>
        <v>—</v>
      </c>
      <c r="E285" s="25">
        <f t="shared" ca="1" si="14"/>
        <v>7</v>
      </c>
    </row>
    <row r="286" spans="1:5" x14ac:dyDescent="0.25">
      <c r="A286" s="8">
        <f t="shared" si="12"/>
        <v>73</v>
      </c>
      <c r="B286" t="str">
        <f ca="1">TEXT(DATE(YEAR(Invoer!$A$5),1,1)+INT((ROWS(B$2:B286)-1)/3),"jjjjmmdd")</f>
        <v>19450405</v>
      </c>
      <c r="C286" s="20" t="str">
        <f>INDEX(Data,2,2+MOD(ROWS(C$2:C286)-1,3))</f>
        <v>16.00</v>
      </c>
      <c r="D286" s="14" t="str">
        <f t="shared" ca="1" si="13"/>
        <v>—</v>
      </c>
      <c r="E286" s="25">
        <f t="shared" ca="1" si="14"/>
        <v>7</v>
      </c>
    </row>
    <row r="287" spans="1:5" x14ac:dyDescent="0.25">
      <c r="A287" s="8">
        <f t="shared" si="12"/>
        <v>73</v>
      </c>
      <c r="B287" t="str">
        <f ca="1">TEXT(DATE(YEAR(Invoer!$A$5),1,1)+INT((ROWS(B$2:B287)-1)/3),"jjjjmmdd")</f>
        <v>19450406</v>
      </c>
      <c r="C287" s="20" t="str">
        <f>INDEX(Data,2,2+MOD(ROWS(C$2:C287)-1,3))</f>
        <v>08.00</v>
      </c>
      <c r="D287" s="14" t="str">
        <f t="shared" ca="1" si="13"/>
        <v>—</v>
      </c>
      <c r="E287" s="25">
        <f t="shared" ca="1" si="14"/>
        <v>7</v>
      </c>
    </row>
    <row r="288" spans="1:5" x14ac:dyDescent="0.25">
      <c r="A288" s="8">
        <f t="shared" si="12"/>
        <v>73</v>
      </c>
      <c r="B288" t="str">
        <f ca="1">TEXT(DATE(YEAR(Invoer!$A$5),1,1)+INT((ROWS(B$2:B288)-1)/3),"jjjjmmdd")</f>
        <v>19450406</v>
      </c>
      <c r="C288" s="20" t="str">
        <f>INDEX(Data,2,2+MOD(ROWS(C$2:C288)-1,3))</f>
        <v>12.00</v>
      </c>
      <c r="D288" s="14" t="str">
        <f t="shared" ca="1" si="13"/>
        <v>—</v>
      </c>
      <c r="E288" s="25">
        <f t="shared" ca="1" si="14"/>
        <v>7</v>
      </c>
    </row>
    <row r="289" spans="1:5" x14ac:dyDescent="0.25">
      <c r="A289" s="8">
        <f t="shared" si="12"/>
        <v>73</v>
      </c>
      <c r="B289" t="str">
        <f ca="1">TEXT(DATE(YEAR(Invoer!$A$5),1,1)+INT((ROWS(B$2:B289)-1)/3),"jjjjmmdd")</f>
        <v>19450406</v>
      </c>
      <c r="C289" s="20" t="str">
        <f>INDEX(Data,2,2+MOD(ROWS(C$2:C289)-1,3))</f>
        <v>16.00</v>
      </c>
      <c r="D289" s="14" t="str">
        <f t="shared" ca="1" si="13"/>
        <v>—</v>
      </c>
      <c r="E289" s="25">
        <f t="shared" ca="1" si="14"/>
        <v>7</v>
      </c>
    </row>
    <row r="290" spans="1:5" x14ac:dyDescent="0.25">
      <c r="A290" s="8">
        <f t="shared" si="12"/>
        <v>73</v>
      </c>
      <c r="B290" t="str">
        <f ca="1">TEXT(DATE(YEAR(Invoer!$A$5),1,1)+INT((ROWS(B$2:B290)-1)/3),"jjjjmmdd")</f>
        <v>19450407</v>
      </c>
      <c r="C290" s="20" t="str">
        <f>INDEX(Data,2,2+MOD(ROWS(C$2:C290)-1,3))</f>
        <v>08.00</v>
      </c>
      <c r="D290" s="14" t="str">
        <f t="shared" ca="1" si="13"/>
        <v>—</v>
      </c>
      <c r="E290" s="25">
        <f t="shared" ca="1" si="14"/>
        <v>7</v>
      </c>
    </row>
    <row r="291" spans="1:5" x14ac:dyDescent="0.25">
      <c r="A291" s="8">
        <f t="shared" si="12"/>
        <v>73</v>
      </c>
      <c r="B291" t="str">
        <f ca="1">TEXT(DATE(YEAR(Invoer!$A$5),1,1)+INT((ROWS(B$2:B291)-1)/3),"jjjjmmdd")</f>
        <v>19450407</v>
      </c>
      <c r="C291" s="20" t="str">
        <f>INDEX(Data,2,2+MOD(ROWS(C$2:C291)-1,3))</f>
        <v>12.00</v>
      </c>
      <c r="D291" s="14" t="str">
        <f t="shared" ca="1" si="13"/>
        <v>—</v>
      </c>
      <c r="E291" s="25">
        <f t="shared" ca="1" si="14"/>
        <v>7</v>
      </c>
    </row>
    <row r="292" spans="1:5" x14ac:dyDescent="0.25">
      <c r="A292" s="8">
        <f t="shared" si="12"/>
        <v>73</v>
      </c>
      <c r="B292" t="str">
        <f ca="1">TEXT(DATE(YEAR(Invoer!$A$5),1,1)+INT((ROWS(B$2:B292)-1)/3),"jjjjmmdd")</f>
        <v>19450407</v>
      </c>
      <c r="C292" s="20" t="str">
        <f>INDEX(Data,2,2+MOD(ROWS(C$2:C292)-1,3))</f>
        <v>16.00</v>
      </c>
      <c r="D292" s="14" t="str">
        <f t="shared" ca="1" si="13"/>
        <v>—</v>
      </c>
      <c r="E292" s="25">
        <f t="shared" ca="1" si="14"/>
        <v>7</v>
      </c>
    </row>
    <row r="293" spans="1:5" x14ac:dyDescent="0.25">
      <c r="A293" s="8">
        <f t="shared" si="12"/>
        <v>73</v>
      </c>
      <c r="B293" t="str">
        <f ca="1">TEXT(DATE(YEAR(Invoer!$A$5),1,1)+INT((ROWS(B$2:B293)-1)/3),"jjjjmmdd")</f>
        <v>19450408</v>
      </c>
      <c r="C293" s="20" t="str">
        <f>INDEX(Data,2,2+MOD(ROWS(C$2:C293)-1,3))</f>
        <v>08.00</v>
      </c>
      <c r="D293" s="14" t="str">
        <f t="shared" ca="1" si="13"/>
        <v>—</v>
      </c>
      <c r="E293" s="25">
        <f t="shared" ca="1" si="14"/>
        <v>7</v>
      </c>
    </row>
    <row r="294" spans="1:5" x14ac:dyDescent="0.25">
      <c r="A294" s="8">
        <f t="shared" si="12"/>
        <v>73</v>
      </c>
      <c r="B294" t="str">
        <f ca="1">TEXT(DATE(YEAR(Invoer!$A$5),1,1)+INT((ROWS(B$2:B294)-1)/3),"jjjjmmdd")</f>
        <v>19450408</v>
      </c>
      <c r="C294" s="20" t="str">
        <f>INDEX(Data,2,2+MOD(ROWS(C$2:C294)-1,3))</f>
        <v>12.00</v>
      </c>
      <c r="D294" s="14" t="str">
        <f t="shared" ca="1" si="13"/>
        <v>—</v>
      </c>
      <c r="E294" s="25">
        <f t="shared" ca="1" si="14"/>
        <v>7</v>
      </c>
    </row>
    <row r="295" spans="1:5" x14ac:dyDescent="0.25">
      <c r="A295" s="8">
        <f t="shared" si="12"/>
        <v>73</v>
      </c>
      <c r="B295" t="str">
        <f ca="1">TEXT(DATE(YEAR(Invoer!$A$5),1,1)+INT((ROWS(B$2:B295)-1)/3),"jjjjmmdd")</f>
        <v>19450408</v>
      </c>
      <c r="C295" s="20" t="str">
        <f>INDEX(Data,2,2+MOD(ROWS(C$2:C295)-1,3))</f>
        <v>16.00</v>
      </c>
      <c r="D295" s="14" t="str">
        <f t="shared" ca="1" si="13"/>
        <v>—</v>
      </c>
      <c r="E295" s="25">
        <f t="shared" ca="1" si="14"/>
        <v>7</v>
      </c>
    </row>
    <row r="296" spans="1:5" x14ac:dyDescent="0.25">
      <c r="A296" s="8">
        <f t="shared" si="12"/>
        <v>73</v>
      </c>
      <c r="B296" t="str">
        <f ca="1">TEXT(DATE(YEAR(Invoer!$A$5),1,1)+INT((ROWS(B$2:B296)-1)/3),"jjjjmmdd")</f>
        <v>19450409</v>
      </c>
      <c r="C296" s="20" t="str">
        <f>INDEX(Data,2,2+MOD(ROWS(C$2:C296)-1,3))</f>
        <v>08.00</v>
      </c>
      <c r="D296" s="14" t="str">
        <f t="shared" ca="1" si="13"/>
        <v>—</v>
      </c>
      <c r="E296" s="25">
        <f t="shared" ca="1" si="14"/>
        <v>7</v>
      </c>
    </row>
    <row r="297" spans="1:5" x14ac:dyDescent="0.25">
      <c r="A297" s="8">
        <f t="shared" si="12"/>
        <v>73</v>
      </c>
      <c r="B297" t="str">
        <f ca="1">TEXT(DATE(YEAR(Invoer!$A$5),1,1)+INT((ROWS(B$2:B297)-1)/3),"jjjjmmdd")</f>
        <v>19450409</v>
      </c>
      <c r="C297" s="20" t="str">
        <f>INDEX(Data,2,2+MOD(ROWS(C$2:C297)-1,3))</f>
        <v>12.00</v>
      </c>
      <c r="D297" s="14" t="str">
        <f t="shared" ca="1" si="13"/>
        <v>—</v>
      </c>
      <c r="E297" s="25">
        <f t="shared" ca="1" si="14"/>
        <v>7</v>
      </c>
    </row>
    <row r="298" spans="1:5" x14ac:dyDescent="0.25">
      <c r="A298" s="8">
        <f t="shared" si="12"/>
        <v>73</v>
      </c>
      <c r="B298" t="str">
        <f ca="1">TEXT(DATE(YEAR(Invoer!$A$5),1,1)+INT((ROWS(B$2:B298)-1)/3),"jjjjmmdd")</f>
        <v>19450409</v>
      </c>
      <c r="C298" s="20" t="str">
        <f>INDEX(Data,2,2+MOD(ROWS(C$2:C298)-1,3))</f>
        <v>16.00</v>
      </c>
      <c r="D298" s="14" t="str">
        <f t="shared" ca="1" si="13"/>
        <v>—</v>
      </c>
      <c r="E298" s="25">
        <f t="shared" ca="1" si="14"/>
        <v>7</v>
      </c>
    </row>
    <row r="299" spans="1:5" x14ac:dyDescent="0.25">
      <c r="A299" s="8">
        <f t="shared" si="12"/>
        <v>73</v>
      </c>
      <c r="B299" t="str">
        <f ca="1">TEXT(DATE(YEAR(Invoer!$A$5),1,1)+INT((ROWS(B$2:B299)-1)/3),"jjjjmmdd")</f>
        <v>19450410</v>
      </c>
      <c r="C299" s="20" t="str">
        <f>INDEX(Data,2,2+MOD(ROWS(C$2:C299)-1,3))</f>
        <v>08.00</v>
      </c>
      <c r="D299" s="14" t="str">
        <f t="shared" ca="1" si="13"/>
        <v>—</v>
      </c>
      <c r="E299" s="25">
        <f t="shared" ca="1" si="14"/>
        <v>7</v>
      </c>
    </row>
    <row r="300" spans="1:5" x14ac:dyDescent="0.25">
      <c r="A300" s="8">
        <f t="shared" si="12"/>
        <v>73</v>
      </c>
      <c r="B300" t="str">
        <f ca="1">TEXT(DATE(YEAR(Invoer!$A$5),1,1)+INT((ROWS(B$2:B300)-1)/3),"jjjjmmdd")</f>
        <v>19450410</v>
      </c>
      <c r="C300" s="20" t="str">
        <f>INDEX(Data,2,2+MOD(ROWS(C$2:C300)-1,3))</f>
        <v>12.00</v>
      </c>
      <c r="D300" s="14" t="str">
        <f t="shared" ca="1" si="13"/>
        <v>—</v>
      </c>
      <c r="E300" s="25">
        <f t="shared" ca="1" si="14"/>
        <v>7</v>
      </c>
    </row>
    <row r="301" spans="1:5" x14ac:dyDescent="0.25">
      <c r="A301" s="8">
        <f t="shared" si="12"/>
        <v>73</v>
      </c>
      <c r="B301" t="str">
        <f ca="1">TEXT(DATE(YEAR(Invoer!$A$5),1,1)+INT((ROWS(B$2:B301)-1)/3),"jjjjmmdd")</f>
        <v>19450410</v>
      </c>
      <c r="C301" s="20" t="str">
        <f>INDEX(Data,2,2+MOD(ROWS(C$2:C301)-1,3))</f>
        <v>16.00</v>
      </c>
      <c r="D301" s="14" t="str">
        <f t="shared" ca="1" si="13"/>
        <v>—</v>
      </c>
      <c r="E301" s="25">
        <f t="shared" ca="1" si="14"/>
        <v>7</v>
      </c>
    </row>
    <row r="302" spans="1:5" x14ac:dyDescent="0.25">
      <c r="A302" s="8">
        <f t="shared" si="12"/>
        <v>73</v>
      </c>
      <c r="B302" t="str">
        <f ca="1">TEXT(DATE(YEAR(Invoer!$A$5),1,1)+INT((ROWS(B$2:B302)-1)/3),"jjjjmmdd")</f>
        <v>19450411</v>
      </c>
      <c r="C302" s="20" t="str">
        <f>INDEX(Data,2,2+MOD(ROWS(C$2:C302)-1,3))</f>
        <v>08.00</v>
      </c>
      <c r="D302" s="14" t="str">
        <f t="shared" ca="1" si="13"/>
        <v>—</v>
      </c>
      <c r="E302" s="25">
        <f t="shared" ca="1" si="14"/>
        <v>7</v>
      </c>
    </row>
    <row r="303" spans="1:5" x14ac:dyDescent="0.25">
      <c r="A303" s="8">
        <f t="shared" si="12"/>
        <v>73</v>
      </c>
      <c r="B303" t="str">
        <f ca="1">TEXT(DATE(YEAR(Invoer!$A$5),1,1)+INT((ROWS(B$2:B303)-1)/3),"jjjjmmdd")</f>
        <v>19450411</v>
      </c>
      <c r="C303" s="20" t="str">
        <f>INDEX(Data,2,2+MOD(ROWS(C$2:C303)-1,3))</f>
        <v>12.00</v>
      </c>
      <c r="D303" s="14" t="str">
        <f t="shared" ca="1" si="13"/>
        <v>—</v>
      </c>
      <c r="E303" s="25">
        <f t="shared" ca="1" si="14"/>
        <v>7</v>
      </c>
    </row>
    <row r="304" spans="1:5" x14ac:dyDescent="0.25">
      <c r="A304" s="8">
        <f t="shared" si="12"/>
        <v>73</v>
      </c>
      <c r="B304" t="str">
        <f ca="1">TEXT(DATE(YEAR(Invoer!$A$5),1,1)+INT((ROWS(B$2:B304)-1)/3),"jjjjmmdd")</f>
        <v>19450411</v>
      </c>
      <c r="C304" s="20" t="str">
        <f>INDEX(Data,2,2+MOD(ROWS(C$2:C304)-1,3))</f>
        <v>16.00</v>
      </c>
      <c r="D304" s="14" t="str">
        <f t="shared" ca="1" si="13"/>
        <v>—</v>
      </c>
      <c r="E304" s="25">
        <f t="shared" ca="1" si="14"/>
        <v>7</v>
      </c>
    </row>
    <row r="305" spans="1:5" x14ac:dyDescent="0.25">
      <c r="A305" s="8">
        <f t="shared" si="12"/>
        <v>73</v>
      </c>
      <c r="B305" t="str">
        <f ca="1">TEXT(DATE(YEAR(Invoer!$A$5),1,1)+INT((ROWS(B$2:B305)-1)/3),"jjjjmmdd")</f>
        <v>19450412</v>
      </c>
      <c r="C305" s="20" t="str">
        <f>INDEX(Data,2,2+MOD(ROWS(C$2:C305)-1,3))</f>
        <v>08.00</v>
      </c>
      <c r="D305" s="14" t="str">
        <f t="shared" ca="1" si="13"/>
        <v>—</v>
      </c>
      <c r="E305" s="25">
        <f t="shared" ca="1" si="14"/>
        <v>7</v>
      </c>
    </row>
    <row r="306" spans="1:5" x14ac:dyDescent="0.25">
      <c r="A306" s="8">
        <f t="shared" si="12"/>
        <v>73</v>
      </c>
      <c r="B306" t="str">
        <f ca="1">TEXT(DATE(YEAR(Invoer!$A$5),1,1)+INT((ROWS(B$2:B306)-1)/3),"jjjjmmdd")</f>
        <v>19450412</v>
      </c>
      <c r="C306" s="20" t="str">
        <f>INDEX(Data,2,2+MOD(ROWS(C$2:C306)-1,3))</f>
        <v>12.00</v>
      </c>
      <c r="D306" s="14" t="str">
        <f t="shared" ca="1" si="13"/>
        <v>—</v>
      </c>
      <c r="E306" s="25">
        <f t="shared" ca="1" si="14"/>
        <v>7</v>
      </c>
    </row>
    <row r="307" spans="1:5" x14ac:dyDescent="0.25">
      <c r="A307" s="8">
        <f t="shared" si="12"/>
        <v>73</v>
      </c>
      <c r="B307" t="str">
        <f ca="1">TEXT(DATE(YEAR(Invoer!$A$5),1,1)+INT((ROWS(B$2:B307)-1)/3),"jjjjmmdd")</f>
        <v>19450412</v>
      </c>
      <c r="C307" s="20" t="str">
        <f>INDEX(Data,2,2+MOD(ROWS(C$2:C307)-1,3))</f>
        <v>16.00</v>
      </c>
      <c r="D307" s="14" t="str">
        <f t="shared" ca="1" si="13"/>
        <v>—</v>
      </c>
      <c r="E307" s="25">
        <f t="shared" ca="1" si="14"/>
        <v>7</v>
      </c>
    </row>
    <row r="308" spans="1:5" x14ac:dyDescent="0.25">
      <c r="A308" s="8">
        <f t="shared" si="12"/>
        <v>73</v>
      </c>
      <c r="B308" t="str">
        <f ca="1">TEXT(DATE(YEAR(Invoer!$A$5),1,1)+INT((ROWS(B$2:B308)-1)/3),"jjjjmmdd")</f>
        <v>19450413</v>
      </c>
      <c r="C308" s="20" t="str">
        <f>INDEX(Data,2,2+MOD(ROWS(C$2:C308)-1,3))</f>
        <v>08.00</v>
      </c>
      <c r="D308" s="14" t="str">
        <f t="shared" ca="1" si="13"/>
        <v>—</v>
      </c>
      <c r="E308" s="25">
        <f t="shared" ca="1" si="14"/>
        <v>7</v>
      </c>
    </row>
    <row r="309" spans="1:5" x14ac:dyDescent="0.25">
      <c r="A309" s="8">
        <f t="shared" si="12"/>
        <v>73</v>
      </c>
      <c r="B309" t="str">
        <f ca="1">TEXT(DATE(YEAR(Invoer!$A$5),1,1)+INT((ROWS(B$2:B309)-1)/3),"jjjjmmdd")</f>
        <v>19450413</v>
      </c>
      <c r="C309" s="20" t="str">
        <f>INDEX(Data,2,2+MOD(ROWS(C$2:C309)-1,3))</f>
        <v>12.00</v>
      </c>
      <c r="D309" s="14" t="str">
        <f t="shared" ca="1" si="13"/>
        <v>—</v>
      </c>
      <c r="E309" s="25">
        <f t="shared" ca="1" si="14"/>
        <v>7</v>
      </c>
    </row>
    <row r="310" spans="1:5" x14ac:dyDescent="0.25">
      <c r="A310" s="8">
        <f t="shared" si="12"/>
        <v>73</v>
      </c>
      <c r="B310" t="str">
        <f ca="1">TEXT(DATE(YEAR(Invoer!$A$5),1,1)+INT((ROWS(B$2:B310)-1)/3),"jjjjmmdd")</f>
        <v>19450413</v>
      </c>
      <c r="C310" s="20" t="str">
        <f>INDEX(Data,2,2+MOD(ROWS(C$2:C310)-1,3))</f>
        <v>16.00</v>
      </c>
      <c r="D310" s="14" t="str">
        <f t="shared" ca="1" si="13"/>
        <v>—</v>
      </c>
      <c r="E310" s="25">
        <f t="shared" ca="1" si="14"/>
        <v>7</v>
      </c>
    </row>
    <row r="311" spans="1:5" x14ac:dyDescent="0.25">
      <c r="A311" s="8">
        <f t="shared" si="12"/>
        <v>73</v>
      </c>
      <c r="B311" t="str">
        <f ca="1">TEXT(DATE(YEAR(Invoer!$A$5),1,1)+INT((ROWS(B$2:B311)-1)/3),"jjjjmmdd")</f>
        <v>19450414</v>
      </c>
      <c r="C311" s="20" t="str">
        <f>INDEX(Data,2,2+MOD(ROWS(C$2:C311)-1,3))</f>
        <v>08.00</v>
      </c>
      <c r="D311" s="14" t="str">
        <f t="shared" ca="1" si="13"/>
        <v>—</v>
      </c>
      <c r="E311" s="25">
        <f t="shared" ca="1" si="14"/>
        <v>7</v>
      </c>
    </row>
    <row r="312" spans="1:5" x14ac:dyDescent="0.25">
      <c r="A312" s="8">
        <f t="shared" si="12"/>
        <v>73</v>
      </c>
      <c r="B312" t="str">
        <f ca="1">TEXT(DATE(YEAR(Invoer!$A$5),1,1)+INT((ROWS(B$2:B312)-1)/3),"jjjjmmdd")</f>
        <v>19450414</v>
      </c>
      <c r="C312" s="20" t="str">
        <f>INDEX(Data,2,2+MOD(ROWS(C$2:C312)-1,3))</f>
        <v>12.00</v>
      </c>
      <c r="D312" s="14" t="str">
        <f t="shared" ca="1" si="13"/>
        <v>—</v>
      </c>
      <c r="E312" s="25">
        <f t="shared" ca="1" si="14"/>
        <v>7</v>
      </c>
    </row>
    <row r="313" spans="1:5" x14ac:dyDescent="0.25">
      <c r="A313" s="8">
        <f t="shared" si="12"/>
        <v>73</v>
      </c>
      <c r="B313" t="str">
        <f ca="1">TEXT(DATE(YEAR(Invoer!$A$5),1,1)+INT((ROWS(B$2:B313)-1)/3),"jjjjmmdd")</f>
        <v>19450414</v>
      </c>
      <c r="C313" s="20" t="str">
        <f>INDEX(Data,2,2+MOD(ROWS(C$2:C313)-1,3))</f>
        <v>16.00</v>
      </c>
      <c r="D313" s="14" t="str">
        <f t="shared" ca="1" si="13"/>
        <v>—</v>
      </c>
      <c r="E313" s="25">
        <f t="shared" ca="1" si="14"/>
        <v>7</v>
      </c>
    </row>
    <row r="314" spans="1:5" x14ac:dyDescent="0.25">
      <c r="A314" s="8">
        <f t="shared" si="12"/>
        <v>73</v>
      </c>
      <c r="B314" t="str">
        <f ca="1">TEXT(DATE(YEAR(Invoer!$A$5),1,1)+INT((ROWS(B$2:B314)-1)/3),"jjjjmmdd")</f>
        <v>19450415</v>
      </c>
      <c r="C314" s="20" t="str">
        <f>INDEX(Data,2,2+MOD(ROWS(C$2:C314)-1,3))</f>
        <v>08.00</v>
      </c>
      <c r="D314" s="14" t="str">
        <f t="shared" ca="1" si="13"/>
        <v>—</v>
      </c>
      <c r="E314" s="25">
        <f t="shared" ca="1" si="14"/>
        <v>7</v>
      </c>
    </row>
    <row r="315" spans="1:5" x14ac:dyDescent="0.25">
      <c r="A315" s="8">
        <f t="shared" si="12"/>
        <v>73</v>
      </c>
      <c r="B315" t="str">
        <f ca="1">TEXT(DATE(YEAR(Invoer!$A$5),1,1)+INT((ROWS(B$2:B315)-1)/3),"jjjjmmdd")</f>
        <v>19450415</v>
      </c>
      <c r="C315" s="20" t="str">
        <f>INDEX(Data,2,2+MOD(ROWS(C$2:C315)-1,3))</f>
        <v>12.00</v>
      </c>
      <c r="D315" s="14" t="str">
        <f t="shared" ca="1" si="13"/>
        <v>—</v>
      </c>
      <c r="E315" s="25">
        <f t="shared" ca="1" si="14"/>
        <v>7</v>
      </c>
    </row>
    <row r="316" spans="1:5" x14ac:dyDescent="0.25">
      <c r="A316" s="8">
        <f t="shared" si="12"/>
        <v>73</v>
      </c>
      <c r="B316" t="str">
        <f ca="1">TEXT(DATE(YEAR(Invoer!$A$5),1,1)+INT((ROWS(B$2:B316)-1)/3),"jjjjmmdd")</f>
        <v>19450415</v>
      </c>
      <c r="C316" s="20" t="str">
        <f>INDEX(Data,2,2+MOD(ROWS(C$2:C316)-1,3))</f>
        <v>16.00</v>
      </c>
      <c r="D316" s="14" t="str">
        <f t="shared" ca="1" si="13"/>
        <v>—</v>
      </c>
      <c r="E316" s="25">
        <f t="shared" ca="1" si="14"/>
        <v>7</v>
      </c>
    </row>
    <row r="317" spans="1:5" x14ac:dyDescent="0.25">
      <c r="A317" s="8">
        <f t="shared" si="12"/>
        <v>73</v>
      </c>
      <c r="B317" t="str">
        <f ca="1">TEXT(DATE(YEAR(Invoer!$A$5),1,1)+INT((ROWS(B$2:B317)-1)/3),"jjjjmmdd")</f>
        <v>19450416</v>
      </c>
      <c r="C317" s="20" t="str">
        <f>INDEX(Data,2,2+MOD(ROWS(C$2:C317)-1,3))</f>
        <v>08.00</v>
      </c>
      <c r="D317" s="14" t="str">
        <f t="shared" ca="1" si="13"/>
        <v>—</v>
      </c>
      <c r="E317" s="25">
        <f t="shared" ca="1" si="14"/>
        <v>7</v>
      </c>
    </row>
    <row r="318" spans="1:5" x14ac:dyDescent="0.25">
      <c r="A318" s="8">
        <f t="shared" si="12"/>
        <v>73</v>
      </c>
      <c r="B318" t="str">
        <f ca="1">TEXT(DATE(YEAR(Invoer!$A$5),1,1)+INT((ROWS(B$2:B318)-1)/3),"jjjjmmdd")</f>
        <v>19450416</v>
      </c>
      <c r="C318" s="20" t="str">
        <f>INDEX(Data,2,2+MOD(ROWS(C$2:C318)-1,3))</f>
        <v>12.00</v>
      </c>
      <c r="D318" s="14" t="str">
        <f t="shared" ca="1" si="13"/>
        <v>—</v>
      </c>
      <c r="E318" s="25">
        <f t="shared" ca="1" si="14"/>
        <v>7</v>
      </c>
    </row>
    <row r="319" spans="1:5" x14ac:dyDescent="0.25">
      <c r="A319" s="8">
        <f t="shared" si="12"/>
        <v>73</v>
      </c>
      <c r="B319" t="str">
        <f ca="1">TEXT(DATE(YEAR(Invoer!$A$5),1,1)+INT((ROWS(B$2:B319)-1)/3),"jjjjmmdd")</f>
        <v>19450416</v>
      </c>
      <c r="C319" s="20" t="str">
        <f>INDEX(Data,2,2+MOD(ROWS(C$2:C319)-1,3))</f>
        <v>16.00</v>
      </c>
      <c r="D319" s="14" t="str">
        <f t="shared" ca="1" si="13"/>
        <v>—</v>
      </c>
      <c r="E319" s="25">
        <f t="shared" ca="1" si="14"/>
        <v>7</v>
      </c>
    </row>
    <row r="320" spans="1:5" x14ac:dyDescent="0.25">
      <c r="A320" s="8">
        <f t="shared" si="12"/>
        <v>73</v>
      </c>
      <c r="B320" t="str">
        <f ca="1">TEXT(DATE(YEAR(Invoer!$A$5),1,1)+INT((ROWS(B$2:B320)-1)/3),"jjjjmmdd")</f>
        <v>19450417</v>
      </c>
      <c r="C320" s="20" t="str">
        <f>INDEX(Data,2,2+MOD(ROWS(C$2:C320)-1,3))</f>
        <v>08.00</v>
      </c>
      <c r="D320" s="14" t="str">
        <f t="shared" ca="1" si="13"/>
        <v>—</v>
      </c>
      <c r="E320" s="25">
        <f t="shared" ca="1" si="14"/>
        <v>7</v>
      </c>
    </row>
    <row r="321" spans="1:5" x14ac:dyDescent="0.25">
      <c r="A321" s="8">
        <f t="shared" si="12"/>
        <v>73</v>
      </c>
      <c r="B321" t="str">
        <f ca="1">TEXT(DATE(YEAR(Invoer!$A$5),1,1)+INT((ROWS(B$2:B321)-1)/3),"jjjjmmdd")</f>
        <v>19450417</v>
      </c>
      <c r="C321" s="20" t="str">
        <f>INDEX(Data,2,2+MOD(ROWS(C$2:C321)-1,3))</f>
        <v>12.00</v>
      </c>
      <c r="D321" s="14" t="str">
        <f t="shared" ca="1" si="13"/>
        <v>—</v>
      </c>
      <c r="E321" s="25">
        <f t="shared" ca="1" si="14"/>
        <v>7</v>
      </c>
    </row>
    <row r="322" spans="1:5" x14ac:dyDescent="0.25">
      <c r="A322" s="8">
        <f t="shared" ref="A322:A385" si="15">INDEX(Stations,2,1)</f>
        <v>73</v>
      </c>
      <c r="B322" t="str">
        <f ca="1">TEXT(DATE(YEAR(Invoer!$A$5),1,1)+INT((ROWS(B$2:B322)-1)/3),"jjjjmmdd")</f>
        <v>19450417</v>
      </c>
      <c r="C322" s="20" t="str">
        <f>INDEX(Data,2,2+MOD(ROWS(C$2:C322)-1,3))</f>
        <v>16.00</v>
      </c>
      <c r="D322" s="14" t="str">
        <f t="shared" ref="D322:D385" ca="1" si="16">IF(OR(ISBLANK(VLOOKUP(DATEVALUE(LEFT($B322,4)&amp;"-"&amp;MID($B322,5,2)&amp;"-"&amp;RIGHT($B322,2)),Data,MATCH(LEFT(VLOOKUP(D$1,Parameters,2,FALSE()),4)&amp;"*",OFFSET(Data,0,0,1),0)+MATCH($C322,OFFSET(Data,1,0,1),0)-2,FALSE())),ISTEXT(VLOOKUP(DATEVALUE(LEFT($B322,4)&amp;"-"&amp;MID($B322,5,2)&amp;"-"&amp;RIGHT($B322,2)),Data,MATCH(LEFT(VLOOKUP(D$1,Parameters,2,FALSE()),4)&amp;"*",OFFSET(Data,0,0,1),0)+MATCH($C322,OFFSET(Data,1,0,1),0)-2,FALSE()))),"—",VLOOKUP(DATEVALUE(LEFT($B322,4)&amp;"-"&amp;MID($B322,5,2)&amp;"-"&amp;RIGHT($B322,2)),Data,MATCH(LEFT(VLOOKUP(D$1,Parameters,2,FALSE()),4)&amp;"*",OFFSET(Data,0,0,1),0)+MATCH($C322,OFFSET(Data,1,0,1),0)-2,FALSE()))</f>
        <v>—</v>
      </c>
      <c r="E322" s="25">
        <f t="shared" ref="E322:E385" ca="1" si="17">IF(OR(ISBLANK(VLOOKUP(DATEVALUE(LEFT($B322,4)&amp;"-"&amp;MID($B322,5,2)&amp;"-"&amp;RIGHT($B322,2)),Data,MATCH(LEFT(VLOOKUP(MID(E$1,2,LEN(E$1)-1),Parameters,2,FALSE()),4)&amp;"*",OFFSET(Data,0,0,1),0)+MATCH($C322,OFFSET(Data,1,0,1),0)-2,FALSE())),ISTEXT(VLOOKUP(DATEVALUE(LEFT($B322,4)&amp;"-"&amp;MID($B322,5,2)&amp;"-"&amp;RIGHT($B322,2)),Data,MATCH(LEFT(VLOOKUP(MID(E$1,2,LEN(E$1)-1),Parameters,2,FALSE()),4)&amp;"*",OFFSET(Data,0,0,1),0)+MATCH($C322,OFFSET(Data,1,0,1),0)-2,FALSE()))),Lacking,IF(ISNA(MATCH(DATEVALUE(LEFT($B322,4)&amp;"-"&amp;MID($B322,5,2)&amp;"-"&amp;RIGHT($B322,2)),OFFSET(Catalogus,0,0,,1),0)),Ok,VLOOKUP(DATEVALUE(LEFT($B322,4)&amp;"-"&amp;MID($B322,5,2)&amp;"-"&amp;RIGHT($B322,2)),Catalogus,MATCH(LEFT(VLOOKUP(MID(E$1,2,LEN(E$1)-1),Parameters,2,FALSE()),4)&amp;"*",OFFSET(Catalogus,0,0,1),0)+MATCH($C322,OFFSET(Catalogus,1,0,1),0)-2,FALSE())))</f>
        <v>7</v>
      </c>
    </row>
    <row r="323" spans="1:5" x14ac:dyDescent="0.25">
      <c r="A323" s="8">
        <f t="shared" si="15"/>
        <v>73</v>
      </c>
      <c r="B323" t="str">
        <f ca="1">TEXT(DATE(YEAR(Invoer!$A$5),1,1)+INT((ROWS(B$2:B323)-1)/3),"jjjjmmdd")</f>
        <v>19450418</v>
      </c>
      <c r="C323" s="20" t="str">
        <f>INDEX(Data,2,2+MOD(ROWS(C$2:C323)-1,3))</f>
        <v>08.00</v>
      </c>
      <c r="D323" s="14" t="str">
        <f t="shared" ca="1" si="16"/>
        <v>—</v>
      </c>
      <c r="E323" s="25">
        <f t="shared" ca="1" si="17"/>
        <v>7</v>
      </c>
    </row>
    <row r="324" spans="1:5" x14ac:dyDescent="0.25">
      <c r="A324" s="8">
        <f t="shared" si="15"/>
        <v>73</v>
      </c>
      <c r="B324" t="str">
        <f ca="1">TEXT(DATE(YEAR(Invoer!$A$5),1,1)+INT((ROWS(B$2:B324)-1)/3),"jjjjmmdd")</f>
        <v>19450418</v>
      </c>
      <c r="C324" s="20" t="str">
        <f>INDEX(Data,2,2+MOD(ROWS(C$2:C324)-1,3))</f>
        <v>12.00</v>
      </c>
      <c r="D324" s="14" t="str">
        <f t="shared" ca="1" si="16"/>
        <v>—</v>
      </c>
      <c r="E324" s="25">
        <f t="shared" ca="1" si="17"/>
        <v>7</v>
      </c>
    </row>
    <row r="325" spans="1:5" x14ac:dyDescent="0.25">
      <c r="A325" s="8">
        <f t="shared" si="15"/>
        <v>73</v>
      </c>
      <c r="B325" t="str">
        <f ca="1">TEXT(DATE(YEAR(Invoer!$A$5),1,1)+INT((ROWS(B$2:B325)-1)/3),"jjjjmmdd")</f>
        <v>19450418</v>
      </c>
      <c r="C325" s="20" t="str">
        <f>INDEX(Data,2,2+MOD(ROWS(C$2:C325)-1,3))</f>
        <v>16.00</v>
      </c>
      <c r="D325" s="14" t="str">
        <f t="shared" ca="1" si="16"/>
        <v>—</v>
      </c>
      <c r="E325" s="25">
        <f t="shared" ca="1" si="17"/>
        <v>7</v>
      </c>
    </row>
    <row r="326" spans="1:5" x14ac:dyDescent="0.25">
      <c r="A326" s="8">
        <f t="shared" si="15"/>
        <v>73</v>
      </c>
      <c r="B326" t="str">
        <f ca="1">TEXT(DATE(YEAR(Invoer!$A$5),1,1)+INT((ROWS(B$2:B326)-1)/3),"jjjjmmdd")</f>
        <v>19450419</v>
      </c>
      <c r="C326" s="20" t="str">
        <f>INDEX(Data,2,2+MOD(ROWS(C$2:C326)-1,3))</f>
        <v>08.00</v>
      </c>
      <c r="D326" s="14" t="str">
        <f t="shared" ca="1" si="16"/>
        <v>—</v>
      </c>
      <c r="E326" s="25">
        <f t="shared" ca="1" si="17"/>
        <v>7</v>
      </c>
    </row>
    <row r="327" spans="1:5" x14ac:dyDescent="0.25">
      <c r="A327" s="8">
        <f t="shared" si="15"/>
        <v>73</v>
      </c>
      <c r="B327" t="str">
        <f ca="1">TEXT(DATE(YEAR(Invoer!$A$5),1,1)+INT((ROWS(B$2:B327)-1)/3),"jjjjmmdd")</f>
        <v>19450419</v>
      </c>
      <c r="C327" s="20" t="str">
        <f>INDEX(Data,2,2+MOD(ROWS(C$2:C327)-1,3))</f>
        <v>12.00</v>
      </c>
      <c r="D327" s="14" t="str">
        <f t="shared" ca="1" si="16"/>
        <v>—</v>
      </c>
      <c r="E327" s="25">
        <f t="shared" ca="1" si="17"/>
        <v>7</v>
      </c>
    </row>
    <row r="328" spans="1:5" x14ac:dyDescent="0.25">
      <c r="A328" s="8">
        <f t="shared" si="15"/>
        <v>73</v>
      </c>
      <c r="B328" t="str">
        <f ca="1">TEXT(DATE(YEAR(Invoer!$A$5),1,1)+INT((ROWS(B$2:B328)-1)/3),"jjjjmmdd")</f>
        <v>19450419</v>
      </c>
      <c r="C328" s="20" t="str">
        <f>INDEX(Data,2,2+MOD(ROWS(C$2:C328)-1,3))</f>
        <v>16.00</v>
      </c>
      <c r="D328" s="14" t="str">
        <f t="shared" ca="1" si="16"/>
        <v>—</v>
      </c>
      <c r="E328" s="25">
        <f t="shared" ca="1" si="17"/>
        <v>7</v>
      </c>
    </row>
    <row r="329" spans="1:5" x14ac:dyDescent="0.25">
      <c r="A329" s="8">
        <f t="shared" si="15"/>
        <v>73</v>
      </c>
      <c r="B329" t="str">
        <f ca="1">TEXT(DATE(YEAR(Invoer!$A$5),1,1)+INT((ROWS(B$2:B329)-1)/3),"jjjjmmdd")</f>
        <v>19450420</v>
      </c>
      <c r="C329" s="20" t="str">
        <f>INDEX(Data,2,2+MOD(ROWS(C$2:C329)-1,3))</f>
        <v>08.00</v>
      </c>
      <c r="D329" s="14" t="str">
        <f t="shared" ca="1" si="16"/>
        <v>—</v>
      </c>
      <c r="E329" s="25">
        <f t="shared" ca="1" si="17"/>
        <v>7</v>
      </c>
    </row>
    <row r="330" spans="1:5" x14ac:dyDescent="0.25">
      <c r="A330" s="8">
        <f t="shared" si="15"/>
        <v>73</v>
      </c>
      <c r="B330" t="str">
        <f ca="1">TEXT(DATE(YEAR(Invoer!$A$5),1,1)+INT((ROWS(B$2:B330)-1)/3),"jjjjmmdd")</f>
        <v>19450420</v>
      </c>
      <c r="C330" s="20" t="str">
        <f>INDEX(Data,2,2+MOD(ROWS(C$2:C330)-1,3))</f>
        <v>12.00</v>
      </c>
      <c r="D330" s="14" t="str">
        <f t="shared" ca="1" si="16"/>
        <v>—</v>
      </c>
      <c r="E330" s="25">
        <f t="shared" ca="1" si="17"/>
        <v>7</v>
      </c>
    </row>
    <row r="331" spans="1:5" x14ac:dyDescent="0.25">
      <c r="A331" s="8">
        <f t="shared" si="15"/>
        <v>73</v>
      </c>
      <c r="B331" t="str">
        <f ca="1">TEXT(DATE(YEAR(Invoer!$A$5),1,1)+INT((ROWS(B$2:B331)-1)/3),"jjjjmmdd")</f>
        <v>19450420</v>
      </c>
      <c r="C331" s="20" t="str">
        <f>INDEX(Data,2,2+MOD(ROWS(C$2:C331)-1,3))</f>
        <v>16.00</v>
      </c>
      <c r="D331" s="14" t="str">
        <f t="shared" ca="1" si="16"/>
        <v>—</v>
      </c>
      <c r="E331" s="25">
        <f t="shared" ca="1" si="17"/>
        <v>7</v>
      </c>
    </row>
    <row r="332" spans="1:5" x14ac:dyDescent="0.25">
      <c r="A332" s="8">
        <f t="shared" si="15"/>
        <v>73</v>
      </c>
      <c r="B332" t="str">
        <f ca="1">TEXT(DATE(YEAR(Invoer!$A$5),1,1)+INT((ROWS(B$2:B332)-1)/3),"jjjjmmdd")</f>
        <v>19450421</v>
      </c>
      <c r="C332" s="20" t="str">
        <f>INDEX(Data,2,2+MOD(ROWS(C$2:C332)-1,3))</f>
        <v>08.00</v>
      </c>
      <c r="D332" s="14" t="str">
        <f t="shared" ca="1" si="16"/>
        <v>—</v>
      </c>
      <c r="E332" s="25">
        <f t="shared" ca="1" si="17"/>
        <v>7</v>
      </c>
    </row>
    <row r="333" spans="1:5" x14ac:dyDescent="0.25">
      <c r="A333" s="8">
        <f t="shared" si="15"/>
        <v>73</v>
      </c>
      <c r="B333" t="str">
        <f ca="1">TEXT(DATE(YEAR(Invoer!$A$5),1,1)+INT((ROWS(B$2:B333)-1)/3),"jjjjmmdd")</f>
        <v>19450421</v>
      </c>
      <c r="C333" s="20" t="str">
        <f>INDEX(Data,2,2+MOD(ROWS(C$2:C333)-1,3))</f>
        <v>12.00</v>
      </c>
      <c r="D333" s="14" t="str">
        <f t="shared" ca="1" si="16"/>
        <v>—</v>
      </c>
      <c r="E333" s="25">
        <f t="shared" ca="1" si="17"/>
        <v>7</v>
      </c>
    </row>
    <row r="334" spans="1:5" x14ac:dyDescent="0.25">
      <c r="A334" s="8">
        <f t="shared" si="15"/>
        <v>73</v>
      </c>
      <c r="B334" t="str">
        <f ca="1">TEXT(DATE(YEAR(Invoer!$A$5),1,1)+INT((ROWS(B$2:B334)-1)/3),"jjjjmmdd")</f>
        <v>19450421</v>
      </c>
      <c r="C334" s="20" t="str">
        <f>INDEX(Data,2,2+MOD(ROWS(C$2:C334)-1,3))</f>
        <v>16.00</v>
      </c>
      <c r="D334" s="14" t="str">
        <f t="shared" ca="1" si="16"/>
        <v>—</v>
      </c>
      <c r="E334" s="25">
        <f t="shared" ca="1" si="17"/>
        <v>7</v>
      </c>
    </row>
    <row r="335" spans="1:5" x14ac:dyDescent="0.25">
      <c r="A335" s="8">
        <f t="shared" si="15"/>
        <v>73</v>
      </c>
      <c r="B335" t="str">
        <f ca="1">TEXT(DATE(YEAR(Invoer!$A$5),1,1)+INT((ROWS(B$2:B335)-1)/3),"jjjjmmdd")</f>
        <v>19450422</v>
      </c>
      <c r="C335" s="20" t="str">
        <f>INDEX(Data,2,2+MOD(ROWS(C$2:C335)-1,3))</f>
        <v>08.00</v>
      </c>
      <c r="D335" s="14" t="str">
        <f t="shared" ca="1" si="16"/>
        <v>—</v>
      </c>
      <c r="E335" s="25">
        <f t="shared" ca="1" si="17"/>
        <v>7</v>
      </c>
    </row>
    <row r="336" spans="1:5" x14ac:dyDescent="0.25">
      <c r="A336" s="8">
        <f t="shared" si="15"/>
        <v>73</v>
      </c>
      <c r="B336" t="str">
        <f ca="1">TEXT(DATE(YEAR(Invoer!$A$5),1,1)+INT((ROWS(B$2:B336)-1)/3),"jjjjmmdd")</f>
        <v>19450422</v>
      </c>
      <c r="C336" s="20" t="str">
        <f>INDEX(Data,2,2+MOD(ROWS(C$2:C336)-1,3))</f>
        <v>12.00</v>
      </c>
      <c r="D336" s="14" t="str">
        <f t="shared" ca="1" si="16"/>
        <v>—</v>
      </c>
      <c r="E336" s="25">
        <f t="shared" ca="1" si="17"/>
        <v>7</v>
      </c>
    </row>
    <row r="337" spans="1:5" x14ac:dyDescent="0.25">
      <c r="A337" s="8">
        <f t="shared" si="15"/>
        <v>73</v>
      </c>
      <c r="B337" t="str">
        <f ca="1">TEXT(DATE(YEAR(Invoer!$A$5),1,1)+INT((ROWS(B$2:B337)-1)/3),"jjjjmmdd")</f>
        <v>19450422</v>
      </c>
      <c r="C337" s="20" t="str">
        <f>INDEX(Data,2,2+MOD(ROWS(C$2:C337)-1,3))</f>
        <v>16.00</v>
      </c>
      <c r="D337" s="14" t="str">
        <f t="shared" ca="1" si="16"/>
        <v>—</v>
      </c>
      <c r="E337" s="25">
        <f t="shared" ca="1" si="17"/>
        <v>7</v>
      </c>
    </row>
    <row r="338" spans="1:5" x14ac:dyDescent="0.25">
      <c r="A338" s="8">
        <f t="shared" si="15"/>
        <v>73</v>
      </c>
      <c r="B338" t="str">
        <f ca="1">TEXT(DATE(YEAR(Invoer!$A$5),1,1)+INT((ROWS(B$2:B338)-1)/3),"jjjjmmdd")</f>
        <v>19450423</v>
      </c>
      <c r="C338" s="20" t="str">
        <f>INDEX(Data,2,2+MOD(ROWS(C$2:C338)-1,3))</f>
        <v>08.00</v>
      </c>
      <c r="D338" s="14" t="str">
        <f t="shared" ca="1" si="16"/>
        <v>—</v>
      </c>
      <c r="E338" s="25">
        <f t="shared" ca="1" si="17"/>
        <v>7</v>
      </c>
    </row>
    <row r="339" spans="1:5" x14ac:dyDescent="0.25">
      <c r="A339" s="8">
        <f t="shared" si="15"/>
        <v>73</v>
      </c>
      <c r="B339" t="str">
        <f ca="1">TEXT(DATE(YEAR(Invoer!$A$5),1,1)+INT((ROWS(B$2:B339)-1)/3),"jjjjmmdd")</f>
        <v>19450423</v>
      </c>
      <c r="C339" s="20" t="str">
        <f>INDEX(Data,2,2+MOD(ROWS(C$2:C339)-1,3))</f>
        <v>12.00</v>
      </c>
      <c r="D339" s="14" t="str">
        <f t="shared" ca="1" si="16"/>
        <v>—</v>
      </c>
      <c r="E339" s="25">
        <f t="shared" ca="1" si="17"/>
        <v>7</v>
      </c>
    </row>
    <row r="340" spans="1:5" x14ac:dyDescent="0.25">
      <c r="A340" s="8">
        <f t="shared" si="15"/>
        <v>73</v>
      </c>
      <c r="B340" t="str">
        <f ca="1">TEXT(DATE(YEAR(Invoer!$A$5),1,1)+INT((ROWS(B$2:B340)-1)/3),"jjjjmmdd")</f>
        <v>19450423</v>
      </c>
      <c r="C340" s="20" t="str">
        <f>INDEX(Data,2,2+MOD(ROWS(C$2:C340)-1,3))</f>
        <v>16.00</v>
      </c>
      <c r="D340" s="14" t="str">
        <f t="shared" ca="1" si="16"/>
        <v>—</v>
      </c>
      <c r="E340" s="25">
        <f t="shared" ca="1" si="17"/>
        <v>7</v>
      </c>
    </row>
    <row r="341" spans="1:5" x14ac:dyDescent="0.25">
      <c r="A341" s="8">
        <f t="shared" si="15"/>
        <v>73</v>
      </c>
      <c r="B341" t="str">
        <f ca="1">TEXT(DATE(YEAR(Invoer!$A$5),1,1)+INT((ROWS(B$2:B341)-1)/3),"jjjjmmdd")</f>
        <v>19450424</v>
      </c>
      <c r="C341" s="20" t="str">
        <f>INDEX(Data,2,2+MOD(ROWS(C$2:C341)-1,3))</f>
        <v>08.00</v>
      </c>
      <c r="D341" s="14" t="str">
        <f t="shared" ca="1" si="16"/>
        <v>—</v>
      </c>
      <c r="E341" s="25">
        <f t="shared" ca="1" si="17"/>
        <v>7</v>
      </c>
    </row>
    <row r="342" spans="1:5" x14ac:dyDescent="0.25">
      <c r="A342" s="8">
        <f t="shared" si="15"/>
        <v>73</v>
      </c>
      <c r="B342" t="str">
        <f ca="1">TEXT(DATE(YEAR(Invoer!$A$5),1,1)+INT((ROWS(B$2:B342)-1)/3),"jjjjmmdd")</f>
        <v>19450424</v>
      </c>
      <c r="C342" s="20" t="str">
        <f>INDEX(Data,2,2+MOD(ROWS(C$2:C342)-1,3))</f>
        <v>12.00</v>
      </c>
      <c r="D342" s="14" t="str">
        <f t="shared" ca="1" si="16"/>
        <v>—</v>
      </c>
      <c r="E342" s="25">
        <f t="shared" ca="1" si="17"/>
        <v>7</v>
      </c>
    </row>
    <row r="343" spans="1:5" x14ac:dyDescent="0.25">
      <c r="A343" s="8">
        <f t="shared" si="15"/>
        <v>73</v>
      </c>
      <c r="B343" t="str">
        <f ca="1">TEXT(DATE(YEAR(Invoer!$A$5),1,1)+INT((ROWS(B$2:B343)-1)/3),"jjjjmmdd")</f>
        <v>19450424</v>
      </c>
      <c r="C343" s="20" t="str">
        <f>INDEX(Data,2,2+MOD(ROWS(C$2:C343)-1,3))</f>
        <v>16.00</v>
      </c>
      <c r="D343" s="14" t="str">
        <f t="shared" ca="1" si="16"/>
        <v>—</v>
      </c>
      <c r="E343" s="25">
        <f t="shared" ca="1" si="17"/>
        <v>7</v>
      </c>
    </row>
    <row r="344" spans="1:5" x14ac:dyDescent="0.25">
      <c r="A344" s="8">
        <f t="shared" si="15"/>
        <v>73</v>
      </c>
      <c r="B344" t="str">
        <f ca="1">TEXT(DATE(YEAR(Invoer!$A$5),1,1)+INT((ROWS(B$2:B344)-1)/3),"jjjjmmdd")</f>
        <v>19450425</v>
      </c>
      <c r="C344" s="20" t="str">
        <f>INDEX(Data,2,2+MOD(ROWS(C$2:C344)-1,3))</f>
        <v>08.00</v>
      </c>
      <c r="D344" s="14" t="str">
        <f t="shared" ca="1" si="16"/>
        <v>—</v>
      </c>
      <c r="E344" s="25">
        <f t="shared" ca="1" si="17"/>
        <v>7</v>
      </c>
    </row>
    <row r="345" spans="1:5" x14ac:dyDescent="0.25">
      <c r="A345" s="8">
        <f t="shared" si="15"/>
        <v>73</v>
      </c>
      <c r="B345" t="str">
        <f ca="1">TEXT(DATE(YEAR(Invoer!$A$5),1,1)+INT((ROWS(B$2:B345)-1)/3),"jjjjmmdd")</f>
        <v>19450425</v>
      </c>
      <c r="C345" s="20" t="str">
        <f>INDEX(Data,2,2+MOD(ROWS(C$2:C345)-1,3))</f>
        <v>12.00</v>
      </c>
      <c r="D345" s="14" t="str">
        <f t="shared" ca="1" si="16"/>
        <v>—</v>
      </c>
      <c r="E345" s="25">
        <f t="shared" ca="1" si="17"/>
        <v>7</v>
      </c>
    </row>
    <row r="346" spans="1:5" x14ac:dyDescent="0.25">
      <c r="A346" s="8">
        <f t="shared" si="15"/>
        <v>73</v>
      </c>
      <c r="B346" t="str">
        <f ca="1">TEXT(DATE(YEAR(Invoer!$A$5),1,1)+INT((ROWS(B$2:B346)-1)/3),"jjjjmmdd")</f>
        <v>19450425</v>
      </c>
      <c r="C346" s="20" t="str">
        <f>INDEX(Data,2,2+MOD(ROWS(C$2:C346)-1,3))</f>
        <v>16.00</v>
      </c>
      <c r="D346" s="14" t="str">
        <f t="shared" ca="1" si="16"/>
        <v>—</v>
      </c>
      <c r="E346" s="25">
        <f t="shared" ca="1" si="17"/>
        <v>7</v>
      </c>
    </row>
    <row r="347" spans="1:5" x14ac:dyDescent="0.25">
      <c r="A347" s="8">
        <f t="shared" si="15"/>
        <v>73</v>
      </c>
      <c r="B347" t="str">
        <f ca="1">TEXT(DATE(YEAR(Invoer!$A$5),1,1)+INT((ROWS(B$2:B347)-1)/3),"jjjjmmdd")</f>
        <v>19450426</v>
      </c>
      <c r="C347" s="20" t="str">
        <f>INDEX(Data,2,2+MOD(ROWS(C$2:C347)-1,3))</f>
        <v>08.00</v>
      </c>
      <c r="D347" s="14" t="str">
        <f t="shared" ca="1" si="16"/>
        <v>—</v>
      </c>
      <c r="E347" s="25">
        <f t="shared" ca="1" si="17"/>
        <v>7</v>
      </c>
    </row>
    <row r="348" spans="1:5" x14ac:dyDescent="0.25">
      <c r="A348" s="8">
        <f t="shared" si="15"/>
        <v>73</v>
      </c>
      <c r="B348" t="str">
        <f ca="1">TEXT(DATE(YEAR(Invoer!$A$5),1,1)+INT((ROWS(B$2:B348)-1)/3),"jjjjmmdd")</f>
        <v>19450426</v>
      </c>
      <c r="C348" s="20" t="str">
        <f>INDEX(Data,2,2+MOD(ROWS(C$2:C348)-1,3))</f>
        <v>12.00</v>
      </c>
      <c r="D348" s="14" t="str">
        <f t="shared" ca="1" si="16"/>
        <v>—</v>
      </c>
      <c r="E348" s="25">
        <f t="shared" ca="1" si="17"/>
        <v>7</v>
      </c>
    </row>
    <row r="349" spans="1:5" x14ac:dyDescent="0.25">
      <c r="A349" s="8">
        <f t="shared" si="15"/>
        <v>73</v>
      </c>
      <c r="B349" t="str">
        <f ca="1">TEXT(DATE(YEAR(Invoer!$A$5),1,1)+INT((ROWS(B$2:B349)-1)/3),"jjjjmmdd")</f>
        <v>19450426</v>
      </c>
      <c r="C349" s="20" t="str">
        <f>INDEX(Data,2,2+MOD(ROWS(C$2:C349)-1,3))</f>
        <v>16.00</v>
      </c>
      <c r="D349" s="14" t="str">
        <f t="shared" ca="1" si="16"/>
        <v>—</v>
      </c>
      <c r="E349" s="25">
        <f t="shared" ca="1" si="17"/>
        <v>7</v>
      </c>
    </row>
    <row r="350" spans="1:5" x14ac:dyDescent="0.25">
      <c r="A350" s="8">
        <f t="shared" si="15"/>
        <v>73</v>
      </c>
      <c r="B350" t="str">
        <f ca="1">TEXT(DATE(YEAR(Invoer!$A$5),1,1)+INT((ROWS(B$2:B350)-1)/3),"jjjjmmdd")</f>
        <v>19450427</v>
      </c>
      <c r="C350" s="20" t="str">
        <f>INDEX(Data,2,2+MOD(ROWS(C$2:C350)-1,3))</f>
        <v>08.00</v>
      </c>
      <c r="D350" s="14" t="str">
        <f t="shared" ca="1" si="16"/>
        <v>—</v>
      </c>
      <c r="E350" s="25">
        <f t="shared" ca="1" si="17"/>
        <v>7</v>
      </c>
    </row>
    <row r="351" spans="1:5" x14ac:dyDescent="0.25">
      <c r="A351" s="8">
        <f t="shared" si="15"/>
        <v>73</v>
      </c>
      <c r="B351" t="str">
        <f ca="1">TEXT(DATE(YEAR(Invoer!$A$5),1,1)+INT((ROWS(B$2:B351)-1)/3),"jjjjmmdd")</f>
        <v>19450427</v>
      </c>
      <c r="C351" s="20" t="str">
        <f>INDEX(Data,2,2+MOD(ROWS(C$2:C351)-1,3))</f>
        <v>12.00</v>
      </c>
      <c r="D351" s="14" t="str">
        <f t="shared" ca="1" si="16"/>
        <v>—</v>
      </c>
      <c r="E351" s="25">
        <f t="shared" ca="1" si="17"/>
        <v>7</v>
      </c>
    </row>
    <row r="352" spans="1:5" x14ac:dyDescent="0.25">
      <c r="A352" s="8">
        <f t="shared" si="15"/>
        <v>73</v>
      </c>
      <c r="B352" t="str">
        <f ca="1">TEXT(DATE(YEAR(Invoer!$A$5),1,1)+INT((ROWS(B$2:B352)-1)/3),"jjjjmmdd")</f>
        <v>19450427</v>
      </c>
      <c r="C352" s="20" t="str">
        <f>INDEX(Data,2,2+MOD(ROWS(C$2:C352)-1,3))</f>
        <v>16.00</v>
      </c>
      <c r="D352" s="14" t="str">
        <f t="shared" ca="1" si="16"/>
        <v>—</v>
      </c>
      <c r="E352" s="25">
        <f t="shared" ca="1" si="17"/>
        <v>7</v>
      </c>
    </row>
    <row r="353" spans="1:5" x14ac:dyDescent="0.25">
      <c r="A353" s="8">
        <f t="shared" si="15"/>
        <v>73</v>
      </c>
      <c r="B353" t="str">
        <f ca="1">TEXT(DATE(YEAR(Invoer!$A$5),1,1)+INT((ROWS(B$2:B353)-1)/3),"jjjjmmdd")</f>
        <v>19450428</v>
      </c>
      <c r="C353" s="20" t="str">
        <f>INDEX(Data,2,2+MOD(ROWS(C$2:C353)-1,3))</f>
        <v>08.00</v>
      </c>
      <c r="D353" s="14" t="str">
        <f t="shared" ca="1" si="16"/>
        <v>—</v>
      </c>
      <c r="E353" s="25">
        <f t="shared" ca="1" si="17"/>
        <v>7</v>
      </c>
    </row>
    <row r="354" spans="1:5" x14ac:dyDescent="0.25">
      <c r="A354" s="8">
        <f t="shared" si="15"/>
        <v>73</v>
      </c>
      <c r="B354" t="str">
        <f ca="1">TEXT(DATE(YEAR(Invoer!$A$5),1,1)+INT((ROWS(B$2:B354)-1)/3),"jjjjmmdd")</f>
        <v>19450428</v>
      </c>
      <c r="C354" s="20" t="str">
        <f>INDEX(Data,2,2+MOD(ROWS(C$2:C354)-1,3))</f>
        <v>12.00</v>
      </c>
      <c r="D354" s="14" t="str">
        <f t="shared" ca="1" si="16"/>
        <v>—</v>
      </c>
      <c r="E354" s="25">
        <f t="shared" ca="1" si="17"/>
        <v>7</v>
      </c>
    </row>
    <row r="355" spans="1:5" x14ac:dyDescent="0.25">
      <c r="A355" s="8">
        <f t="shared" si="15"/>
        <v>73</v>
      </c>
      <c r="B355" t="str">
        <f ca="1">TEXT(DATE(YEAR(Invoer!$A$5),1,1)+INT((ROWS(B$2:B355)-1)/3),"jjjjmmdd")</f>
        <v>19450428</v>
      </c>
      <c r="C355" s="20" t="str">
        <f>INDEX(Data,2,2+MOD(ROWS(C$2:C355)-1,3))</f>
        <v>16.00</v>
      </c>
      <c r="D355" s="14" t="str">
        <f t="shared" ca="1" si="16"/>
        <v>—</v>
      </c>
      <c r="E355" s="25">
        <f t="shared" ca="1" si="17"/>
        <v>7</v>
      </c>
    </row>
    <row r="356" spans="1:5" x14ac:dyDescent="0.25">
      <c r="A356" s="8">
        <f t="shared" si="15"/>
        <v>73</v>
      </c>
      <c r="B356" t="str">
        <f ca="1">TEXT(DATE(YEAR(Invoer!$A$5),1,1)+INT((ROWS(B$2:B356)-1)/3),"jjjjmmdd")</f>
        <v>19450429</v>
      </c>
      <c r="C356" s="20" t="str">
        <f>INDEX(Data,2,2+MOD(ROWS(C$2:C356)-1,3))</f>
        <v>08.00</v>
      </c>
      <c r="D356" s="14" t="str">
        <f t="shared" ca="1" si="16"/>
        <v>—</v>
      </c>
      <c r="E356" s="25">
        <f t="shared" ca="1" si="17"/>
        <v>7</v>
      </c>
    </row>
    <row r="357" spans="1:5" x14ac:dyDescent="0.25">
      <c r="A357" s="8">
        <f t="shared" si="15"/>
        <v>73</v>
      </c>
      <c r="B357" t="str">
        <f ca="1">TEXT(DATE(YEAR(Invoer!$A$5),1,1)+INT((ROWS(B$2:B357)-1)/3),"jjjjmmdd")</f>
        <v>19450429</v>
      </c>
      <c r="C357" s="20" t="str">
        <f>INDEX(Data,2,2+MOD(ROWS(C$2:C357)-1,3))</f>
        <v>12.00</v>
      </c>
      <c r="D357" s="14" t="str">
        <f t="shared" ca="1" si="16"/>
        <v>—</v>
      </c>
      <c r="E357" s="25">
        <f t="shared" ca="1" si="17"/>
        <v>7</v>
      </c>
    </row>
    <row r="358" spans="1:5" x14ac:dyDescent="0.25">
      <c r="A358" s="8">
        <f t="shared" si="15"/>
        <v>73</v>
      </c>
      <c r="B358" t="str">
        <f ca="1">TEXT(DATE(YEAR(Invoer!$A$5),1,1)+INT((ROWS(B$2:B358)-1)/3),"jjjjmmdd")</f>
        <v>19450429</v>
      </c>
      <c r="C358" s="20" t="str">
        <f>INDEX(Data,2,2+MOD(ROWS(C$2:C358)-1,3))</f>
        <v>16.00</v>
      </c>
      <c r="D358" s="14" t="str">
        <f t="shared" ca="1" si="16"/>
        <v>—</v>
      </c>
      <c r="E358" s="25">
        <f t="shared" ca="1" si="17"/>
        <v>7</v>
      </c>
    </row>
    <row r="359" spans="1:5" x14ac:dyDescent="0.25">
      <c r="A359" s="8">
        <f t="shared" si="15"/>
        <v>73</v>
      </c>
      <c r="B359" t="str">
        <f ca="1">TEXT(DATE(YEAR(Invoer!$A$5),1,1)+INT((ROWS(B$2:B359)-1)/3),"jjjjmmdd")</f>
        <v>19450430</v>
      </c>
      <c r="C359" s="20" t="str">
        <f>INDEX(Data,2,2+MOD(ROWS(C$2:C359)-1,3))</f>
        <v>08.00</v>
      </c>
      <c r="D359" s="14" t="str">
        <f t="shared" ca="1" si="16"/>
        <v>—</v>
      </c>
      <c r="E359" s="25">
        <f t="shared" ca="1" si="17"/>
        <v>7</v>
      </c>
    </row>
    <row r="360" spans="1:5" x14ac:dyDescent="0.25">
      <c r="A360" s="8">
        <f t="shared" si="15"/>
        <v>73</v>
      </c>
      <c r="B360" t="str">
        <f ca="1">TEXT(DATE(YEAR(Invoer!$A$5),1,1)+INT((ROWS(B$2:B360)-1)/3),"jjjjmmdd")</f>
        <v>19450430</v>
      </c>
      <c r="C360" s="20" t="str">
        <f>INDEX(Data,2,2+MOD(ROWS(C$2:C360)-1,3))</f>
        <v>12.00</v>
      </c>
      <c r="D360" s="14" t="str">
        <f t="shared" ca="1" si="16"/>
        <v>—</v>
      </c>
      <c r="E360" s="25">
        <f t="shared" ca="1" si="17"/>
        <v>7</v>
      </c>
    </row>
    <row r="361" spans="1:5" x14ac:dyDescent="0.25">
      <c r="A361" s="8">
        <f t="shared" si="15"/>
        <v>73</v>
      </c>
      <c r="B361" t="str">
        <f ca="1">TEXT(DATE(YEAR(Invoer!$A$5),1,1)+INT((ROWS(B$2:B361)-1)/3),"jjjjmmdd")</f>
        <v>19450430</v>
      </c>
      <c r="C361" s="20" t="str">
        <f>INDEX(Data,2,2+MOD(ROWS(C$2:C361)-1,3))</f>
        <v>16.00</v>
      </c>
      <c r="D361" s="14" t="str">
        <f t="shared" ca="1" si="16"/>
        <v>—</v>
      </c>
      <c r="E361" s="25">
        <f t="shared" ca="1" si="17"/>
        <v>7</v>
      </c>
    </row>
    <row r="362" spans="1:5" x14ac:dyDescent="0.25">
      <c r="A362" s="8">
        <f t="shared" si="15"/>
        <v>73</v>
      </c>
      <c r="B362" t="str">
        <f ca="1">TEXT(DATE(YEAR(Invoer!$A$5),1,1)+INT((ROWS(B$2:B362)-1)/3),"jjjjmmdd")</f>
        <v>19450501</v>
      </c>
      <c r="C362" s="20" t="str">
        <f>INDEX(Data,2,2+MOD(ROWS(C$2:C362)-1,3))</f>
        <v>08.00</v>
      </c>
      <c r="D362" s="14" t="str">
        <f t="shared" ca="1" si="16"/>
        <v>—</v>
      </c>
      <c r="E362" s="25">
        <f t="shared" ca="1" si="17"/>
        <v>7</v>
      </c>
    </row>
    <row r="363" spans="1:5" x14ac:dyDescent="0.25">
      <c r="A363" s="8">
        <f t="shared" si="15"/>
        <v>73</v>
      </c>
      <c r="B363" t="str">
        <f ca="1">TEXT(DATE(YEAR(Invoer!$A$5),1,1)+INT((ROWS(B$2:B363)-1)/3),"jjjjmmdd")</f>
        <v>19450501</v>
      </c>
      <c r="C363" s="20" t="str">
        <f>INDEX(Data,2,2+MOD(ROWS(C$2:C363)-1,3))</f>
        <v>12.00</v>
      </c>
      <c r="D363" s="14" t="str">
        <f t="shared" ca="1" si="16"/>
        <v>—</v>
      </c>
      <c r="E363" s="25">
        <f t="shared" ca="1" si="17"/>
        <v>7</v>
      </c>
    </row>
    <row r="364" spans="1:5" x14ac:dyDescent="0.25">
      <c r="A364" s="8">
        <f t="shared" si="15"/>
        <v>73</v>
      </c>
      <c r="B364" t="str">
        <f ca="1">TEXT(DATE(YEAR(Invoer!$A$5),1,1)+INT((ROWS(B$2:B364)-1)/3),"jjjjmmdd")</f>
        <v>19450501</v>
      </c>
      <c r="C364" s="20" t="str">
        <f>INDEX(Data,2,2+MOD(ROWS(C$2:C364)-1,3))</f>
        <v>16.00</v>
      </c>
      <c r="D364" s="14" t="str">
        <f t="shared" ca="1" si="16"/>
        <v>—</v>
      </c>
      <c r="E364" s="25">
        <f t="shared" ca="1" si="17"/>
        <v>7</v>
      </c>
    </row>
    <row r="365" spans="1:5" x14ac:dyDescent="0.25">
      <c r="A365" s="8">
        <f t="shared" si="15"/>
        <v>73</v>
      </c>
      <c r="B365" t="str">
        <f ca="1">TEXT(DATE(YEAR(Invoer!$A$5),1,1)+INT((ROWS(B$2:B365)-1)/3),"jjjjmmdd")</f>
        <v>19450502</v>
      </c>
      <c r="C365" s="20" t="str">
        <f>INDEX(Data,2,2+MOD(ROWS(C$2:C365)-1,3))</f>
        <v>08.00</v>
      </c>
      <c r="D365" s="14" t="str">
        <f t="shared" ca="1" si="16"/>
        <v>—</v>
      </c>
      <c r="E365" s="25">
        <f t="shared" ca="1" si="17"/>
        <v>7</v>
      </c>
    </row>
    <row r="366" spans="1:5" x14ac:dyDescent="0.25">
      <c r="A366" s="8">
        <f t="shared" si="15"/>
        <v>73</v>
      </c>
      <c r="B366" t="str">
        <f ca="1">TEXT(DATE(YEAR(Invoer!$A$5),1,1)+INT((ROWS(B$2:B366)-1)/3),"jjjjmmdd")</f>
        <v>19450502</v>
      </c>
      <c r="C366" s="20" t="str">
        <f>INDEX(Data,2,2+MOD(ROWS(C$2:C366)-1,3))</f>
        <v>12.00</v>
      </c>
      <c r="D366" s="14" t="str">
        <f t="shared" ca="1" si="16"/>
        <v>—</v>
      </c>
      <c r="E366" s="25">
        <f t="shared" ca="1" si="17"/>
        <v>7</v>
      </c>
    </row>
    <row r="367" spans="1:5" x14ac:dyDescent="0.25">
      <c r="A367" s="8">
        <f t="shared" si="15"/>
        <v>73</v>
      </c>
      <c r="B367" t="str">
        <f ca="1">TEXT(DATE(YEAR(Invoer!$A$5),1,1)+INT((ROWS(B$2:B367)-1)/3),"jjjjmmdd")</f>
        <v>19450502</v>
      </c>
      <c r="C367" s="20" t="str">
        <f>INDEX(Data,2,2+MOD(ROWS(C$2:C367)-1,3))</f>
        <v>16.00</v>
      </c>
      <c r="D367" s="14" t="str">
        <f t="shared" ca="1" si="16"/>
        <v>—</v>
      </c>
      <c r="E367" s="25">
        <f t="shared" ca="1" si="17"/>
        <v>7</v>
      </c>
    </row>
    <row r="368" spans="1:5" x14ac:dyDescent="0.25">
      <c r="A368" s="8">
        <f t="shared" si="15"/>
        <v>73</v>
      </c>
      <c r="B368" t="str">
        <f ca="1">TEXT(DATE(YEAR(Invoer!$A$5),1,1)+INT((ROWS(B$2:B368)-1)/3),"jjjjmmdd")</f>
        <v>19450503</v>
      </c>
      <c r="C368" s="20" t="str">
        <f>INDEX(Data,2,2+MOD(ROWS(C$2:C368)-1,3))</f>
        <v>08.00</v>
      </c>
      <c r="D368" s="14" t="str">
        <f t="shared" ca="1" si="16"/>
        <v>—</v>
      </c>
      <c r="E368" s="25">
        <f t="shared" ca="1" si="17"/>
        <v>7</v>
      </c>
    </row>
    <row r="369" spans="1:5" x14ac:dyDescent="0.25">
      <c r="A369" s="8">
        <f t="shared" si="15"/>
        <v>73</v>
      </c>
      <c r="B369" t="str">
        <f ca="1">TEXT(DATE(YEAR(Invoer!$A$5),1,1)+INT((ROWS(B$2:B369)-1)/3),"jjjjmmdd")</f>
        <v>19450503</v>
      </c>
      <c r="C369" s="20" t="str">
        <f>INDEX(Data,2,2+MOD(ROWS(C$2:C369)-1,3))</f>
        <v>12.00</v>
      </c>
      <c r="D369" s="14" t="str">
        <f t="shared" ca="1" si="16"/>
        <v>—</v>
      </c>
      <c r="E369" s="25">
        <f t="shared" ca="1" si="17"/>
        <v>7</v>
      </c>
    </row>
    <row r="370" spans="1:5" x14ac:dyDescent="0.25">
      <c r="A370" s="8">
        <f t="shared" si="15"/>
        <v>73</v>
      </c>
      <c r="B370" t="str">
        <f ca="1">TEXT(DATE(YEAR(Invoer!$A$5),1,1)+INT((ROWS(B$2:B370)-1)/3),"jjjjmmdd")</f>
        <v>19450503</v>
      </c>
      <c r="C370" s="20" t="str">
        <f>INDEX(Data,2,2+MOD(ROWS(C$2:C370)-1,3))</f>
        <v>16.00</v>
      </c>
      <c r="D370" s="14" t="str">
        <f t="shared" ca="1" si="16"/>
        <v>—</v>
      </c>
      <c r="E370" s="25">
        <f t="shared" ca="1" si="17"/>
        <v>7</v>
      </c>
    </row>
    <row r="371" spans="1:5" x14ac:dyDescent="0.25">
      <c r="A371" s="8">
        <f t="shared" si="15"/>
        <v>73</v>
      </c>
      <c r="B371" t="str">
        <f ca="1">TEXT(DATE(YEAR(Invoer!$A$5),1,1)+INT((ROWS(B$2:B371)-1)/3),"jjjjmmdd")</f>
        <v>19450504</v>
      </c>
      <c r="C371" s="20" t="str">
        <f>INDEX(Data,2,2+MOD(ROWS(C$2:C371)-1,3))</f>
        <v>08.00</v>
      </c>
      <c r="D371" s="14" t="str">
        <f t="shared" ca="1" si="16"/>
        <v>—</v>
      </c>
      <c r="E371" s="25">
        <f t="shared" ca="1" si="17"/>
        <v>7</v>
      </c>
    </row>
    <row r="372" spans="1:5" x14ac:dyDescent="0.25">
      <c r="A372" s="8">
        <f t="shared" si="15"/>
        <v>73</v>
      </c>
      <c r="B372" t="str">
        <f ca="1">TEXT(DATE(YEAR(Invoer!$A$5),1,1)+INT((ROWS(B$2:B372)-1)/3),"jjjjmmdd")</f>
        <v>19450504</v>
      </c>
      <c r="C372" s="20" t="str">
        <f>INDEX(Data,2,2+MOD(ROWS(C$2:C372)-1,3))</f>
        <v>12.00</v>
      </c>
      <c r="D372" s="14" t="str">
        <f t="shared" ca="1" si="16"/>
        <v>—</v>
      </c>
      <c r="E372" s="25">
        <f t="shared" ca="1" si="17"/>
        <v>7</v>
      </c>
    </row>
    <row r="373" spans="1:5" x14ac:dyDescent="0.25">
      <c r="A373" s="8">
        <f t="shared" si="15"/>
        <v>73</v>
      </c>
      <c r="B373" t="str">
        <f ca="1">TEXT(DATE(YEAR(Invoer!$A$5),1,1)+INT((ROWS(B$2:B373)-1)/3),"jjjjmmdd")</f>
        <v>19450504</v>
      </c>
      <c r="C373" s="20" t="str">
        <f>INDEX(Data,2,2+MOD(ROWS(C$2:C373)-1,3))</f>
        <v>16.00</v>
      </c>
      <c r="D373" s="14" t="str">
        <f t="shared" ca="1" si="16"/>
        <v>—</v>
      </c>
      <c r="E373" s="25">
        <f t="shared" ca="1" si="17"/>
        <v>7</v>
      </c>
    </row>
    <row r="374" spans="1:5" x14ac:dyDescent="0.25">
      <c r="A374" s="8">
        <f t="shared" si="15"/>
        <v>73</v>
      </c>
      <c r="B374" t="str">
        <f ca="1">TEXT(DATE(YEAR(Invoer!$A$5),1,1)+INT((ROWS(B$2:B374)-1)/3),"jjjjmmdd")</f>
        <v>19450505</v>
      </c>
      <c r="C374" s="20" t="str">
        <f>INDEX(Data,2,2+MOD(ROWS(C$2:C374)-1,3))</f>
        <v>08.00</v>
      </c>
      <c r="D374" s="14" t="str">
        <f t="shared" ca="1" si="16"/>
        <v>—</v>
      </c>
      <c r="E374" s="25">
        <f t="shared" ca="1" si="17"/>
        <v>7</v>
      </c>
    </row>
    <row r="375" spans="1:5" x14ac:dyDescent="0.25">
      <c r="A375" s="8">
        <f t="shared" si="15"/>
        <v>73</v>
      </c>
      <c r="B375" t="str">
        <f ca="1">TEXT(DATE(YEAR(Invoer!$A$5),1,1)+INT((ROWS(B$2:B375)-1)/3),"jjjjmmdd")</f>
        <v>19450505</v>
      </c>
      <c r="C375" s="20" t="str">
        <f>INDEX(Data,2,2+MOD(ROWS(C$2:C375)-1,3))</f>
        <v>12.00</v>
      </c>
      <c r="D375" s="14" t="str">
        <f t="shared" ca="1" si="16"/>
        <v>—</v>
      </c>
      <c r="E375" s="25">
        <f t="shared" ca="1" si="17"/>
        <v>7</v>
      </c>
    </row>
    <row r="376" spans="1:5" x14ac:dyDescent="0.25">
      <c r="A376" s="8">
        <f t="shared" si="15"/>
        <v>73</v>
      </c>
      <c r="B376" t="str">
        <f ca="1">TEXT(DATE(YEAR(Invoer!$A$5),1,1)+INT((ROWS(B$2:B376)-1)/3),"jjjjmmdd")</f>
        <v>19450505</v>
      </c>
      <c r="C376" s="20" t="str">
        <f>INDEX(Data,2,2+MOD(ROWS(C$2:C376)-1,3))</f>
        <v>16.00</v>
      </c>
      <c r="D376" s="14" t="str">
        <f t="shared" ca="1" si="16"/>
        <v>—</v>
      </c>
      <c r="E376" s="25">
        <f t="shared" ca="1" si="17"/>
        <v>7</v>
      </c>
    </row>
    <row r="377" spans="1:5" x14ac:dyDescent="0.25">
      <c r="A377" s="8">
        <f t="shared" si="15"/>
        <v>73</v>
      </c>
      <c r="B377" t="str">
        <f ca="1">TEXT(DATE(YEAR(Invoer!$A$5),1,1)+INT((ROWS(B$2:B377)-1)/3),"jjjjmmdd")</f>
        <v>19450506</v>
      </c>
      <c r="C377" s="20" t="str">
        <f>INDEX(Data,2,2+MOD(ROWS(C$2:C377)-1,3))</f>
        <v>08.00</v>
      </c>
      <c r="D377" s="14" t="str">
        <f t="shared" ca="1" si="16"/>
        <v>—</v>
      </c>
      <c r="E377" s="25">
        <f t="shared" ca="1" si="17"/>
        <v>7</v>
      </c>
    </row>
    <row r="378" spans="1:5" x14ac:dyDescent="0.25">
      <c r="A378" s="8">
        <f t="shared" si="15"/>
        <v>73</v>
      </c>
      <c r="B378" t="str">
        <f ca="1">TEXT(DATE(YEAR(Invoer!$A$5),1,1)+INT((ROWS(B$2:B378)-1)/3),"jjjjmmdd")</f>
        <v>19450506</v>
      </c>
      <c r="C378" s="20" t="str">
        <f>INDEX(Data,2,2+MOD(ROWS(C$2:C378)-1,3))</f>
        <v>12.00</v>
      </c>
      <c r="D378" s="14" t="str">
        <f t="shared" ca="1" si="16"/>
        <v>—</v>
      </c>
      <c r="E378" s="25">
        <f t="shared" ca="1" si="17"/>
        <v>7</v>
      </c>
    </row>
    <row r="379" spans="1:5" x14ac:dyDescent="0.25">
      <c r="A379" s="8">
        <f t="shared" si="15"/>
        <v>73</v>
      </c>
      <c r="B379" t="str">
        <f ca="1">TEXT(DATE(YEAR(Invoer!$A$5),1,1)+INT((ROWS(B$2:B379)-1)/3),"jjjjmmdd")</f>
        <v>19450506</v>
      </c>
      <c r="C379" s="20" t="str">
        <f>INDEX(Data,2,2+MOD(ROWS(C$2:C379)-1,3))</f>
        <v>16.00</v>
      </c>
      <c r="D379" s="14" t="str">
        <f t="shared" ca="1" si="16"/>
        <v>—</v>
      </c>
      <c r="E379" s="25">
        <f t="shared" ca="1" si="17"/>
        <v>7</v>
      </c>
    </row>
    <row r="380" spans="1:5" x14ac:dyDescent="0.25">
      <c r="A380" s="8">
        <f t="shared" si="15"/>
        <v>73</v>
      </c>
      <c r="B380" t="str">
        <f ca="1">TEXT(DATE(YEAR(Invoer!$A$5),1,1)+INT((ROWS(B$2:B380)-1)/3),"jjjjmmdd")</f>
        <v>19450507</v>
      </c>
      <c r="C380" s="20" t="str">
        <f>INDEX(Data,2,2+MOD(ROWS(C$2:C380)-1,3))</f>
        <v>08.00</v>
      </c>
      <c r="D380" s="14" t="str">
        <f t="shared" ca="1" si="16"/>
        <v>—</v>
      </c>
      <c r="E380" s="25">
        <f t="shared" ca="1" si="17"/>
        <v>7</v>
      </c>
    </row>
    <row r="381" spans="1:5" x14ac:dyDescent="0.25">
      <c r="A381" s="8">
        <f t="shared" si="15"/>
        <v>73</v>
      </c>
      <c r="B381" t="str">
        <f ca="1">TEXT(DATE(YEAR(Invoer!$A$5),1,1)+INT((ROWS(B$2:B381)-1)/3),"jjjjmmdd")</f>
        <v>19450507</v>
      </c>
      <c r="C381" s="20" t="str">
        <f>INDEX(Data,2,2+MOD(ROWS(C$2:C381)-1,3))</f>
        <v>12.00</v>
      </c>
      <c r="D381" s="14" t="str">
        <f t="shared" ca="1" si="16"/>
        <v>—</v>
      </c>
      <c r="E381" s="25">
        <f t="shared" ca="1" si="17"/>
        <v>7</v>
      </c>
    </row>
    <row r="382" spans="1:5" x14ac:dyDescent="0.25">
      <c r="A382" s="8">
        <f t="shared" si="15"/>
        <v>73</v>
      </c>
      <c r="B382" t="str">
        <f ca="1">TEXT(DATE(YEAR(Invoer!$A$5),1,1)+INT((ROWS(B$2:B382)-1)/3),"jjjjmmdd")</f>
        <v>19450507</v>
      </c>
      <c r="C382" s="20" t="str">
        <f>INDEX(Data,2,2+MOD(ROWS(C$2:C382)-1,3))</f>
        <v>16.00</v>
      </c>
      <c r="D382" s="14" t="str">
        <f t="shared" ca="1" si="16"/>
        <v>—</v>
      </c>
      <c r="E382" s="25">
        <f t="shared" ca="1" si="17"/>
        <v>7</v>
      </c>
    </row>
    <row r="383" spans="1:5" x14ac:dyDescent="0.25">
      <c r="A383" s="8">
        <f t="shared" si="15"/>
        <v>73</v>
      </c>
      <c r="B383" t="str">
        <f ca="1">TEXT(DATE(YEAR(Invoer!$A$5),1,1)+INT((ROWS(B$2:B383)-1)/3),"jjjjmmdd")</f>
        <v>19450508</v>
      </c>
      <c r="C383" s="20" t="str">
        <f>INDEX(Data,2,2+MOD(ROWS(C$2:C383)-1,3))</f>
        <v>08.00</v>
      </c>
      <c r="D383" s="14" t="str">
        <f t="shared" ca="1" si="16"/>
        <v>—</v>
      </c>
      <c r="E383" s="25">
        <f t="shared" ca="1" si="17"/>
        <v>7</v>
      </c>
    </row>
    <row r="384" spans="1:5" x14ac:dyDescent="0.25">
      <c r="A384" s="8">
        <f t="shared" si="15"/>
        <v>73</v>
      </c>
      <c r="B384" t="str">
        <f ca="1">TEXT(DATE(YEAR(Invoer!$A$5),1,1)+INT((ROWS(B$2:B384)-1)/3),"jjjjmmdd")</f>
        <v>19450508</v>
      </c>
      <c r="C384" s="20" t="str">
        <f>INDEX(Data,2,2+MOD(ROWS(C$2:C384)-1,3))</f>
        <v>12.00</v>
      </c>
      <c r="D384" s="14" t="str">
        <f t="shared" ca="1" si="16"/>
        <v>—</v>
      </c>
      <c r="E384" s="25">
        <f t="shared" ca="1" si="17"/>
        <v>7</v>
      </c>
    </row>
    <row r="385" spans="1:5" x14ac:dyDescent="0.25">
      <c r="A385" s="8">
        <f t="shared" si="15"/>
        <v>73</v>
      </c>
      <c r="B385" t="str">
        <f ca="1">TEXT(DATE(YEAR(Invoer!$A$5),1,1)+INT((ROWS(B$2:B385)-1)/3),"jjjjmmdd")</f>
        <v>19450508</v>
      </c>
      <c r="C385" s="20" t="str">
        <f>INDEX(Data,2,2+MOD(ROWS(C$2:C385)-1,3))</f>
        <v>16.00</v>
      </c>
      <c r="D385" s="14" t="str">
        <f t="shared" ca="1" si="16"/>
        <v>—</v>
      </c>
      <c r="E385" s="25">
        <f t="shared" ca="1" si="17"/>
        <v>7</v>
      </c>
    </row>
    <row r="386" spans="1:5" x14ac:dyDescent="0.25">
      <c r="A386" s="8">
        <f t="shared" ref="A386:A449" si="18">INDEX(Stations,2,1)</f>
        <v>73</v>
      </c>
      <c r="B386" t="str">
        <f ca="1">TEXT(DATE(YEAR(Invoer!$A$5),1,1)+INT((ROWS(B$2:B386)-1)/3),"jjjjmmdd")</f>
        <v>19450509</v>
      </c>
      <c r="C386" s="20" t="str">
        <f>INDEX(Data,2,2+MOD(ROWS(C$2:C386)-1,3))</f>
        <v>08.00</v>
      </c>
      <c r="D386" s="14" t="str">
        <f t="shared" ref="D386:D449" ca="1" si="19">IF(OR(ISBLANK(VLOOKUP(DATEVALUE(LEFT($B386,4)&amp;"-"&amp;MID($B386,5,2)&amp;"-"&amp;RIGHT($B386,2)),Data,MATCH(LEFT(VLOOKUP(D$1,Parameters,2,FALSE()),4)&amp;"*",OFFSET(Data,0,0,1),0)+MATCH($C386,OFFSET(Data,1,0,1),0)-2,FALSE())),ISTEXT(VLOOKUP(DATEVALUE(LEFT($B386,4)&amp;"-"&amp;MID($B386,5,2)&amp;"-"&amp;RIGHT($B386,2)),Data,MATCH(LEFT(VLOOKUP(D$1,Parameters,2,FALSE()),4)&amp;"*",OFFSET(Data,0,0,1),0)+MATCH($C386,OFFSET(Data,1,0,1),0)-2,FALSE()))),"—",VLOOKUP(DATEVALUE(LEFT($B386,4)&amp;"-"&amp;MID($B386,5,2)&amp;"-"&amp;RIGHT($B386,2)),Data,MATCH(LEFT(VLOOKUP(D$1,Parameters,2,FALSE()),4)&amp;"*",OFFSET(Data,0,0,1),0)+MATCH($C386,OFFSET(Data,1,0,1),0)-2,FALSE()))</f>
        <v>—</v>
      </c>
      <c r="E386" s="25">
        <f t="shared" ref="E386:E449" ca="1" si="20">IF(OR(ISBLANK(VLOOKUP(DATEVALUE(LEFT($B386,4)&amp;"-"&amp;MID($B386,5,2)&amp;"-"&amp;RIGHT($B386,2)),Data,MATCH(LEFT(VLOOKUP(MID(E$1,2,LEN(E$1)-1),Parameters,2,FALSE()),4)&amp;"*",OFFSET(Data,0,0,1),0)+MATCH($C386,OFFSET(Data,1,0,1),0)-2,FALSE())),ISTEXT(VLOOKUP(DATEVALUE(LEFT($B386,4)&amp;"-"&amp;MID($B386,5,2)&amp;"-"&amp;RIGHT($B386,2)),Data,MATCH(LEFT(VLOOKUP(MID(E$1,2,LEN(E$1)-1),Parameters,2,FALSE()),4)&amp;"*",OFFSET(Data,0,0,1),0)+MATCH($C386,OFFSET(Data,1,0,1),0)-2,FALSE()))),Lacking,IF(ISNA(MATCH(DATEVALUE(LEFT($B386,4)&amp;"-"&amp;MID($B386,5,2)&amp;"-"&amp;RIGHT($B386,2)),OFFSET(Catalogus,0,0,,1),0)),Ok,VLOOKUP(DATEVALUE(LEFT($B386,4)&amp;"-"&amp;MID($B386,5,2)&amp;"-"&amp;RIGHT($B386,2)),Catalogus,MATCH(LEFT(VLOOKUP(MID(E$1,2,LEN(E$1)-1),Parameters,2,FALSE()),4)&amp;"*",OFFSET(Catalogus,0,0,1),0)+MATCH($C386,OFFSET(Catalogus,1,0,1),0)-2,FALSE())))</f>
        <v>7</v>
      </c>
    </row>
    <row r="387" spans="1:5" x14ac:dyDescent="0.25">
      <c r="A387" s="8">
        <f t="shared" si="18"/>
        <v>73</v>
      </c>
      <c r="B387" t="str">
        <f ca="1">TEXT(DATE(YEAR(Invoer!$A$5),1,1)+INT((ROWS(B$2:B387)-1)/3),"jjjjmmdd")</f>
        <v>19450509</v>
      </c>
      <c r="C387" s="20" t="str">
        <f>INDEX(Data,2,2+MOD(ROWS(C$2:C387)-1,3))</f>
        <v>12.00</v>
      </c>
      <c r="D387" s="14" t="str">
        <f t="shared" ca="1" si="19"/>
        <v>—</v>
      </c>
      <c r="E387" s="25">
        <f t="shared" ca="1" si="20"/>
        <v>7</v>
      </c>
    </row>
    <row r="388" spans="1:5" x14ac:dyDescent="0.25">
      <c r="A388" s="8">
        <f t="shared" si="18"/>
        <v>73</v>
      </c>
      <c r="B388" t="str">
        <f ca="1">TEXT(DATE(YEAR(Invoer!$A$5),1,1)+INT((ROWS(B$2:B388)-1)/3),"jjjjmmdd")</f>
        <v>19450509</v>
      </c>
      <c r="C388" s="20" t="str">
        <f>INDEX(Data,2,2+MOD(ROWS(C$2:C388)-1,3))</f>
        <v>16.00</v>
      </c>
      <c r="D388" s="14" t="str">
        <f t="shared" ca="1" si="19"/>
        <v>—</v>
      </c>
      <c r="E388" s="25">
        <f t="shared" ca="1" si="20"/>
        <v>7</v>
      </c>
    </row>
    <row r="389" spans="1:5" x14ac:dyDescent="0.25">
      <c r="A389" s="8">
        <f t="shared" si="18"/>
        <v>73</v>
      </c>
      <c r="B389" t="str">
        <f ca="1">TEXT(DATE(YEAR(Invoer!$A$5),1,1)+INT((ROWS(B$2:B389)-1)/3),"jjjjmmdd")</f>
        <v>19450510</v>
      </c>
      <c r="C389" s="20" t="str">
        <f>INDEX(Data,2,2+MOD(ROWS(C$2:C389)-1,3))</f>
        <v>08.00</v>
      </c>
      <c r="D389" s="14" t="str">
        <f t="shared" ca="1" si="19"/>
        <v>—</v>
      </c>
      <c r="E389" s="25">
        <f t="shared" ca="1" si="20"/>
        <v>7</v>
      </c>
    </row>
    <row r="390" spans="1:5" x14ac:dyDescent="0.25">
      <c r="A390" s="8">
        <f t="shared" si="18"/>
        <v>73</v>
      </c>
      <c r="B390" t="str">
        <f ca="1">TEXT(DATE(YEAR(Invoer!$A$5),1,1)+INT((ROWS(B$2:B390)-1)/3),"jjjjmmdd")</f>
        <v>19450510</v>
      </c>
      <c r="C390" s="20" t="str">
        <f>INDEX(Data,2,2+MOD(ROWS(C$2:C390)-1,3))</f>
        <v>12.00</v>
      </c>
      <c r="D390" s="14" t="str">
        <f t="shared" ca="1" si="19"/>
        <v>—</v>
      </c>
      <c r="E390" s="25">
        <f t="shared" ca="1" si="20"/>
        <v>7</v>
      </c>
    </row>
    <row r="391" spans="1:5" x14ac:dyDescent="0.25">
      <c r="A391" s="8">
        <f t="shared" si="18"/>
        <v>73</v>
      </c>
      <c r="B391" t="str">
        <f ca="1">TEXT(DATE(YEAR(Invoer!$A$5),1,1)+INT((ROWS(B$2:B391)-1)/3),"jjjjmmdd")</f>
        <v>19450510</v>
      </c>
      <c r="C391" s="20" t="str">
        <f>INDEX(Data,2,2+MOD(ROWS(C$2:C391)-1,3))</f>
        <v>16.00</v>
      </c>
      <c r="D391" s="14" t="str">
        <f t="shared" ca="1" si="19"/>
        <v>—</v>
      </c>
      <c r="E391" s="25">
        <f t="shared" ca="1" si="20"/>
        <v>7</v>
      </c>
    </row>
    <row r="392" spans="1:5" x14ac:dyDescent="0.25">
      <c r="A392" s="8">
        <f t="shared" si="18"/>
        <v>73</v>
      </c>
      <c r="B392" t="str">
        <f ca="1">TEXT(DATE(YEAR(Invoer!$A$5),1,1)+INT((ROWS(B$2:B392)-1)/3),"jjjjmmdd")</f>
        <v>19450511</v>
      </c>
      <c r="C392" s="20" t="str">
        <f>INDEX(Data,2,2+MOD(ROWS(C$2:C392)-1,3))</f>
        <v>08.00</v>
      </c>
      <c r="D392" s="14" t="str">
        <f t="shared" ca="1" si="19"/>
        <v>—</v>
      </c>
      <c r="E392" s="25">
        <f t="shared" ca="1" si="20"/>
        <v>7</v>
      </c>
    </row>
    <row r="393" spans="1:5" x14ac:dyDescent="0.25">
      <c r="A393" s="8">
        <f t="shared" si="18"/>
        <v>73</v>
      </c>
      <c r="B393" t="str">
        <f ca="1">TEXT(DATE(YEAR(Invoer!$A$5),1,1)+INT((ROWS(B$2:B393)-1)/3),"jjjjmmdd")</f>
        <v>19450511</v>
      </c>
      <c r="C393" s="20" t="str">
        <f>INDEX(Data,2,2+MOD(ROWS(C$2:C393)-1,3))</f>
        <v>12.00</v>
      </c>
      <c r="D393" s="14" t="str">
        <f t="shared" ca="1" si="19"/>
        <v>—</v>
      </c>
      <c r="E393" s="25">
        <f t="shared" ca="1" si="20"/>
        <v>7</v>
      </c>
    </row>
    <row r="394" spans="1:5" x14ac:dyDescent="0.25">
      <c r="A394" s="8">
        <f t="shared" si="18"/>
        <v>73</v>
      </c>
      <c r="B394" t="str">
        <f ca="1">TEXT(DATE(YEAR(Invoer!$A$5),1,1)+INT((ROWS(B$2:B394)-1)/3),"jjjjmmdd")</f>
        <v>19450511</v>
      </c>
      <c r="C394" s="20" t="str">
        <f>INDEX(Data,2,2+MOD(ROWS(C$2:C394)-1,3))</f>
        <v>16.00</v>
      </c>
      <c r="D394" s="14" t="str">
        <f t="shared" ca="1" si="19"/>
        <v>—</v>
      </c>
      <c r="E394" s="25">
        <f t="shared" ca="1" si="20"/>
        <v>7</v>
      </c>
    </row>
    <row r="395" spans="1:5" x14ac:dyDescent="0.25">
      <c r="A395" s="8">
        <f t="shared" si="18"/>
        <v>73</v>
      </c>
      <c r="B395" t="str">
        <f ca="1">TEXT(DATE(YEAR(Invoer!$A$5),1,1)+INT((ROWS(B$2:B395)-1)/3),"jjjjmmdd")</f>
        <v>19450512</v>
      </c>
      <c r="C395" s="20" t="str">
        <f>INDEX(Data,2,2+MOD(ROWS(C$2:C395)-1,3))</f>
        <v>08.00</v>
      </c>
      <c r="D395" s="14" t="str">
        <f t="shared" ca="1" si="19"/>
        <v>—</v>
      </c>
      <c r="E395" s="25">
        <f t="shared" ca="1" si="20"/>
        <v>7</v>
      </c>
    </row>
    <row r="396" spans="1:5" x14ac:dyDescent="0.25">
      <c r="A396" s="8">
        <f t="shared" si="18"/>
        <v>73</v>
      </c>
      <c r="B396" t="str">
        <f ca="1">TEXT(DATE(YEAR(Invoer!$A$5),1,1)+INT((ROWS(B$2:B396)-1)/3),"jjjjmmdd")</f>
        <v>19450512</v>
      </c>
      <c r="C396" s="20" t="str">
        <f>INDEX(Data,2,2+MOD(ROWS(C$2:C396)-1,3))</f>
        <v>12.00</v>
      </c>
      <c r="D396" s="14" t="str">
        <f t="shared" ca="1" si="19"/>
        <v>—</v>
      </c>
      <c r="E396" s="25">
        <f t="shared" ca="1" si="20"/>
        <v>7</v>
      </c>
    </row>
    <row r="397" spans="1:5" x14ac:dyDescent="0.25">
      <c r="A397" s="8">
        <f t="shared" si="18"/>
        <v>73</v>
      </c>
      <c r="B397" t="str">
        <f ca="1">TEXT(DATE(YEAR(Invoer!$A$5),1,1)+INT((ROWS(B$2:B397)-1)/3),"jjjjmmdd")</f>
        <v>19450512</v>
      </c>
      <c r="C397" s="20" t="str">
        <f>INDEX(Data,2,2+MOD(ROWS(C$2:C397)-1,3))</f>
        <v>16.00</v>
      </c>
      <c r="D397" s="14" t="str">
        <f t="shared" ca="1" si="19"/>
        <v>—</v>
      </c>
      <c r="E397" s="25">
        <f t="shared" ca="1" si="20"/>
        <v>7</v>
      </c>
    </row>
    <row r="398" spans="1:5" x14ac:dyDescent="0.25">
      <c r="A398" s="8">
        <f t="shared" si="18"/>
        <v>73</v>
      </c>
      <c r="B398" t="str">
        <f ca="1">TEXT(DATE(YEAR(Invoer!$A$5),1,1)+INT((ROWS(B$2:B398)-1)/3),"jjjjmmdd")</f>
        <v>19450513</v>
      </c>
      <c r="C398" s="20" t="str">
        <f>INDEX(Data,2,2+MOD(ROWS(C$2:C398)-1,3))</f>
        <v>08.00</v>
      </c>
      <c r="D398" s="14" t="str">
        <f t="shared" ca="1" si="19"/>
        <v>—</v>
      </c>
      <c r="E398" s="25">
        <f t="shared" ca="1" si="20"/>
        <v>7</v>
      </c>
    </row>
    <row r="399" spans="1:5" x14ac:dyDescent="0.25">
      <c r="A399" s="8">
        <f t="shared" si="18"/>
        <v>73</v>
      </c>
      <c r="B399" t="str">
        <f ca="1">TEXT(DATE(YEAR(Invoer!$A$5),1,1)+INT((ROWS(B$2:B399)-1)/3),"jjjjmmdd")</f>
        <v>19450513</v>
      </c>
      <c r="C399" s="20" t="str">
        <f>INDEX(Data,2,2+MOD(ROWS(C$2:C399)-1,3))</f>
        <v>12.00</v>
      </c>
      <c r="D399" s="14" t="str">
        <f t="shared" ca="1" si="19"/>
        <v>—</v>
      </c>
      <c r="E399" s="25">
        <f t="shared" ca="1" si="20"/>
        <v>7</v>
      </c>
    </row>
    <row r="400" spans="1:5" x14ac:dyDescent="0.25">
      <c r="A400" s="8">
        <f t="shared" si="18"/>
        <v>73</v>
      </c>
      <c r="B400" t="str">
        <f ca="1">TEXT(DATE(YEAR(Invoer!$A$5),1,1)+INT((ROWS(B$2:B400)-1)/3),"jjjjmmdd")</f>
        <v>19450513</v>
      </c>
      <c r="C400" s="20" t="str">
        <f>INDEX(Data,2,2+MOD(ROWS(C$2:C400)-1,3))</f>
        <v>16.00</v>
      </c>
      <c r="D400" s="14" t="str">
        <f t="shared" ca="1" si="19"/>
        <v>—</v>
      </c>
      <c r="E400" s="25">
        <f t="shared" ca="1" si="20"/>
        <v>7</v>
      </c>
    </row>
    <row r="401" spans="1:5" x14ac:dyDescent="0.25">
      <c r="A401" s="8">
        <f t="shared" si="18"/>
        <v>73</v>
      </c>
      <c r="B401" t="str">
        <f ca="1">TEXT(DATE(YEAR(Invoer!$A$5),1,1)+INT((ROWS(B$2:B401)-1)/3),"jjjjmmdd")</f>
        <v>19450514</v>
      </c>
      <c r="C401" s="20" t="str">
        <f>INDEX(Data,2,2+MOD(ROWS(C$2:C401)-1,3))</f>
        <v>08.00</v>
      </c>
      <c r="D401" s="14" t="str">
        <f t="shared" ca="1" si="19"/>
        <v>—</v>
      </c>
      <c r="E401" s="25">
        <f t="shared" ca="1" si="20"/>
        <v>7</v>
      </c>
    </row>
    <row r="402" spans="1:5" x14ac:dyDescent="0.25">
      <c r="A402" s="8">
        <f t="shared" si="18"/>
        <v>73</v>
      </c>
      <c r="B402" t="str">
        <f ca="1">TEXT(DATE(YEAR(Invoer!$A$5),1,1)+INT((ROWS(B$2:B402)-1)/3),"jjjjmmdd")</f>
        <v>19450514</v>
      </c>
      <c r="C402" s="20" t="str">
        <f>INDEX(Data,2,2+MOD(ROWS(C$2:C402)-1,3))</f>
        <v>12.00</v>
      </c>
      <c r="D402" s="14" t="str">
        <f t="shared" ca="1" si="19"/>
        <v>—</v>
      </c>
      <c r="E402" s="25">
        <f t="shared" ca="1" si="20"/>
        <v>7</v>
      </c>
    </row>
    <row r="403" spans="1:5" x14ac:dyDescent="0.25">
      <c r="A403" s="8">
        <f t="shared" si="18"/>
        <v>73</v>
      </c>
      <c r="B403" t="str">
        <f ca="1">TEXT(DATE(YEAR(Invoer!$A$5),1,1)+INT((ROWS(B$2:B403)-1)/3),"jjjjmmdd")</f>
        <v>19450514</v>
      </c>
      <c r="C403" s="20" t="str">
        <f>INDEX(Data,2,2+MOD(ROWS(C$2:C403)-1,3))</f>
        <v>16.00</v>
      </c>
      <c r="D403" s="14" t="str">
        <f t="shared" ca="1" si="19"/>
        <v>—</v>
      </c>
      <c r="E403" s="25">
        <f t="shared" ca="1" si="20"/>
        <v>7</v>
      </c>
    </row>
    <row r="404" spans="1:5" x14ac:dyDescent="0.25">
      <c r="A404" s="8">
        <f t="shared" si="18"/>
        <v>73</v>
      </c>
      <c r="B404" t="str">
        <f ca="1">TEXT(DATE(YEAR(Invoer!$A$5),1,1)+INT((ROWS(B$2:B404)-1)/3),"jjjjmmdd")</f>
        <v>19450515</v>
      </c>
      <c r="C404" s="20" t="str">
        <f>INDEX(Data,2,2+MOD(ROWS(C$2:C404)-1,3))</f>
        <v>08.00</v>
      </c>
      <c r="D404" s="14" t="str">
        <f t="shared" ca="1" si="19"/>
        <v>—</v>
      </c>
      <c r="E404" s="25">
        <f t="shared" ca="1" si="20"/>
        <v>7</v>
      </c>
    </row>
    <row r="405" spans="1:5" x14ac:dyDescent="0.25">
      <c r="A405" s="8">
        <f t="shared" si="18"/>
        <v>73</v>
      </c>
      <c r="B405" t="str">
        <f ca="1">TEXT(DATE(YEAR(Invoer!$A$5),1,1)+INT((ROWS(B$2:B405)-1)/3),"jjjjmmdd")</f>
        <v>19450515</v>
      </c>
      <c r="C405" s="20" t="str">
        <f>INDEX(Data,2,2+MOD(ROWS(C$2:C405)-1,3))</f>
        <v>12.00</v>
      </c>
      <c r="D405" s="14" t="str">
        <f t="shared" ca="1" si="19"/>
        <v>—</v>
      </c>
      <c r="E405" s="25">
        <f t="shared" ca="1" si="20"/>
        <v>7</v>
      </c>
    </row>
    <row r="406" spans="1:5" x14ac:dyDescent="0.25">
      <c r="A406" s="8">
        <f t="shared" si="18"/>
        <v>73</v>
      </c>
      <c r="B406" t="str">
        <f ca="1">TEXT(DATE(YEAR(Invoer!$A$5),1,1)+INT((ROWS(B$2:B406)-1)/3),"jjjjmmdd")</f>
        <v>19450515</v>
      </c>
      <c r="C406" s="20" t="str">
        <f>INDEX(Data,2,2+MOD(ROWS(C$2:C406)-1,3))</f>
        <v>16.00</v>
      </c>
      <c r="D406" s="14" t="str">
        <f t="shared" ca="1" si="19"/>
        <v>—</v>
      </c>
      <c r="E406" s="25">
        <f t="shared" ca="1" si="20"/>
        <v>7</v>
      </c>
    </row>
    <row r="407" spans="1:5" x14ac:dyDescent="0.25">
      <c r="A407" s="8">
        <f t="shared" si="18"/>
        <v>73</v>
      </c>
      <c r="B407" t="str">
        <f ca="1">TEXT(DATE(YEAR(Invoer!$A$5),1,1)+INT((ROWS(B$2:B407)-1)/3),"jjjjmmdd")</f>
        <v>19450516</v>
      </c>
      <c r="C407" s="20" t="str">
        <f>INDEX(Data,2,2+MOD(ROWS(C$2:C407)-1,3))</f>
        <v>08.00</v>
      </c>
      <c r="D407" s="14" t="str">
        <f t="shared" ca="1" si="19"/>
        <v>—</v>
      </c>
      <c r="E407" s="25">
        <f t="shared" ca="1" si="20"/>
        <v>7</v>
      </c>
    </row>
    <row r="408" spans="1:5" x14ac:dyDescent="0.25">
      <c r="A408" s="8">
        <f t="shared" si="18"/>
        <v>73</v>
      </c>
      <c r="B408" t="str">
        <f ca="1">TEXT(DATE(YEAR(Invoer!$A$5),1,1)+INT((ROWS(B$2:B408)-1)/3),"jjjjmmdd")</f>
        <v>19450516</v>
      </c>
      <c r="C408" s="20" t="str">
        <f>INDEX(Data,2,2+MOD(ROWS(C$2:C408)-1,3))</f>
        <v>12.00</v>
      </c>
      <c r="D408" s="14" t="str">
        <f t="shared" ca="1" si="19"/>
        <v>—</v>
      </c>
      <c r="E408" s="25">
        <f t="shared" ca="1" si="20"/>
        <v>7</v>
      </c>
    </row>
    <row r="409" spans="1:5" x14ac:dyDescent="0.25">
      <c r="A409" s="8">
        <f t="shared" si="18"/>
        <v>73</v>
      </c>
      <c r="B409" t="str">
        <f ca="1">TEXT(DATE(YEAR(Invoer!$A$5),1,1)+INT((ROWS(B$2:B409)-1)/3),"jjjjmmdd")</f>
        <v>19450516</v>
      </c>
      <c r="C409" s="20" t="str">
        <f>INDEX(Data,2,2+MOD(ROWS(C$2:C409)-1,3))</f>
        <v>16.00</v>
      </c>
      <c r="D409" s="14" t="str">
        <f t="shared" ca="1" si="19"/>
        <v>—</v>
      </c>
      <c r="E409" s="25">
        <f t="shared" ca="1" si="20"/>
        <v>7</v>
      </c>
    </row>
    <row r="410" spans="1:5" x14ac:dyDescent="0.25">
      <c r="A410" s="8">
        <f t="shared" si="18"/>
        <v>73</v>
      </c>
      <c r="B410" t="str">
        <f ca="1">TEXT(DATE(YEAR(Invoer!$A$5),1,1)+INT((ROWS(B$2:B410)-1)/3),"jjjjmmdd")</f>
        <v>19450517</v>
      </c>
      <c r="C410" s="20" t="str">
        <f>INDEX(Data,2,2+MOD(ROWS(C$2:C410)-1,3))</f>
        <v>08.00</v>
      </c>
      <c r="D410" s="14" t="str">
        <f t="shared" ca="1" si="19"/>
        <v>—</v>
      </c>
      <c r="E410" s="25">
        <f t="shared" ca="1" si="20"/>
        <v>7</v>
      </c>
    </row>
    <row r="411" spans="1:5" x14ac:dyDescent="0.25">
      <c r="A411" s="8">
        <f t="shared" si="18"/>
        <v>73</v>
      </c>
      <c r="B411" t="str">
        <f ca="1">TEXT(DATE(YEAR(Invoer!$A$5),1,1)+INT((ROWS(B$2:B411)-1)/3),"jjjjmmdd")</f>
        <v>19450517</v>
      </c>
      <c r="C411" s="20" t="str">
        <f>INDEX(Data,2,2+MOD(ROWS(C$2:C411)-1,3))</f>
        <v>12.00</v>
      </c>
      <c r="D411" s="14" t="str">
        <f t="shared" ca="1" si="19"/>
        <v>—</v>
      </c>
      <c r="E411" s="25">
        <f t="shared" ca="1" si="20"/>
        <v>7</v>
      </c>
    </row>
    <row r="412" spans="1:5" x14ac:dyDescent="0.25">
      <c r="A412" s="8">
        <f t="shared" si="18"/>
        <v>73</v>
      </c>
      <c r="B412" t="str">
        <f ca="1">TEXT(DATE(YEAR(Invoer!$A$5),1,1)+INT((ROWS(B$2:B412)-1)/3),"jjjjmmdd")</f>
        <v>19450517</v>
      </c>
      <c r="C412" s="20" t="str">
        <f>INDEX(Data,2,2+MOD(ROWS(C$2:C412)-1,3))</f>
        <v>16.00</v>
      </c>
      <c r="D412" s="14" t="str">
        <f t="shared" ca="1" si="19"/>
        <v>—</v>
      </c>
      <c r="E412" s="25">
        <f t="shared" ca="1" si="20"/>
        <v>7</v>
      </c>
    </row>
    <row r="413" spans="1:5" x14ac:dyDescent="0.25">
      <c r="A413" s="8">
        <f t="shared" si="18"/>
        <v>73</v>
      </c>
      <c r="B413" t="str">
        <f ca="1">TEXT(DATE(YEAR(Invoer!$A$5),1,1)+INT((ROWS(B$2:B413)-1)/3),"jjjjmmdd")</f>
        <v>19450518</v>
      </c>
      <c r="C413" s="20" t="str">
        <f>INDEX(Data,2,2+MOD(ROWS(C$2:C413)-1,3))</f>
        <v>08.00</v>
      </c>
      <c r="D413" s="14" t="str">
        <f t="shared" ca="1" si="19"/>
        <v>—</v>
      </c>
      <c r="E413" s="25">
        <f t="shared" ca="1" si="20"/>
        <v>7</v>
      </c>
    </row>
    <row r="414" spans="1:5" x14ac:dyDescent="0.25">
      <c r="A414" s="8">
        <f t="shared" si="18"/>
        <v>73</v>
      </c>
      <c r="B414" t="str">
        <f ca="1">TEXT(DATE(YEAR(Invoer!$A$5),1,1)+INT((ROWS(B$2:B414)-1)/3),"jjjjmmdd")</f>
        <v>19450518</v>
      </c>
      <c r="C414" s="20" t="str">
        <f>INDEX(Data,2,2+MOD(ROWS(C$2:C414)-1,3))</f>
        <v>12.00</v>
      </c>
      <c r="D414" s="14" t="str">
        <f t="shared" ca="1" si="19"/>
        <v>—</v>
      </c>
      <c r="E414" s="25">
        <f t="shared" ca="1" si="20"/>
        <v>7</v>
      </c>
    </row>
    <row r="415" spans="1:5" x14ac:dyDescent="0.25">
      <c r="A415" s="8">
        <f t="shared" si="18"/>
        <v>73</v>
      </c>
      <c r="B415" t="str">
        <f ca="1">TEXT(DATE(YEAR(Invoer!$A$5),1,1)+INT((ROWS(B$2:B415)-1)/3),"jjjjmmdd")</f>
        <v>19450518</v>
      </c>
      <c r="C415" s="20" t="str">
        <f>INDEX(Data,2,2+MOD(ROWS(C$2:C415)-1,3))</f>
        <v>16.00</v>
      </c>
      <c r="D415" s="14" t="str">
        <f t="shared" ca="1" si="19"/>
        <v>—</v>
      </c>
      <c r="E415" s="25">
        <f t="shared" ca="1" si="20"/>
        <v>7</v>
      </c>
    </row>
    <row r="416" spans="1:5" x14ac:dyDescent="0.25">
      <c r="A416" s="8">
        <f t="shared" si="18"/>
        <v>73</v>
      </c>
      <c r="B416" t="str">
        <f ca="1">TEXT(DATE(YEAR(Invoer!$A$5),1,1)+INT((ROWS(B$2:B416)-1)/3),"jjjjmmdd")</f>
        <v>19450519</v>
      </c>
      <c r="C416" s="20" t="str">
        <f>INDEX(Data,2,2+MOD(ROWS(C$2:C416)-1,3))</f>
        <v>08.00</v>
      </c>
      <c r="D416" s="14" t="str">
        <f t="shared" ca="1" si="19"/>
        <v>—</v>
      </c>
      <c r="E416" s="25">
        <f t="shared" ca="1" si="20"/>
        <v>7</v>
      </c>
    </row>
    <row r="417" spans="1:5" x14ac:dyDescent="0.25">
      <c r="A417" s="8">
        <f t="shared" si="18"/>
        <v>73</v>
      </c>
      <c r="B417" t="str">
        <f ca="1">TEXT(DATE(YEAR(Invoer!$A$5),1,1)+INT((ROWS(B$2:B417)-1)/3),"jjjjmmdd")</f>
        <v>19450519</v>
      </c>
      <c r="C417" s="20" t="str">
        <f>INDEX(Data,2,2+MOD(ROWS(C$2:C417)-1,3))</f>
        <v>12.00</v>
      </c>
      <c r="D417" s="14" t="str">
        <f t="shared" ca="1" si="19"/>
        <v>—</v>
      </c>
      <c r="E417" s="25">
        <f t="shared" ca="1" si="20"/>
        <v>7</v>
      </c>
    </row>
    <row r="418" spans="1:5" x14ac:dyDescent="0.25">
      <c r="A418" s="8">
        <f t="shared" si="18"/>
        <v>73</v>
      </c>
      <c r="B418" t="str">
        <f ca="1">TEXT(DATE(YEAR(Invoer!$A$5),1,1)+INT((ROWS(B$2:B418)-1)/3),"jjjjmmdd")</f>
        <v>19450519</v>
      </c>
      <c r="C418" s="20" t="str">
        <f>INDEX(Data,2,2+MOD(ROWS(C$2:C418)-1,3))</f>
        <v>16.00</v>
      </c>
      <c r="D418" s="14" t="str">
        <f t="shared" ca="1" si="19"/>
        <v>—</v>
      </c>
      <c r="E418" s="25">
        <f t="shared" ca="1" si="20"/>
        <v>7</v>
      </c>
    </row>
    <row r="419" spans="1:5" x14ac:dyDescent="0.25">
      <c r="A419" s="8">
        <f t="shared" si="18"/>
        <v>73</v>
      </c>
      <c r="B419" t="str">
        <f ca="1">TEXT(DATE(YEAR(Invoer!$A$5),1,1)+INT((ROWS(B$2:B419)-1)/3),"jjjjmmdd")</f>
        <v>19450520</v>
      </c>
      <c r="C419" s="20" t="str">
        <f>INDEX(Data,2,2+MOD(ROWS(C$2:C419)-1,3))</f>
        <v>08.00</v>
      </c>
      <c r="D419" s="14" t="str">
        <f t="shared" ca="1" si="19"/>
        <v>—</v>
      </c>
      <c r="E419" s="25">
        <f t="shared" ca="1" si="20"/>
        <v>7</v>
      </c>
    </row>
    <row r="420" spans="1:5" x14ac:dyDescent="0.25">
      <c r="A420" s="8">
        <f t="shared" si="18"/>
        <v>73</v>
      </c>
      <c r="B420" t="str">
        <f ca="1">TEXT(DATE(YEAR(Invoer!$A$5),1,1)+INT((ROWS(B$2:B420)-1)/3),"jjjjmmdd")</f>
        <v>19450520</v>
      </c>
      <c r="C420" s="20" t="str">
        <f>INDEX(Data,2,2+MOD(ROWS(C$2:C420)-1,3))</f>
        <v>12.00</v>
      </c>
      <c r="D420" s="14" t="str">
        <f t="shared" ca="1" si="19"/>
        <v>—</v>
      </c>
      <c r="E420" s="25">
        <f t="shared" ca="1" si="20"/>
        <v>7</v>
      </c>
    </row>
    <row r="421" spans="1:5" x14ac:dyDescent="0.25">
      <c r="A421" s="8">
        <f t="shared" si="18"/>
        <v>73</v>
      </c>
      <c r="B421" t="str">
        <f ca="1">TEXT(DATE(YEAR(Invoer!$A$5),1,1)+INT((ROWS(B$2:B421)-1)/3),"jjjjmmdd")</f>
        <v>19450520</v>
      </c>
      <c r="C421" s="20" t="str">
        <f>INDEX(Data,2,2+MOD(ROWS(C$2:C421)-1,3))</f>
        <v>16.00</v>
      </c>
      <c r="D421" s="14" t="str">
        <f t="shared" ca="1" si="19"/>
        <v>—</v>
      </c>
      <c r="E421" s="25">
        <f t="shared" ca="1" si="20"/>
        <v>7</v>
      </c>
    </row>
    <row r="422" spans="1:5" x14ac:dyDescent="0.25">
      <c r="A422" s="8">
        <f t="shared" si="18"/>
        <v>73</v>
      </c>
      <c r="B422" t="str">
        <f ca="1">TEXT(DATE(YEAR(Invoer!$A$5),1,1)+INT((ROWS(B$2:B422)-1)/3),"jjjjmmdd")</f>
        <v>19450521</v>
      </c>
      <c r="C422" s="20" t="str">
        <f>INDEX(Data,2,2+MOD(ROWS(C$2:C422)-1,3))</f>
        <v>08.00</v>
      </c>
      <c r="D422" s="14" t="str">
        <f t="shared" ca="1" si="19"/>
        <v>—</v>
      </c>
      <c r="E422" s="25">
        <f t="shared" ca="1" si="20"/>
        <v>7</v>
      </c>
    </row>
    <row r="423" spans="1:5" x14ac:dyDescent="0.25">
      <c r="A423" s="8">
        <f t="shared" si="18"/>
        <v>73</v>
      </c>
      <c r="B423" t="str">
        <f ca="1">TEXT(DATE(YEAR(Invoer!$A$5),1,1)+INT((ROWS(B$2:B423)-1)/3),"jjjjmmdd")</f>
        <v>19450521</v>
      </c>
      <c r="C423" s="20" t="str">
        <f>INDEX(Data,2,2+MOD(ROWS(C$2:C423)-1,3))</f>
        <v>12.00</v>
      </c>
      <c r="D423" s="14" t="str">
        <f t="shared" ca="1" si="19"/>
        <v>—</v>
      </c>
      <c r="E423" s="25">
        <f t="shared" ca="1" si="20"/>
        <v>7</v>
      </c>
    </row>
    <row r="424" spans="1:5" x14ac:dyDescent="0.25">
      <c r="A424" s="8">
        <f t="shared" si="18"/>
        <v>73</v>
      </c>
      <c r="B424" t="str">
        <f ca="1">TEXT(DATE(YEAR(Invoer!$A$5),1,1)+INT((ROWS(B$2:B424)-1)/3),"jjjjmmdd")</f>
        <v>19450521</v>
      </c>
      <c r="C424" s="20" t="str">
        <f>INDEX(Data,2,2+MOD(ROWS(C$2:C424)-1,3))</f>
        <v>16.00</v>
      </c>
      <c r="D424" s="14" t="str">
        <f t="shared" ca="1" si="19"/>
        <v>—</v>
      </c>
      <c r="E424" s="25">
        <f t="shared" ca="1" si="20"/>
        <v>7</v>
      </c>
    </row>
    <row r="425" spans="1:5" x14ac:dyDescent="0.25">
      <c r="A425" s="8">
        <f t="shared" si="18"/>
        <v>73</v>
      </c>
      <c r="B425" t="str">
        <f ca="1">TEXT(DATE(YEAR(Invoer!$A$5),1,1)+INT((ROWS(B$2:B425)-1)/3),"jjjjmmdd")</f>
        <v>19450522</v>
      </c>
      <c r="C425" s="20" t="str">
        <f>INDEX(Data,2,2+MOD(ROWS(C$2:C425)-1,3))</f>
        <v>08.00</v>
      </c>
      <c r="D425" s="14" t="str">
        <f t="shared" ca="1" si="19"/>
        <v>—</v>
      </c>
      <c r="E425" s="25">
        <f t="shared" ca="1" si="20"/>
        <v>7</v>
      </c>
    </row>
    <row r="426" spans="1:5" x14ac:dyDescent="0.25">
      <c r="A426" s="8">
        <f t="shared" si="18"/>
        <v>73</v>
      </c>
      <c r="B426" t="str">
        <f ca="1">TEXT(DATE(YEAR(Invoer!$A$5),1,1)+INT((ROWS(B$2:B426)-1)/3),"jjjjmmdd")</f>
        <v>19450522</v>
      </c>
      <c r="C426" s="20" t="str">
        <f>INDEX(Data,2,2+MOD(ROWS(C$2:C426)-1,3))</f>
        <v>12.00</v>
      </c>
      <c r="D426" s="14" t="str">
        <f t="shared" ca="1" si="19"/>
        <v>—</v>
      </c>
      <c r="E426" s="25">
        <f t="shared" ca="1" si="20"/>
        <v>7</v>
      </c>
    </row>
    <row r="427" spans="1:5" x14ac:dyDescent="0.25">
      <c r="A427" s="8">
        <f t="shared" si="18"/>
        <v>73</v>
      </c>
      <c r="B427" t="str">
        <f ca="1">TEXT(DATE(YEAR(Invoer!$A$5),1,1)+INT((ROWS(B$2:B427)-1)/3),"jjjjmmdd")</f>
        <v>19450522</v>
      </c>
      <c r="C427" s="20" t="str">
        <f>INDEX(Data,2,2+MOD(ROWS(C$2:C427)-1,3))</f>
        <v>16.00</v>
      </c>
      <c r="D427" s="14" t="str">
        <f t="shared" ca="1" si="19"/>
        <v>—</v>
      </c>
      <c r="E427" s="25">
        <f t="shared" ca="1" si="20"/>
        <v>7</v>
      </c>
    </row>
    <row r="428" spans="1:5" x14ac:dyDescent="0.25">
      <c r="A428" s="8">
        <f t="shared" si="18"/>
        <v>73</v>
      </c>
      <c r="B428" t="str">
        <f ca="1">TEXT(DATE(YEAR(Invoer!$A$5),1,1)+INT((ROWS(B$2:B428)-1)/3),"jjjjmmdd")</f>
        <v>19450523</v>
      </c>
      <c r="C428" s="20" t="str">
        <f>INDEX(Data,2,2+MOD(ROWS(C$2:C428)-1,3))</f>
        <v>08.00</v>
      </c>
      <c r="D428" s="14" t="str">
        <f t="shared" ca="1" si="19"/>
        <v>—</v>
      </c>
      <c r="E428" s="25">
        <f t="shared" ca="1" si="20"/>
        <v>7</v>
      </c>
    </row>
    <row r="429" spans="1:5" x14ac:dyDescent="0.25">
      <c r="A429" s="8">
        <f t="shared" si="18"/>
        <v>73</v>
      </c>
      <c r="B429" t="str">
        <f ca="1">TEXT(DATE(YEAR(Invoer!$A$5),1,1)+INT((ROWS(B$2:B429)-1)/3),"jjjjmmdd")</f>
        <v>19450523</v>
      </c>
      <c r="C429" s="20" t="str">
        <f>INDEX(Data,2,2+MOD(ROWS(C$2:C429)-1,3))</f>
        <v>12.00</v>
      </c>
      <c r="D429" s="14" t="str">
        <f t="shared" ca="1" si="19"/>
        <v>—</v>
      </c>
      <c r="E429" s="25">
        <f t="shared" ca="1" si="20"/>
        <v>7</v>
      </c>
    </row>
    <row r="430" spans="1:5" x14ac:dyDescent="0.25">
      <c r="A430" s="8">
        <f t="shared" si="18"/>
        <v>73</v>
      </c>
      <c r="B430" t="str">
        <f ca="1">TEXT(DATE(YEAR(Invoer!$A$5),1,1)+INT((ROWS(B$2:B430)-1)/3),"jjjjmmdd")</f>
        <v>19450523</v>
      </c>
      <c r="C430" s="20" t="str">
        <f>INDEX(Data,2,2+MOD(ROWS(C$2:C430)-1,3))</f>
        <v>16.00</v>
      </c>
      <c r="D430" s="14" t="str">
        <f t="shared" ca="1" si="19"/>
        <v>—</v>
      </c>
      <c r="E430" s="25">
        <f t="shared" ca="1" si="20"/>
        <v>7</v>
      </c>
    </row>
    <row r="431" spans="1:5" x14ac:dyDescent="0.25">
      <c r="A431" s="8">
        <f t="shared" si="18"/>
        <v>73</v>
      </c>
      <c r="B431" t="str">
        <f ca="1">TEXT(DATE(YEAR(Invoer!$A$5),1,1)+INT((ROWS(B$2:B431)-1)/3),"jjjjmmdd")</f>
        <v>19450524</v>
      </c>
      <c r="C431" s="20" t="str">
        <f>INDEX(Data,2,2+MOD(ROWS(C$2:C431)-1,3))</f>
        <v>08.00</v>
      </c>
      <c r="D431" s="14" t="str">
        <f t="shared" ca="1" si="19"/>
        <v>—</v>
      </c>
      <c r="E431" s="25">
        <f t="shared" ca="1" si="20"/>
        <v>7</v>
      </c>
    </row>
    <row r="432" spans="1:5" x14ac:dyDescent="0.25">
      <c r="A432" s="8">
        <f t="shared" si="18"/>
        <v>73</v>
      </c>
      <c r="B432" t="str">
        <f ca="1">TEXT(DATE(YEAR(Invoer!$A$5),1,1)+INT((ROWS(B$2:B432)-1)/3),"jjjjmmdd")</f>
        <v>19450524</v>
      </c>
      <c r="C432" s="20" t="str">
        <f>INDEX(Data,2,2+MOD(ROWS(C$2:C432)-1,3))</f>
        <v>12.00</v>
      </c>
      <c r="D432" s="14" t="str">
        <f t="shared" ca="1" si="19"/>
        <v>—</v>
      </c>
      <c r="E432" s="25">
        <f t="shared" ca="1" si="20"/>
        <v>7</v>
      </c>
    </row>
    <row r="433" spans="1:5" x14ac:dyDescent="0.25">
      <c r="A433" s="8">
        <f t="shared" si="18"/>
        <v>73</v>
      </c>
      <c r="B433" t="str">
        <f ca="1">TEXT(DATE(YEAR(Invoer!$A$5),1,1)+INT((ROWS(B$2:B433)-1)/3),"jjjjmmdd")</f>
        <v>19450524</v>
      </c>
      <c r="C433" s="20" t="str">
        <f>INDEX(Data,2,2+MOD(ROWS(C$2:C433)-1,3))</f>
        <v>16.00</v>
      </c>
      <c r="D433" s="14" t="str">
        <f t="shared" ca="1" si="19"/>
        <v>—</v>
      </c>
      <c r="E433" s="25">
        <f t="shared" ca="1" si="20"/>
        <v>7</v>
      </c>
    </row>
    <row r="434" spans="1:5" x14ac:dyDescent="0.25">
      <c r="A434" s="8">
        <f t="shared" si="18"/>
        <v>73</v>
      </c>
      <c r="B434" t="str">
        <f ca="1">TEXT(DATE(YEAR(Invoer!$A$5),1,1)+INT((ROWS(B$2:B434)-1)/3),"jjjjmmdd")</f>
        <v>19450525</v>
      </c>
      <c r="C434" s="20" t="str">
        <f>INDEX(Data,2,2+MOD(ROWS(C$2:C434)-1,3))</f>
        <v>08.00</v>
      </c>
      <c r="D434" s="14" t="str">
        <f t="shared" ca="1" si="19"/>
        <v>—</v>
      </c>
      <c r="E434" s="25">
        <f t="shared" ca="1" si="20"/>
        <v>7</v>
      </c>
    </row>
    <row r="435" spans="1:5" x14ac:dyDescent="0.25">
      <c r="A435" s="8">
        <f t="shared" si="18"/>
        <v>73</v>
      </c>
      <c r="B435" t="str">
        <f ca="1">TEXT(DATE(YEAR(Invoer!$A$5),1,1)+INT((ROWS(B$2:B435)-1)/3),"jjjjmmdd")</f>
        <v>19450525</v>
      </c>
      <c r="C435" s="20" t="str">
        <f>INDEX(Data,2,2+MOD(ROWS(C$2:C435)-1,3))</f>
        <v>12.00</v>
      </c>
      <c r="D435" s="14" t="str">
        <f t="shared" ca="1" si="19"/>
        <v>—</v>
      </c>
      <c r="E435" s="25">
        <f t="shared" ca="1" si="20"/>
        <v>7</v>
      </c>
    </row>
    <row r="436" spans="1:5" x14ac:dyDescent="0.25">
      <c r="A436" s="8">
        <f t="shared" si="18"/>
        <v>73</v>
      </c>
      <c r="B436" t="str">
        <f ca="1">TEXT(DATE(YEAR(Invoer!$A$5),1,1)+INT((ROWS(B$2:B436)-1)/3),"jjjjmmdd")</f>
        <v>19450525</v>
      </c>
      <c r="C436" s="20" t="str">
        <f>INDEX(Data,2,2+MOD(ROWS(C$2:C436)-1,3))</f>
        <v>16.00</v>
      </c>
      <c r="D436" s="14" t="str">
        <f t="shared" ca="1" si="19"/>
        <v>—</v>
      </c>
      <c r="E436" s="25">
        <f t="shared" ca="1" si="20"/>
        <v>7</v>
      </c>
    </row>
    <row r="437" spans="1:5" x14ac:dyDescent="0.25">
      <c r="A437" s="8">
        <f t="shared" si="18"/>
        <v>73</v>
      </c>
      <c r="B437" t="str">
        <f ca="1">TEXT(DATE(YEAR(Invoer!$A$5),1,1)+INT((ROWS(B$2:B437)-1)/3),"jjjjmmdd")</f>
        <v>19450526</v>
      </c>
      <c r="C437" s="20" t="str">
        <f>INDEX(Data,2,2+MOD(ROWS(C$2:C437)-1,3))</f>
        <v>08.00</v>
      </c>
      <c r="D437" s="14" t="str">
        <f t="shared" ca="1" si="19"/>
        <v>—</v>
      </c>
      <c r="E437" s="25">
        <f t="shared" ca="1" si="20"/>
        <v>7</v>
      </c>
    </row>
    <row r="438" spans="1:5" x14ac:dyDescent="0.25">
      <c r="A438" s="8">
        <f t="shared" si="18"/>
        <v>73</v>
      </c>
      <c r="B438" t="str">
        <f ca="1">TEXT(DATE(YEAR(Invoer!$A$5),1,1)+INT((ROWS(B$2:B438)-1)/3),"jjjjmmdd")</f>
        <v>19450526</v>
      </c>
      <c r="C438" s="20" t="str">
        <f>INDEX(Data,2,2+MOD(ROWS(C$2:C438)-1,3))</f>
        <v>12.00</v>
      </c>
      <c r="D438" s="14" t="str">
        <f t="shared" ca="1" si="19"/>
        <v>—</v>
      </c>
      <c r="E438" s="25">
        <f t="shared" ca="1" si="20"/>
        <v>7</v>
      </c>
    </row>
    <row r="439" spans="1:5" x14ac:dyDescent="0.25">
      <c r="A439" s="8">
        <f t="shared" si="18"/>
        <v>73</v>
      </c>
      <c r="B439" t="str">
        <f ca="1">TEXT(DATE(YEAR(Invoer!$A$5),1,1)+INT((ROWS(B$2:B439)-1)/3),"jjjjmmdd")</f>
        <v>19450526</v>
      </c>
      <c r="C439" s="20" t="str">
        <f>INDEX(Data,2,2+MOD(ROWS(C$2:C439)-1,3))</f>
        <v>16.00</v>
      </c>
      <c r="D439" s="14" t="str">
        <f t="shared" ca="1" si="19"/>
        <v>—</v>
      </c>
      <c r="E439" s="25">
        <f t="shared" ca="1" si="20"/>
        <v>7</v>
      </c>
    </row>
    <row r="440" spans="1:5" x14ac:dyDescent="0.25">
      <c r="A440" s="8">
        <f t="shared" si="18"/>
        <v>73</v>
      </c>
      <c r="B440" t="str">
        <f ca="1">TEXT(DATE(YEAR(Invoer!$A$5),1,1)+INT((ROWS(B$2:B440)-1)/3),"jjjjmmdd")</f>
        <v>19450527</v>
      </c>
      <c r="C440" s="20" t="str">
        <f>INDEX(Data,2,2+MOD(ROWS(C$2:C440)-1,3))</f>
        <v>08.00</v>
      </c>
      <c r="D440" s="14" t="str">
        <f t="shared" ca="1" si="19"/>
        <v>—</v>
      </c>
      <c r="E440" s="25">
        <f t="shared" ca="1" si="20"/>
        <v>7</v>
      </c>
    </row>
    <row r="441" spans="1:5" x14ac:dyDescent="0.25">
      <c r="A441" s="8">
        <f t="shared" si="18"/>
        <v>73</v>
      </c>
      <c r="B441" t="str">
        <f ca="1">TEXT(DATE(YEAR(Invoer!$A$5),1,1)+INT((ROWS(B$2:B441)-1)/3),"jjjjmmdd")</f>
        <v>19450527</v>
      </c>
      <c r="C441" s="20" t="str">
        <f>INDEX(Data,2,2+MOD(ROWS(C$2:C441)-1,3))</f>
        <v>12.00</v>
      </c>
      <c r="D441" s="14" t="str">
        <f t="shared" ca="1" si="19"/>
        <v>—</v>
      </c>
      <c r="E441" s="25">
        <f t="shared" ca="1" si="20"/>
        <v>7</v>
      </c>
    </row>
    <row r="442" spans="1:5" x14ac:dyDescent="0.25">
      <c r="A442" s="8">
        <f t="shared" si="18"/>
        <v>73</v>
      </c>
      <c r="B442" t="str">
        <f ca="1">TEXT(DATE(YEAR(Invoer!$A$5),1,1)+INT((ROWS(B$2:B442)-1)/3),"jjjjmmdd")</f>
        <v>19450527</v>
      </c>
      <c r="C442" s="20" t="str">
        <f>INDEX(Data,2,2+MOD(ROWS(C$2:C442)-1,3))</f>
        <v>16.00</v>
      </c>
      <c r="D442" s="14" t="str">
        <f t="shared" ca="1" si="19"/>
        <v>—</v>
      </c>
      <c r="E442" s="25">
        <f t="shared" ca="1" si="20"/>
        <v>7</v>
      </c>
    </row>
    <row r="443" spans="1:5" x14ac:dyDescent="0.25">
      <c r="A443" s="8">
        <f t="shared" si="18"/>
        <v>73</v>
      </c>
      <c r="B443" t="str">
        <f ca="1">TEXT(DATE(YEAR(Invoer!$A$5),1,1)+INT((ROWS(B$2:B443)-1)/3),"jjjjmmdd")</f>
        <v>19450528</v>
      </c>
      <c r="C443" s="20" t="str">
        <f>INDEX(Data,2,2+MOD(ROWS(C$2:C443)-1,3))</f>
        <v>08.00</v>
      </c>
      <c r="D443" s="14" t="str">
        <f t="shared" ca="1" si="19"/>
        <v>—</v>
      </c>
      <c r="E443" s="25">
        <f t="shared" ca="1" si="20"/>
        <v>7</v>
      </c>
    </row>
    <row r="444" spans="1:5" x14ac:dyDescent="0.25">
      <c r="A444" s="8">
        <f t="shared" si="18"/>
        <v>73</v>
      </c>
      <c r="B444" t="str">
        <f ca="1">TEXT(DATE(YEAR(Invoer!$A$5),1,1)+INT((ROWS(B$2:B444)-1)/3),"jjjjmmdd")</f>
        <v>19450528</v>
      </c>
      <c r="C444" s="20" t="str">
        <f>INDEX(Data,2,2+MOD(ROWS(C$2:C444)-1,3))</f>
        <v>12.00</v>
      </c>
      <c r="D444" s="14" t="str">
        <f t="shared" ca="1" si="19"/>
        <v>—</v>
      </c>
      <c r="E444" s="25">
        <f t="shared" ca="1" si="20"/>
        <v>7</v>
      </c>
    </row>
    <row r="445" spans="1:5" x14ac:dyDescent="0.25">
      <c r="A445" s="8">
        <f t="shared" si="18"/>
        <v>73</v>
      </c>
      <c r="B445" t="str">
        <f ca="1">TEXT(DATE(YEAR(Invoer!$A$5),1,1)+INT((ROWS(B$2:B445)-1)/3),"jjjjmmdd")</f>
        <v>19450528</v>
      </c>
      <c r="C445" s="20" t="str">
        <f>INDEX(Data,2,2+MOD(ROWS(C$2:C445)-1,3))</f>
        <v>16.00</v>
      </c>
      <c r="D445" s="14" t="str">
        <f t="shared" ca="1" si="19"/>
        <v>—</v>
      </c>
      <c r="E445" s="25">
        <f t="shared" ca="1" si="20"/>
        <v>7</v>
      </c>
    </row>
    <row r="446" spans="1:5" x14ac:dyDescent="0.25">
      <c r="A446" s="8">
        <f t="shared" si="18"/>
        <v>73</v>
      </c>
      <c r="B446" t="str">
        <f ca="1">TEXT(DATE(YEAR(Invoer!$A$5),1,1)+INT((ROWS(B$2:B446)-1)/3),"jjjjmmdd")</f>
        <v>19450529</v>
      </c>
      <c r="C446" s="20" t="str">
        <f>INDEX(Data,2,2+MOD(ROWS(C$2:C446)-1,3))</f>
        <v>08.00</v>
      </c>
      <c r="D446" s="14" t="str">
        <f t="shared" ca="1" si="19"/>
        <v>—</v>
      </c>
      <c r="E446" s="25">
        <f t="shared" ca="1" si="20"/>
        <v>7</v>
      </c>
    </row>
    <row r="447" spans="1:5" x14ac:dyDescent="0.25">
      <c r="A447" s="8">
        <f t="shared" si="18"/>
        <v>73</v>
      </c>
      <c r="B447" t="str">
        <f ca="1">TEXT(DATE(YEAR(Invoer!$A$5),1,1)+INT((ROWS(B$2:B447)-1)/3),"jjjjmmdd")</f>
        <v>19450529</v>
      </c>
      <c r="C447" s="20" t="str">
        <f>INDEX(Data,2,2+MOD(ROWS(C$2:C447)-1,3))</f>
        <v>12.00</v>
      </c>
      <c r="D447" s="14" t="str">
        <f t="shared" ca="1" si="19"/>
        <v>—</v>
      </c>
      <c r="E447" s="25">
        <f t="shared" ca="1" si="20"/>
        <v>7</v>
      </c>
    </row>
    <row r="448" spans="1:5" x14ac:dyDescent="0.25">
      <c r="A448" s="8">
        <f t="shared" si="18"/>
        <v>73</v>
      </c>
      <c r="B448" t="str">
        <f ca="1">TEXT(DATE(YEAR(Invoer!$A$5),1,1)+INT((ROWS(B$2:B448)-1)/3),"jjjjmmdd")</f>
        <v>19450529</v>
      </c>
      <c r="C448" s="20" t="str">
        <f>INDEX(Data,2,2+MOD(ROWS(C$2:C448)-1,3))</f>
        <v>16.00</v>
      </c>
      <c r="D448" s="14" t="str">
        <f t="shared" ca="1" si="19"/>
        <v>—</v>
      </c>
      <c r="E448" s="25">
        <f t="shared" ca="1" si="20"/>
        <v>7</v>
      </c>
    </row>
    <row r="449" spans="1:5" x14ac:dyDescent="0.25">
      <c r="A449" s="8">
        <f t="shared" si="18"/>
        <v>73</v>
      </c>
      <c r="B449" t="str">
        <f ca="1">TEXT(DATE(YEAR(Invoer!$A$5),1,1)+INT((ROWS(B$2:B449)-1)/3),"jjjjmmdd")</f>
        <v>19450530</v>
      </c>
      <c r="C449" s="20" t="str">
        <f>INDEX(Data,2,2+MOD(ROWS(C$2:C449)-1,3))</f>
        <v>08.00</v>
      </c>
      <c r="D449" s="14" t="str">
        <f t="shared" ca="1" si="19"/>
        <v>—</v>
      </c>
      <c r="E449" s="25">
        <f t="shared" ca="1" si="20"/>
        <v>7</v>
      </c>
    </row>
    <row r="450" spans="1:5" x14ac:dyDescent="0.25">
      <c r="A450" s="8">
        <f t="shared" ref="A450:A513" si="21">INDEX(Stations,2,1)</f>
        <v>73</v>
      </c>
      <c r="B450" t="str">
        <f ca="1">TEXT(DATE(YEAR(Invoer!$A$5),1,1)+INT((ROWS(B$2:B450)-1)/3),"jjjjmmdd")</f>
        <v>19450530</v>
      </c>
      <c r="C450" s="20" t="str">
        <f>INDEX(Data,2,2+MOD(ROWS(C$2:C450)-1,3))</f>
        <v>12.00</v>
      </c>
      <c r="D450" s="14" t="str">
        <f t="shared" ref="D450:D513" ca="1" si="22">IF(OR(ISBLANK(VLOOKUP(DATEVALUE(LEFT($B450,4)&amp;"-"&amp;MID($B450,5,2)&amp;"-"&amp;RIGHT($B450,2)),Data,MATCH(LEFT(VLOOKUP(D$1,Parameters,2,FALSE()),4)&amp;"*",OFFSET(Data,0,0,1),0)+MATCH($C450,OFFSET(Data,1,0,1),0)-2,FALSE())),ISTEXT(VLOOKUP(DATEVALUE(LEFT($B450,4)&amp;"-"&amp;MID($B450,5,2)&amp;"-"&amp;RIGHT($B450,2)),Data,MATCH(LEFT(VLOOKUP(D$1,Parameters,2,FALSE()),4)&amp;"*",OFFSET(Data,0,0,1),0)+MATCH($C450,OFFSET(Data,1,0,1),0)-2,FALSE()))),"—",VLOOKUP(DATEVALUE(LEFT($B450,4)&amp;"-"&amp;MID($B450,5,2)&amp;"-"&amp;RIGHT($B450,2)),Data,MATCH(LEFT(VLOOKUP(D$1,Parameters,2,FALSE()),4)&amp;"*",OFFSET(Data,0,0,1),0)+MATCH($C450,OFFSET(Data,1,0,1),0)-2,FALSE()))</f>
        <v>—</v>
      </c>
      <c r="E450" s="25">
        <f t="shared" ref="E450:E513" ca="1" si="23">IF(OR(ISBLANK(VLOOKUP(DATEVALUE(LEFT($B450,4)&amp;"-"&amp;MID($B450,5,2)&amp;"-"&amp;RIGHT($B450,2)),Data,MATCH(LEFT(VLOOKUP(MID(E$1,2,LEN(E$1)-1),Parameters,2,FALSE()),4)&amp;"*",OFFSET(Data,0,0,1),0)+MATCH($C450,OFFSET(Data,1,0,1),0)-2,FALSE())),ISTEXT(VLOOKUP(DATEVALUE(LEFT($B450,4)&amp;"-"&amp;MID($B450,5,2)&amp;"-"&amp;RIGHT($B450,2)),Data,MATCH(LEFT(VLOOKUP(MID(E$1,2,LEN(E$1)-1),Parameters,2,FALSE()),4)&amp;"*",OFFSET(Data,0,0,1),0)+MATCH($C450,OFFSET(Data,1,0,1),0)-2,FALSE()))),Lacking,IF(ISNA(MATCH(DATEVALUE(LEFT($B450,4)&amp;"-"&amp;MID($B450,5,2)&amp;"-"&amp;RIGHT($B450,2)),OFFSET(Catalogus,0,0,,1),0)),Ok,VLOOKUP(DATEVALUE(LEFT($B450,4)&amp;"-"&amp;MID($B450,5,2)&amp;"-"&amp;RIGHT($B450,2)),Catalogus,MATCH(LEFT(VLOOKUP(MID(E$1,2,LEN(E$1)-1),Parameters,2,FALSE()),4)&amp;"*",OFFSET(Catalogus,0,0,1),0)+MATCH($C450,OFFSET(Catalogus,1,0,1),0)-2,FALSE())))</f>
        <v>7</v>
      </c>
    </row>
    <row r="451" spans="1:5" x14ac:dyDescent="0.25">
      <c r="A451" s="8">
        <f t="shared" si="21"/>
        <v>73</v>
      </c>
      <c r="B451" t="str">
        <f ca="1">TEXT(DATE(YEAR(Invoer!$A$5),1,1)+INT((ROWS(B$2:B451)-1)/3),"jjjjmmdd")</f>
        <v>19450530</v>
      </c>
      <c r="C451" s="20" t="str">
        <f>INDEX(Data,2,2+MOD(ROWS(C$2:C451)-1,3))</f>
        <v>16.00</v>
      </c>
      <c r="D451" s="14" t="str">
        <f t="shared" ca="1" si="22"/>
        <v>—</v>
      </c>
      <c r="E451" s="25">
        <f t="shared" ca="1" si="23"/>
        <v>7</v>
      </c>
    </row>
    <row r="452" spans="1:5" x14ac:dyDescent="0.25">
      <c r="A452" s="8">
        <f t="shared" si="21"/>
        <v>73</v>
      </c>
      <c r="B452" t="str">
        <f ca="1">TEXT(DATE(YEAR(Invoer!$A$5),1,1)+INT((ROWS(B$2:B452)-1)/3),"jjjjmmdd")</f>
        <v>19450531</v>
      </c>
      <c r="C452" s="20" t="str">
        <f>INDEX(Data,2,2+MOD(ROWS(C$2:C452)-1,3))</f>
        <v>08.00</v>
      </c>
      <c r="D452" s="14" t="str">
        <f t="shared" ca="1" si="22"/>
        <v>—</v>
      </c>
      <c r="E452" s="25">
        <f t="shared" ca="1" si="23"/>
        <v>7</v>
      </c>
    </row>
    <row r="453" spans="1:5" x14ac:dyDescent="0.25">
      <c r="A453" s="8">
        <f t="shared" si="21"/>
        <v>73</v>
      </c>
      <c r="B453" t="str">
        <f ca="1">TEXT(DATE(YEAR(Invoer!$A$5),1,1)+INT((ROWS(B$2:B453)-1)/3),"jjjjmmdd")</f>
        <v>19450531</v>
      </c>
      <c r="C453" s="20" t="str">
        <f>INDEX(Data,2,2+MOD(ROWS(C$2:C453)-1,3))</f>
        <v>12.00</v>
      </c>
      <c r="D453" s="14" t="str">
        <f t="shared" ca="1" si="22"/>
        <v>—</v>
      </c>
      <c r="E453" s="25">
        <f t="shared" ca="1" si="23"/>
        <v>7</v>
      </c>
    </row>
    <row r="454" spans="1:5" x14ac:dyDescent="0.25">
      <c r="A454" s="8">
        <f t="shared" si="21"/>
        <v>73</v>
      </c>
      <c r="B454" t="str">
        <f ca="1">TEXT(DATE(YEAR(Invoer!$A$5),1,1)+INT((ROWS(B$2:B454)-1)/3),"jjjjmmdd")</f>
        <v>19450531</v>
      </c>
      <c r="C454" s="20" t="str">
        <f>INDEX(Data,2,2+MOD(ROWS(C$2:C454)-1,3))</f>
        <v>16.00</v>
      </c>
      <c r="D454" s="14" t="str">
        <f t="shared" ca="1" si="22"/>
        <v>—</v>
      </c>
      <c r="E454" s="25">
        <f t="shared" ca="1" si="23"/>
        <v>7</v>
      </c>
    </row>
    <row r="455" spans="1:5" x14ac:dyDescent="0.25">
      <c r="A455" s="8">
        <f t="shared" si="21"/>
        <v>73</v>
      </c>
      <c r="B455" t="str">
        <f ca="1">TEXT(DATE(YEAR(Invoer!$A$5),1,1)+INT((ROWS(B$2:B455)-1)/3),"jjjjmmdd")</f>
        <v>19450601</v>
      </c>
      <c r="C455" s="20" t="str">
        <f>INDEX(Data,2,2+MOD(ROWS(C$2:C455)-1,3))</f>
        <v>08.00</v>
      </c>
      <c r="D455" s="14" t="str">
        <f t="shared" ca="1" si="22"/>
        <v>—</v>
      </c>
      <c r="E455" s="25">
        <f t="shared" ca="1" si="23"/>
        <v>7</v>
      </c>
    </row>
    <row r="456" spans="1:5" x14ac:dyDescent="0.25">
      <c r="A456" s="8">
        <f t="shared" si="21"/>
        <v>73</v>
      </c>
      <c r="B456" t="str">
        <f ca="1">TEXT(DATE(YEAR(Invoer!$A$5),1,1)+INT((ROWS(B$2:B456)-1)/3),"jjjjmmdd")</f>
        <v>19450601</v>
      </c>
      <c r="C456" s="20" t="str">
        <f>INDEX(Data,2,2+MOD(ROWS(C$2:C456)-1,3))</f>
        <v>12.00</v>
      </c>
      <c r="D456" s="14" t="str">
        <f t="shared" ca="1" si="22"/>
        <v>—</v>
      </c>
      <c r="E456" s="25">
        <f t="shared" ca="1" si="23"/>
        <v>7</v>
      </c>
    </row>
    <row r="457" spans="1:5" x14ac:dyDescent="0.25">
      <c r="A457" s="8">
        <f t="shared" si="21"/>
        <v>73</v>
      </c>
      <c r="B457" t="str">
        <f ca="1">TEXT(DATE(YEAR(Invoer!$A$5),1,1)+INT((ROWS(B$2:B457)-1)/3),"jjjjmmdd")</f>
        <v>19450601</v>
      </c>
      <c r="C457" s="20" t="str">
        <f>INDEX(Data,2,2+MOD(ROWS(C$2:C457)-1,3))</f>
        <v>16.00</v>
      </c>
      <c r="D457" s="14" t="str">
        <f t="shared" ca="1" si="22"/>
        <v>—</v>
      </c>
      <c r="E457" s="25">
        <f t="shared" ca="1" si="23"/>
        <v>7</v>
      </c>
    </row>
    <row r="458" spans="1:5" x14ac:dyDescent="0.25">
      <c r="A458" s="8">
        <f t="shared" si="21"/>
        <v>73</v>
      </c>
      <c r="B458" t="str">
        <f ca="1">TEXT(DATE(YEAR(Invoer!$A$5),1,1)+INT((ROWS(B$2:B458)-1)/3),"jjjjmmdd")</f>
        <v>19450602</v>
      </c>
      <c r="C458" s="20" t="str">
        <f>INDEX(Data,2,2+MOD(ROWS(C$2:C458)-1,3))</f>
        <v>08.00</v>
      </c>
      <c r="D458" s="14" t="str">
        <f t="shared" ca="1" si="22"/>
        <v>—</v>
      </c>
      <c r="E458" s="25">
        <f t="shared" ca="1" si="23"/>
        <v>7</v>
      </c>
    </row>
    <row r="459" spans="1:5" x14ac:dyDescent="0.25">
      <c r="A459" s="8">
        <f t="shared" si="21"/>
        <v>73</v>
      </c>
      <c r="B459" t="str">
        <f ca="1">TEXT(DATE(YEAR(Invoer!$A$5),1,1)+INT((ROWS(B$2:B459)-1)/3),"jjjjmmdd")</f>
        <v>19450602</v>
      </c>
      <c r="C459" s="20" t="str">
        <f>INDEX(Data,2,2+MOD(ROWS(C$2:C459)-1,3))</f>
        <v>12.00</v>
      </c>
      <c r="D459" s="14" t="str">
        <f t="shared" ca="1" si="22"/>
        <v>—</v>
      </c>
      <c r="E459" s="25">
        <f t="shared" ca="1" si="23"/>
        <v>7</v>
      </c>
    </row>
    <row r="460" spans="1:5" x14ac:dyDescent="0.25">
      <c r="A460" s="8">
        <f t="shared" si="21"/>
        <v>73</v>
      </c>
      <c r="B460" t="str">
        <f ca="1">TEXT(DATE(YEAR(Invoer!$A$5),1,1)+INT((ROWS(B$2:B460)-1)/3),"jjjjmmdd")</f>
        <v>19450602</v>
      </c>
      <c r="C460" s="20" t="str">
        <f>INDEX(Data,2,2+MOD(ROWS(C$2:C460)-1,3))</f>
        <v>16.00</v>
      </c>
      <c r="D460" s="14" t="str">
        <f t="shared" ca="1" si="22"/>
        <v>—</v>
      </c>
      <c r="E460" s="25">
        <f t="shared" ca="1" si="23"/>
        <v>7</v>
      </c>
    </row>
    <row r="461" spans="1:5" x14ac:dyDescent="0.25">
      <c r="A461" s="8">
        <f t="shared" si="21"/>
        <v>73</v>
      </c>
      <c r="B461" t="str">
        <f ca="1">TEXT(DATE(YEAR(Invoer!$A$5),1,1)+INT((ROWS(B$2:B461)-1)/3),"jjjjmmdd")</f>
        <v>19450603</v>
      </c>
      <c r="C461" s="20" t="str">
        <f>INDEX(Data,2,2+MOD(ROWS(C$2:C461)-1,3))</f>
        <v>08.00</v>
      </c>
      <c r="D461" s="14" t="str">
        <f t="shared" ca="1" si="22"/>
        <v>—</v>
      </c>
      <c r="E461" s="25">
        <f t="shared" ca="1" si="23"/>
        <v>7</v>
      </c>
    </row>
    <row r="462" spans="1:5" x14ac:dyDescent="0.25">
      <c r="A462" s="8">
        <f t="shared" si="21"/>
        <v>73</v>
      </c>
      <c r="B462" t="str">
        <f ca="1">TEXT(DATE(YEAR(Invoer!$A$5),1,1)+INT((ROWS(B$2:B462)-1)/3),"jjjjmmdd")</f>
        <v>19450603</v>
      </c>
      <c r="C462" s="20" t="str">
        <f>INDEX(Data,2,2+MOD(ROWS(C$2:C462)-1,3))</f>
        <v>12.00</v>
      </c>
      <c r="D462" s="14" t="str">
        <f t="shared" ca="1" si="22"/>
        <v>—</v>
      </c>
      <c r="E462" s="25">
        <f t="shared" ca="1" si="23"/>
        <v>7</v>
      </c>
    </row>
    <row r="463" spans="1:5" x14ac:dyDescent="0.25">
      <c r="A463" s="8">
        <f t="shared" si="21"/>
        <v>73</v>
      </c>
      <c r="B463" t="str">
        <f ca="1">TEXT(DATE(YEAR(Invoer!$A$5),1,1)+INT((ROWS(B$2:B463)-1)/3),"jjjjmmdd")</f>
        <v>19450603</v>
      </c>
      <c r="C463" s="20" t="str">
        <f>INDEX(Data,2,2+MOD(ROWS(C$2:C463)-1,3))</f>
        <v>16.00</v>
      </c>
      <c r="D463" s="14" t="str">
        <f t="shared" ca="1" si="22"/>
        <v>—</v>
      </c>
      <c r="E463" s="25">
        <f t="shared" ca="1" si="23"/>
        <v>7</v>
      </c>
    </row>
    <row r="464" spans="1:5" x14ac:dyDescent="0.25">
      <c r="A464" s="8">
        <f t="shared" si="21"/>
        <v>73</v>
      </c>
      <c r="B464" t="str">
        <f ca="1">TEXT(DATE(YEAR(Invoer!$A$5),1,1)+INT((ROWS(B$2:B464)-1)/3),"jjjjmmdd")</f>
        <v>19450604</v>
      </c>
      <c r="C464" s="20" t="str">
        <f>INDEX(Data,2,2+MOD(ROWS(C$2:C464)-1,3))</f>
        <v>08.00</v>
      </c>
      <c r="D464" s="14" t="str">
        <f t="shared" ca="1" si="22"/>
        <v>—</v>
      </c>
      <c r="E464" s="25">
        <f t="shared" ca="1" si="23"/>
        <v>7</v>
      </c>
    </row>
    <row r="465" spans="1:5" x14ac:dyDescent="0.25">
      <c r="A465" s="8">
        <f t="shared" si="21"/>
        <v>73</v>
      </c>
      <c r="B465" t="str">
        <f ca="1">TEXT(DATE(YEAR(Invoer!$A$5),1,1)+INT((ROWS(B$2:B465)-1)/3),"jjjjmmdd")</f>
        <v>19450604</v>
      </c>
      <c r="C465" s="20" t="str">
        <f>INDEX(Data,2,2+MOD(ROWS(C$2:C465)-1,3))</f>
        <v>12.00</v>
      </c>
      <c r="D465" s="14" t="str">
        <f t="shared" ca="1" si="22"/>
        <v>—</v>
      </c>
      <c r="E465" s="25">
        <f t="shared" ca="1" si="23"/>
        <v>7</v>
      </c>
    </row>
    <row r="466" spans="1:5" x14ac:dyDescent="0.25">
      <c r="A466" s="8">
        <f t="shared" si="21"/>
        <v>73</v>
      </c>
      <c r="B466" t="str">
        <f ca="1">TEXT(DATE(YEAR(Invoer!$A$5),1,1)+INT((ROWS(B$2:B466)-1)/3),"jjjjmmdd")</f>
        <v>19450604</v>
      </c>
      <c r="C466" s="20" t="str">
        <f>INDEX(Data,2,2+MOD(ROWS(C$2:C466)-1,3))</f>
        <v>16.00</v>
      </c>
      <c r="D466" s="14" t="str">
        <f t="shared" ca="1" si="22"/>
        <v>—</v>
      </c>
      <c r="E466" s="25">
        <f t="shared" ca="1" si="23"/>
        <v>7</v>
      </c>
    </row>
    <row r="467" spans="1:5" x14ac:dyDescent="0.25">
      <c r="A467" s="8">
        <f t="shared" si="21"/>
        <v>73</v>
      </c>
      <c r="B467" t="str">
        <f ca="1">TEXT(DATE(YEAR(Invoer!$A$5),1,1)+INT((ROWS(B$2:B467)-1)/3),"jjjjmmdd")</f>
        <v>19450605</v>
      </c>
      <c r="C467" s="20" t="str">
        <f>INDEX(Data,2,2+MOD(ROWS(C$2:C467)-1,3))</f>
        <v>08.00</v>
      </c>
      <c r="D467" s="14" t="str">
        <f t="shared" ca="1" si="22"/>
        <v>—</v>
      </c>
      <c r="E467" s="25">
        <f t="shared" ca="1" si="23"/>
        <v>7</v>
      </c>
    </row>
    <row r="468" spans="1:5" x14ac:dyDescent="0.25">
      <c r="A468" s="8">
        <f t="shared" si="21"/>
        <v>73</v>
      </c>
      <c r="B468" t="str">
        <f ca="1">TEXT(DATE(YEAR(Invoer!$A$5),1,1)+INT((ROWS(B$2:B468)-1)/3),"jjjjmmdd")</f>
        <v>19450605</v>
      </c>
      <c r="C468" s="20" t="str">
        <f>INDEX(Data,2,2+MOD(ROWS(C$2:C468)-1,3))</f>
        <v>12.00</v>
      </c>
      <c r="D468" s="14" t="str">
        <f t="shared" ca="1" si="22"/>
        <v>—</v>
      </c>
      <c r="E468" s="25">
        <f t="shared" ca="1" si="23"/>
        <v>7</v>
      </c>
    </row>
    <row r="469" spans="1:5" x14ac:dyDescent="0.25">
      <c r="A469" s="8">
        <f t="shared" si="21"/>
        <v>73</v>
      </c>
      <c r="B469" t="str">
        <f ca="1">TEXT(DATE(YEAR(Invoer!$A$5),1,1)+INT((ROWS(B$2:B469)-1)/3),"jjjjmmdd")</f>
        <v>19450605</v>
      </c>
      <c r="C469" s="20" t="str">
        <f>INDEX(Data,2,2+MOD(ROWS(C$2:C469)-1,3))</f>
        <v>16.00</v>
      </c>
      <c r="D469" s="14" t="str">
        <f t="shared" ca="1" si="22"/>
        <v>—</v>
      </c>
      <c r="E469" s="25">
        <f t="shared" ca="1" si="23"/>
        <v>7</v>
      </c>
    </row>
    <row r="470" spans="1:5" x14ac:dyDescent="0.25">
      <c r="A470" s="8">
        <f t="shared" si="21"/>
        <v>73</v>
      </c>
      <c r="B470" t="str">
        <f ca="1">TEXT(DATE(YEAR(Invoer!$A$5),1,1)+INT((ROWS(B$2:B470)-1)/3),"jjjjmmdd")</f>
        <v>19450606</v>
      </c>
      <c r="C470" s="20" t="str">
        <f>INDEX(Data,2,2+MOD(ROWS(C$2:C470)-1,3))</f>
        <v>08.00</v>
      </c>
      <c r="D470" s="14" t="str">
        <f t="shared" ca="1" si="22"/>
        <v>—</v>
      </c>
      <c r="E470" s="25">
        <f t="shared" ca="1" si="23"/>
        <v>7</v>
      </c>
    </row>
    <row r="471" spans="1:5" x14ac:dyDescent="0.25">
      <c r="A471" s="8">
        <f t="shared" si="21"/>
        <v>73</v>
      </c>
      <c r="B471" t="str">
        <f ca="1">TEXT(DATE(YEAR(Invoer!$A$5),1,1)+INT((ROWS(B$2:B471)-1)/3),"jjjjmmdd")</f>
        <v>19450606</v>
      </c>
      <c r="C471" s="20" t="str">
        <f>INDEX(Data,2,2+MOD(ROWS(C$2:C471)-1,3))</f>
        <v>12.00</v>
      </c>
      <c r="D471" s="14" t="str">
        <f t="shared" ca="1" si="22"/>
        <v>—</v>
      </c>
      <c r="E471" s="25">
        <f t="shared" ca="1" si="23"/>
        <v>7</v>
      </c>
    </row>
    <row r="472" spans="1:5" x14ac:dyDescent="0.25">
      <c r="A472" s="8">
        <f t="shared" si="21"/>
        <v>73</v>
      </c>
      <c r="B472" t="str">
        <f ca="1">TEXT(DATE(YEAR(Invoer!$A$5),1,1)+INT((ROWS(B$2:B472)-1)/3),"jjjjmmdd")</f>
        <v>19450606</v>
      </c>
      <c r="C472" s="20" t="str">
        <f>INDEX(Data,2,2+MOD(ROWS(C$2:C472)-1,3))</f>
        <v>16.00</v>
      </c>
      <c r="D472" s="14" t="str">
        <f t="shared" ca="1" si="22"/>
        <v>—</v>
      </c>
      <c r="E472" s="25">
        <f t="shared" ca="1" si="23"/>
        <v>7</v>
      </c>
    </row>
    <row r="473" spans="1:5" x14ac:dyDescent="0.25">
      <c r="A473" s="8">
        <f t="shared" si="21"/>
        <v>73</v>
      </c>
      <c r="B473" t="str">
        <f ca="1">TEXT(DATE(YEAR(Invoer!$A$5),1,1)+INT((ROWS(B$2:B473)-1)/3),"jjjjmmdd")</f>
        <v>19450607</v>
      </c>
      <c r="C473" s="20" t="str">
        <f>INDEX(Data,2,2+MOD(ROWS(C$2:C473)-1,3))</f>
        <v>08.00</v>
      </c>
      <c r="D473" s="14" t="str">
        <f t="shared" ca="1" si="22"/>
        <v>—</v>
      </c>
      <c r="E473" s="25">
        <f t="shared" ca="1" si="23"/>
        <v>7</v>
      </c>
    </row>
    <row r="474" spans="1:5" x14ac:dyDescent="0.25">
      <c r="A474" s="8">
        <f t="shared" si="21"/>
        <v>73</v>
      </c>
      <c r="B474" t="str">
        <f ca="1">TEXT(DATE(YEAR(Invoer!$A$5),1,1)+INT((ROWS(B$2:B474)-1)/3),"jjjjmmdd")</f>
        <v>19450607</v>
      </c>
      <c r="C474" s="20" t="str">
        <f>INDEX(Data,2,2+MOD(ROWS(C$2:C474)-1,3))</f>
        <v>12.00</v>
      </c>
      <c r="D474" s="14" t="str">
        <f t="shared" ca="1" si="22"/>
        <v>—</v>
      </c>
      <c r="E474" s="25">
        <f t="shared" ca="1" si="23"/>
        <v>7</v>
      </c>
    </row>
    <row r="475" spans="1:5" x14ac:dyDescent="0.25">
      <c r="A475" s="8">
        <f t="shared" si="21"/>
        <v>73</v>
      </c>
      <c r="B475" t="str">
        <f ca="1">TEXT(DATE(YEAR(Invoer!$A$5),1,1)+INT((ROWS(B$2:B475)-1)/3),"jjjjmmdd")</f>
        <v>19450607</v>
      </c>
      <c r="C475" s="20" t="str">
        <f>INDEX(Data,2,2+MOD(ROWS(C$2:C475)-1,3))</f>
        <v>16.00</v>
      </c>
      <c r="D475" s="14" t="str">
        <f t="shared" ca="1" si="22"/>
        <v>—</v>
      </c>
      <c r="E475" s="25">
        <f t="shared" ca="1" si="23"/>
        <v>7</v>
      </c>
    </row>
    <row r="476" spans="1:5" x14ac:dyDescent="0.25">
      <c r="A476" s="8">
        <f t="shared" si="21"/>
        <v>73</v>
      </c>
      <c r="B476" t="str">
        <f ca="1">TEXT(DATE(YEAR(Invoer!$A$5),1,1)+INT((ROWS(B$2:B476)-1)/3),"jjjjmmdd")</f>
        <v>19450608</v>
      </c>
      <c r="C476" s="20" t="str">
        <f>INDEX(Data,2,2+MOD(ROWS(C$2:C476)-1,3))</f>
        <v>08.00</v>
      </c>
      <c r="D476" s="14" t="str">
        <f t="shared" ca="1" si="22"/>
        <v>—</v>
      </c>
      <c r="E476" s="25">
        <f t="shared" ca="1" si="23"/>
        <v>7</v>
      </c>
    </row>
    <row r="477" spans="1:5" x14ac:dyDescent="0.25">
      <c r="A477" s="8">
        <f t="shared" si="21"/>
        <v>73</v>
      </c>
      <c r="B477" t="str">
        <f ca="1">TEXT(DATE(YEAR(Invoer!$A$5),1,1)+INT((ROWS(B$2:B477)-1)/3),"jjjjmmdd")</f>
        <v>19450608</v>
      </c>
      <c r="C477" s="20" t="str">
        <f>INDEX(Data,2,2+MOD(ROWS(C$2:C477)-1,3))</f>
        <v>12.00</v>
      </c>
      <c r="D477" s="14" t="str">
        <f t="shared" ca="1" si="22"/>
        <v>—</v>
      </c>
      <c r="E477" s="25">
        <f t="shared" ca="1" si="23"/>
        <v>7</v>
      </c>
    </row>
    <row r="478" spans="1:5" x14ac:dyDescent="0.25">
      <c r="A478" s="8">
        <f t="shared" si="21"/>
        <v>73</v>
      </c>
      <c r="B478" t="str">
        <f ca="1">TEXT(DATE(YEAR(Invoer!$A$5),1,1)+INT((ROWS(B$2:B478)-1)/3),"jjjjmmdd")</f>
        <v>19450608</v>
      </c>
      <c r="C478" s="20" t="str">
        <f>INDEX(Data,2,2+MOD(ROWS(C$2:C478)-1,3))</f>
        <v>16.00</v>
      </c>
      <c r="D478" s="14" t="str">
        <f t="shared" ca="1" si="22"/>
        <v>—</v>
      </c>
      <c r="E478" s="25">
        <f t="shared" ca="1" si="23"/>
        <v>7</v>
      </c>
    </row>
    <row r="479" spans="1:5" x14ac:dyDescent="0.25">
      <c r="A479" s="8">
        <f t="shared" si="21"/>
        <v>73</v>
      </c>
      <c r="B479" t="str">
        <f ca="1">TEXT(DATE(YEAR(Invoer!$A$5),1,1)+INT((ROWS(B$2:B479)-1)/3),"jjjjmmdd")</f>
        <v>19450609</v>
      </c>
      <c r="C479" s="20" t="str">
        <f>INDEX(Data,2,2+MOD(ROWS(C$2:C479)-1,3))</f>
        <v>08.00</v>
      </c>
      <c r="D479" s="14" t="str">
        <f t="shared" ca="1" si="22"/>
        <v>—</v>
      </c>
      <c r="E479" s="25">
        <f t="shared" ca="1" si="23"/>
        <v>7</v>
      </c>
    </row>
    <row r="480" spans="1:5" x14ac:dyDescent="0.25">
      <c r="A480" s="8">
        <f t="shared" si="21"/>
        <v>73</v>
      </c>
      <c r="B480" t="str">
        <f ca="1">TEXT(DATE(YEAR(Invoer!$A$5),1,1)+INT((ROWS(B$2:B480)-1)/3),"jjjjmmdd")</f>
        <v>19450609</v>
      </c>
      <c r="C480" s="20" t="str">
        <f>INDEX(Data,2,2+MOD(ROWS(C$2:C480)-1,3))</f>
        <v>12.00</v>
      </c>
      <c r="D480" s="14" t="str">
        <f t="shared" ca="1" si="22"/>
        <v>—</v>
      </c>
      <c r="E480" s="25">
        <f t="shared" ca="1" si="23"/>
        <v>7</v>
      </c>
    </row>
    <row r="481" spans="1:5" x14ac:dyDescent="0.25">
      <c r="A481" s="8">
        <f t="shared" si="21"/>
        <v>73</v>
      </c>
      <c r="B481" t="str">
        <f ca="1">TEXT(DATE(YEAR(Invoer!$A$5),1,1)+INT((ROWS(B$2:B481)-1)/3),"jjjjmmdd")</f>
        <v>19450609</v>
      </c>
      <c r="C481" s="20" t="str">
        <f>INDEX(Data,2,2+MOD(ROWS(C$2:C481)-1,3))</f>
        <v>16.00</v>
      </c>
      <c r="D481" s="14" t="str">
        <f t="shared" ca="1" si="22"/>
        <v>—</v>
      </c>
      <c r="E481" s="25">
        <f t="shared" ca="1" si="23"/>
        <v>7</v>
      </c>
    </row>
    <row r="482" spans="1:5" x14ac:dyDescent="0.25">
      <c r="A482" s="8">
        <f t="shared" si="21"/>
        <v>73</v>
      </c>
      <c r="B482" t="str">
        <f ca="1">TEXT(DATE(YEAR(Invoer!$A$5),1,1)+INT((ROWS(B$2:B482)-1)/3),"jjjjmmdd")</f>
        <v>19450610</v>
      </c>
      <c r="C482" s="20" t="str">
        <f>INDEX(Data,2,2+MOD(ROWS(C$2:C482)-1,3))</f>
        <v>08.00</v>
      </c>
      <c r="D482" s="14" t="str">
        <f t="shared" ca="1" si="22"/>
        <v>—</v>
      </c>
      <c r="E482" s="25">
        <f t="shared" ca="1" si="23"/>
        <v>7</v>
      </c>
    </row>
    <row r="483" spans="1:5" x14ac:dyDescent="0.25">
      <c r="A483" s="8">
        <f t="shared" si="21"/>
        <v>73</v>
      </c>
      <c r="B483" t="str">
        <f ca="1">TEXT(DATE(YEAR(Invoer!$A$5),1,1)+INT((ROWS(B$2:B483)-1)/3),"jjjjmmdd")</f>
        <v>19450610</v>
      </c>
      <c r="C483" s="20" t="str">
        <f>INDEX(Data,2,2+MOD(ROWS(C$2:C483)-1,3))</f>
        <v>12.00</v>
      </c>
      <c r="D483" s="14" t="str">
        <f t="shared" ca="1" si="22"/>
        <v>—</v>
      </c>
      <c r="E483" s="25">
        <f t="shared" ca="1" si="23"/>
        <v>7</v>
      </c>
    </row>
    <row r="484" spans="1:5" x14ac:dyDescent="0.25">
      <c r="A484" s="8">
        <f t="shared" si="21"/>
        <v>73</v>
      </c>
      <c r="B484" t="str">
        <f ca="1">TEXT(DATE(YEAR(Invoer!$A$5),1,1)+INT((ROWS(B$2:B484)-1)/3),"jjjjmmdd")</f>
        <v>19450610</v>
      </c>
      <c r="C484" s="20" t="str">
        <f>INDEX(Data,2,2+MOD(ROWS(C$2:C484)-1,3))</f>
        <v>16.00</v>
      </c>
      <c r="D484" s="14" t="str">
        <f t="shared" ca="1" si="22"/>
        <v>—</v>
      </c>
      <c r="E484" s="25">
        <f t="shared" ca="1" si="23"/>
        <v>7</v>
      </c>
    </row>
    <row r="485" spans="1:5" x14ac:dyDescent="0.25">
      <c r="A485" s="8">
        <f t="shared" si="21"/>
        <v>73</v>
      </c>
      <c r="B485" t="str">
        <f ca="1">TEXT(DATE(YEAR(Invoer!$A$5),1,1)+INT((ROWS(B$2:B485)-1)/3),"jjjjmmdd")</f>
        <v>19450611</v>
      </c>
      <c r="C485" s="20" t="str">
        <f>INDEX(Data,2,2+MOD(ROWS(C$2:C485)-1,3))</f>
        <v>08.00</v>
      </c>
      <c r="D485" s="14" t="str">
        <f t="shared" ca="1" si="22"/>
        <v>—</v>
      </c>
      <c r="E485" s="25">
        <f t="shared" ca="1" si="23"/>
        <v>7</v>
      </c>
    </row>
    <row r="486" spans="1:5" x14ac:dyDescent="0.25">
      <c r="A486" s="8">
        <f t="shared" si="21"/>
        <v>73</v>
      </c>
      <c r="B486" t="str">
        <f ca="1">TEXT(DATE(YEAR(Invoer!$A$5),1,1)+INT((ROWS(B$2:B486)-1)/3),"jjjjmmdd")</f>
        <v>19450611</v>
      </c>
      <c r="C486" s="20" t="str">
        <f>INDEX(Data,2,2+MOD(ROWS(C$2:C486)-1,3))</f>
        <v>12.00</v>
      </c>
      <c r="D486" s="14" t="str">
        <f t="shared" ca="1" si="22"/>
        <v>—</v>
      </c>
      <c r="E486" s="25">
        <f t="shared" ca="1" si="23"/>
        <v>7</v>
      </c>
    </row>
    <row r="487" spans="1:5" x14ac:dyDescent="0.25">
      <c r="A487" s="8">
        <f t="shared" si="21"/>
        <v>73</v>
      </c>
      <c r="B487" t="str">
        <f ca="1">TEXT(DATE(YEAR(Invoer!$A$5),1,1)+INT((ROWS(B$2:B487)-1)/3),"jjjjmmdd")</f>
        <v>19450611</v>
      </c>
      <c r="C487" s="20" t="str">
        <f>INDEX(Data,2,2+MOD(ROWS(C$2:C487)-1,3))</f>
        <v>16.00</v>
      </c>
      <c r="D487" s="14" t="str">
        <f t="shared" ca="1" si="22"/>
        <v>—</v>
      </c>
      <c r="E487" s="25">
        <f t="shared" ca="1" si="23"/>
        <v>7</v>
      </c>
    </row>
    <row r="488" spans="1:5" x14ac:dyDescent="0.25">
      <c r="A488" s="8">
        <f t="shared" si="21"/>
        <v>73</v>
      </c>
      <c r="B488" t="str">
        <f ca="1">TEXT(DATE(YEAR(Invoer!$A$5),1,1)+INT((ROWS(B$2:B488)-1)/3),"jjjjmmdd")</f>
        <v>19450612</v>
      </c>
      <c r="C488" s="20" t="str">
        <f>INDEX(Data,2,2+MOD(ROWS(C$2:C488)-1,3))</f>
        <v>08.00</v>
      </c>
      <c r="D488" s="14" t="str">
        <f t="shared" ca="1" si="22"/>
        <v>—</v>
      </c>
      <c r="E488" s="25">
        <f t="shared" ca="1" si="23"/>
        <v>7</v>
      </c>
    </row>
    <row r="489" spans="1:5" x14ac:dyDescent="0.25">
      <c r="A489" s="8">
        <f t="shared" si="21"/>
        <v>73</v>
      </c>
      <c r="B489" t="str">
        <f ca="1">TEXT(DATE(YEAR(Invoer!$A$5),1,1)+INT((ROWS(B$2:B489)-1)/3),"jjjjmmdd")</f>
        <v>19450612</v>
      </c>
      <c r="C489" s="20" t="str">
        <f>INDEX(Data,2,2+MOD(ROWS(C$2:C489)-1,3))</f>
        <v>12.00</v>
      </c>
      <c r="D489" s="14" t="str">
        <f t="shared" ca="1" si="22"/>
        <v>—</v>
      </c>
      <c r="E489" s="25">
        <f t="shared" ca="1" si="23"/>
        <v>7</v>
      </c>
    </row>
    <row r="490" spans="1:5" x14ac:dyDescent="0.25">
      <c r="A490" s="8">
        <f t="shared" si="21"/>
        <v>73</v>
      </c>
      <c r="B490" t="str">
        <f ca="1">TEXT(DATE(YEAR(Invoer!$A$5),1,1)+INT((ROWS(B$2:B490)-1)/3),"jjjjmmdd")</f>
        <v>19450612</v>
      </c>
      <c r="C490" s="20" t="str">
        <f>INDEX(Data,2,2+MOD(ROWS(C$2:C490)-1,3))</f>
        <v>16.00</v>
      </c>
      <c r="D490" s="14" t="str">
        <f t="shared" ca="1" si="22"/>
        <v>—</v>
      </c>
      <c r="E490" s="25">
        <f t="shared" ca="1" si="23"/>
        <v>7</v>
      </c>
    </row>
    <row r="491" spans="1:5" x14ac:dyDescent="0.25">
      <c r="A491" s="8">
        <f t="shared" si="21"/>
        <v>73</v>
      </c>
      <c r="B491" t="str">
        <f ca="1">TEXT(DATE(YEAR(Invoer!$A$5),1,1)+INT((ROWS(B$2:B491)-1)/3),"jjjjmmdd")</f>
        <v>19450613</v>
      </c>
      <c r="C491" s="20" t="str">
        <f>INDEX(Data,2,2+MOD(ROWS(C$2:C491)-1,3))</f>
        <v>08.00</v>
      </c>
      <c r="D491" s="14" t="str">
        <f t="shared" ca="1" si="22"/>
        <v>—</v>
      </c>
      <c r="E491" s="25">
        <f t="shared" ca="1" si="23"/>
        <v>7</v>
      </c>
    </row>
    <row r="492" spans="1:5" x14ac:dyDescent="0.25">
      <c r="A492" s="8">
        <f t="shared" si="21"/>
        <v>73</v>
      </c>
      <c r="B492" t="str">
        <f ca="1">TEXT(DATE(YEAR(Invoer!$A$5),1,1)+INT((ROWS(B$2:B492)-1)/3),"jjjjmmdd")</f>
        <v>19450613</v>
      </c>
      <c r="C492" s="20" t="str">
        <f>INDEX(Data,2,2+MOD(ROWS(C$2:C492)-1,3))</f>
        <v>12.00</v>
      </c>
      <c r="D492" s="14" t="str">
        <f t="shared" ca="1" si="22"/>
        <v>—</v>
      </c>
      <c r="E492" s="25">
        <f t="shared" ca="1" si="23"/>
        <v>7</v>
      </c>
    </row>
    <row r="493" spans="1:5" x14ac:dyDescent="0.25">
      <c r="A493" s="8">
        <f t="shared" si="21"/>
        <v>73</v>
      </c>
      <c r="B493" t="str">
        <f ca="1">TEXT(DATE(YEAR(Invoer!$A$5),1,1)+INT((ROWS(B$2:B493)-1)/3),"jjjjmmdd")</f>
        <v>19450613</v>
      </c>
      <c r="C493" s="20" t="str">
        <f>INDEX(Data,2,2+MOD(ROWS(C$2:C493)-1,3))</f>
        <v>16.00</v>
      </c>
      <c r="D493" s="14" t="str">
        <f t="shared" ca="1" si="22"/>
        <v>—</v>
      </c>
      <c r="E493" s="25">
        <f t="shared" ca="1" si="23"/>
        <v>7</v>
      </c>
    </row>
    <row r="494" spans="1:5" x14ac:dyDescent="0.25">
      <c r="A494" s="8">
        <f t="shared" si="21"/>
        <v>73</v>
      </c>
      <c r="B494" t="str">
        <f ca="1">TEXT(DATE(YEAR(Invoer!$A$5),1,1)+INT((ROWS(B$2:B494)-1)/3),"jjjjmmdd")</f>
        <v>19450614</v>
      </c>
      <c r="C494" s="20" t="str">
        <f>INDEX(Data,2,2+MOD(ROWS(C$2:C494)-1,3))</f>
        <v>08.00</v>
      </c>
      <c r="D494" s="14" t="str">
        <f t="shared" ca="1" si="22"/>
        <v>—</v>
      </c>
      <c r="E494" s="25">
        <f t="shared" ca="1" si="23"/>
        <v>7</v>
      </c>
    </row>
    <row r="495" spans="1:5" x14ac:dyDescent="0.25">
      <c r="A495" s="8">
        <f t="shared" si="21"/>
        <v>73</v>
      </c>
      <c r="B495" t="str">
        <f ca="1">TEXT(DATE(YEAR(Invoer!$A$5),1,1)+INT((ROWS(B$2:B495)-1)/3),"jjjjmmdd")</f>
        <v>19450614</v>
      </c>
      <c r="C495" s="20" t="str">
        <f>INDEX(Data,2,2+MOD(ROWS(C$2:C495)-1,3))</f>
        <v>12.00</v>
      </c>
      <c r="D495" s="14" t="str">
        <f t="shared" ca="1" si="22"/>
        <v>—</v>
      </c>
      <c r="E495" s="25">
        <f t="shared" ca="1" si="23"/>
        <v>7</v>
      </c>
    </row>
    <row r="496" spans="1:5" x14ac:dyDescent="0.25">
      <c r="A496" s="8">
        <f t="shared" si="21"/>
        <v>73</v>
      </c>
      <c r="B496" t="str">
        <f ca="1">TEXT(DATE(YEAR(Invoer!$A$5),1,1)+INT((ROWS(B$2:B496)-1)/3),"jjjjmmdd")</f>
        <v>19450614</v>
      </c>
      <c r="C496" s="20" t="str">
        <f>INDEX(Data,2,2+MOD(ROWS(C$2:C496)-1,3))</f>
        <v>16.00</v>
      </c>
      <c r="D496" s="14" t="str">
        <f t="shared" ca="1" si="22"/>
        <v>—</v>
      </c>
      <c r="E496" s="25">
        <f t="shared" ca="1" si="23"/>
        <v>7</v>
      </c>
    </row>
    <row r="497" spans="1:5" x14ac:dyDescent="0.25">
      <c r="A497" s="8">
        <f t="shared" si="21"/>
        <v>73</v>
      </c>
      <c r="B497" t="str">
        <f ca="1">TEXT(DATE(YEAR(Invoer!$A$5),1,1)+INT((ROWS(B$2:B497)-1)/3),"jjjjmmdd")</f>
        <v>19450615</v>
      </c>
      <c r="C497" s="20" t="str">
        <f>INDEX(Data,2,2+MOD(ROWS(C$2:C497)-1,3))</f>
        <v>08.00</v>
      </c>
      <c r="D497" s="14" t="str">
        <f t="shared" ca="1" si="22"/>
        <v>—</v>
      </c>
      <c r="E497" s="25">
        <f t="shared" ca="1" si="23"/>
        <v>7</v>
      </c>
    </row>
    <row r="498" spans="1:5" x14ac:dyDescent="0.25">
      <c r="A498" s="8">
        <f t="shared" si="21"/>
        <v>73</v>
      </c>
      <c r="B498" t="str">
        <f ca="1">TEXT(DATE(YEAR(Invoer!$A$5),1,1)+INT((ROWS(B$2:B498)-1)/3),"jjjjmmdd")</f>
        <v>19450615</v>
      </c>
      <c r="C498" s="20" t="str">
        <f>INDEX(Data,2,2+MOD(ROWS(C$2:C498)-1,3))</f>
        <v>12.00</v>
      </c>
      <c r="D498" s="14" t="str">
        <f t="shared" ca="1" si="22"/>
        <v>—</v>
      </c>
      <c r="E498" s="25">
        <f t="shared" ca="1" si="23"/>
        <v>7</v>
      </c>
    </row>
    <row r="499" spans="1:5" x14ac:dyDescent="0.25">
      <c r="A499" s="8">
        <f t="shared" si="21"/>
        <v>73</v>
      </c>
      <c r="B499" t="str">
        <f ca="1">TEXT(DATE(YEAR(Invoer!$A$5),1,1)+INT((ROWS(B$2:B499)-1)/3),"jjjjmmdd")</f>
        <v>19450615</v>
      </c>
      <c r="C499" s="20" t="str">
        <f>INDEX(Data,2,2+MOD(ROWS(C$2:C499)-1,3))</f>
        <v>16.00</v>
      </c>
      <c r="D499" s="14" t="str">
        <f t="shared" ca="1" si="22"/>
        <v>—</v>
      </c>
      <c r="E499" s="25">
        <f t="shared" ca="1" si="23"/>
        <v>7</v>
      </c>
    </row>
    <row r="500" spans="1:5" x14ac:dyDescent="0.25">
      <c r="A500" s="8">
        <f t="shared" si="21"/>
        <v>73</v>
      </c>
      <c r="B500" t="str">
        <f ca="1">TEXT(DATE(YEAR(Invoer!$A$5),1,1)+INT((ROWS(B$2:B500)-1)/3),"jjjjmmdd")</f>
        <v>19450616</v>
      </c>
      <c r="C500" s="20" t="str">
        <f>INDEX(Data,2,2+MOD(ROWS(C$2:C500)-1,3))</f>
        <v>08.00</v>
      </c>
      <c r="D500" s="14" t="str">
        <f t="shared" ca="1" si="22"/>
        <v>—</v>
      </c>
      <c r="E500" s="25">
        <f t="shared" ca="1" si="23"/>
        <v>7</v>
      </c>
    </row>
    <row r="501" spans="1:5" x14ac:dyDescent="0.25">
      <c r="A501" s="8">
        <f t="shared" si="21"/>
        <v>73</v>
      </c>
      <c r="B501" t="str">
        <f ca="1">TEXT(DATE(YEAR(Invoer!$A$5),1,1)+INT((ROWS(B$2:B501)-1)/3),"jjjjmmdd")</f>
        <v>19450616</v>
      </c>
      <c r="C501" s="20" t="str">
        <f>INDEX(Data,2,2+MOD(ROWS(C$2:C501)-1,3))</f>
        <v>12.00</v>
      </c>
      <c r="D501" s="14" t="str">
        <f t="shared" ca="1" si="22"/>
        <v>—</v>
      </c>
      <c r="E501" s="25">
        <f t="shared" ca="1" si="23"/>
        <v>7</v>
      </c>
    </row>
    <row r="502" spans="1:5" x14ac:dyDescent="0.25">
      <c r="A502" s="8">
        <f t="shared" si="21"/>
        <v>73</v>
      </c>
      <c r="B502" t="str">
        <f ca="1">TEXT(DATE(YEAR(Invoer!$A$5),1,1)+INT((ROWS(B$2:B502)-1)/3),"jjjjmmdd")</f>
        <v>19450616</v>
      </c>
      <c r="C502" s="20" t="str">
        <f>INDEX(Data,2,2+MOD(ROWS(C$2:C502)-1,3))</f>
        <v>16.00</v>
      </c>
      <c r="D502" s="14" t="str">
        <f t="shared" ca="1" si="22"/>
        <v>—</v>
      </c>
      <c r="E502" s="25">
        <f t="shared" ca="1" si="23"/>
        <v>7</v>
      </c>
    </row>
    <row r="503" spans="1:5" x14ac:dyDescent="0.25">
      <c r="A503" s="8">
        <f t="shared" si="21"/>
        <v>73</v>
      </c>
      <c r="B503" t="str">
        <f ca="1">TEXT(DATE(YEAR(Invoer!$A$5),1,1)+INT((ROWS(B$2:B503)-1)/3),"jjjjmmdd")</f>
        <v>19450617</v>
      </c>
      <c r="C503" s="20" t="str">
        <f>INDEX(Data,2,2+MOD(ROWS(C$2:C503)-1,3))</f>
        <v>08.00</v>
      </c>
      <c r="D503" s="14" t="str">
        <f t="shared" ca="1" si="22"/>
        <v>—</v>
      </c>
      <c r="E503" s="25">
        <f t="shared" ca="1" si="23"/>
        <v>7</v>
      </c>
    </row>
    <row r="504" spans="1:5" x14ac:dyDescent="0.25">
      <c r="A504" s="8">
        <f t="shared" si="21"/>
        <v>73</v>
      </c>
      <c r="B504" t="str">
        <f ca="1">TEXT(DATE(YEAR(Invoer!$A$5),1,1)+INT((ROWS(B$2:B504)-1)/3),"jjjjmmdd")</f>
        <v>19450617</v>
      </c>
      <c r="C504" s="20" t="str">
        <f>INDEX(Data,2,2+MOD(ROWS(C$2:C504)-1,3))</f>
        <v>12.00</v>
      </c>
      <c r="D504" s="14" t="str">
        <f t="shared" ca="1" si="22"/>
        <v>—</v>
      </c>
      <c r="E504" s="25">
        <f t="shared" ca="1" si="23"/>
        <v>7</v>
      </c>
    </row>
    <row r="505" spans="1:5" x14ac:dyDescent="0.25">
      <c r="A505" s="8">
        <f t="shared" si="21"/>
        <v>73</v>
      </c>
      <c r="B505" t="str">
        <f ca="1">TEXT(DATE(YEAR(Invoer!$A$5),1,1)+INT((ROWS(B$2:B505)-1)/3),"jjjjmmdd")</f>
        <v>19450617</v>
      </c>
      <c r="C505" s="20" t="str">
        <f>INDEX(Data,2,2+MOD(ROWS(C$2:C505)-1,3))</f>
        <v>16.00</v>
      </c>
      <c r="D505" s="14" t="str">
        <f t="shared" ca="1" si="22"/>
        <v>—</v>
      </c>
      <c r="E505" s="25">
        <f t="shared" ca="1" si="23"/>
        <v>7</v>
      </c>
    </row>
    <row r="506" spans="1:5" x14ac:dyDescent="0.25">
      <c r="A506" s="8">
        <f t="shared" si="21"/>
        <v>73</v>
      </c>
      <c r="B506" t="str">
        <f ca="1">TEXT(DATE(YEAR(Invoer!$A$5),1,1)+INT((ROWS(B$2:B506)-1)/3),"jjjjmmdd")</f>
        <v>19450618</v>
      </c>
      <c r="C506" s="20" t="str">
        <f>INDEX(Data,2,2+MOD(ROWS(C$2:C506)-1,3))</f>
        <v>08.00</v>
      </c>
      <c r="D506" s="14" t="str">
        <f t="shared" ca="1" si="22"/>
        <v>—</v>
      </c>
      <c r="E506" s="25">
        <f t="shared" ca="1" si="23"/>
        <v>7</v>
      </c>
    </row>
    <row r="507" spans="1:5" x14ac:dyDescent="0.25">
      <c r="A507" s="8">
        <f t="shared" si="21"/>
        <v>73</v>
      </c>
      <c r="B507" t="str">
        <f ca="1">TEXT(DATE(YEAR(Invoer!$A$5),1,1)+INT((ROWS(B$2:B507)-1)/3),"jjjjmmdd")</f>
        <v>19450618</v>
      </c>
      <c r="C507" s="20" t="str">
        <f>INDEX(Data,2,2+MOD(ROWS(C$2:C507)-1,3))</f>
        <v>12.00</v>
      </c>
      <c r="D507" s="14" t="str">
        <f t="shared" ca="1" si="22"/>
        <v>—</v>
      </c>
      <c r="E507" s="25">
        <f t="shared" ca="1" si="23"/>
        <v>7</v>
      </c>
    </row>
    <row r="508" spans="1:5" x14ac:dyDescent="0.25">
      <c r="A508" s="8">
        <f t="shared" si="21"/>
        <v>73</v>
      </c>
      <c r="B508" t="str">
        <f ca="1">TEXT(DATE(YEAR(Invoer!$A$5),1,1)+INT((ROWS(B$2:B508)-1)/3),"jjjjmmdd")</f>
        <v>19450618</v>
      </c>
      <c r="C508" s="20" t="str">
        <f>INDEX(Data,2,2+MOD(ROWS(C$2:C508)-1,3))</f>
        <v>16.00</v>
      </c>
      <c r="D508" s="14" t="str">
        <f t="shared" ca="1" si="22"/>
        <v>—</v>
      </c>
      <c r="E508" s="25">
        <f t="shared" ca="1" si="23"/>
        <v>7</v>
      </c>
    </row>
    <row r="509" spans="1:5" x14ac:dyDescent="0.25">
      <c r="A509" s="8">
        <f t="shared" si="21"/>
        <v>73</v>
      </c>
      <c r="B509" t="str">
        <f ca="1">TEXT(DATE(YEAR(Invoer!$A$5),1,1)+INT((ROWS(B$2:B509)-1)/3),"jjjjmmdd")</f>
        <v>19450619</v>
      </c>
      <c r="C509" s="20" t="str">
        <f>INDEX(Data,2,2+MOD(ROWS(C$2:C509)-1,3))</f>
        <v>08.00</v>
      </c>
      <c r="D509" s="14" t="str">
        <f t="shared" ca="1" si="22"/>
        <v>—</v>
      </c>
      <c r="E509" s="25">
        <f t="shared" ca="1" si="23"/>
        <v>7</v>
      </c>
    </row>
    <row r="510" spans="1:5" x14ac:dyDescent="0.25">
      <c r="A510" s="8">
        <f t="shared" si="21"/>
        <v>73</v>
      </c>
      <c r="B510" t="str">
        <f ca="1">TEXT(DATE(YEAR(Invoer!$A$5),1,1)+INT((ROWS(B$2:B510)-1)/3),"jjjjmmdd")</f>
        <v>19450619</v>
      </c>
      <c r="C510" s="20" t="str">
        <f>INDEX(Data,2,2+MOD(ROWS(C$2:C510)-1,3))</f>
        <v>12.00</v>
      </c>
      <c r="D510" s="14" t="str">
        <f t="shared" ca="1" si="22"/>
        <v>—</v>
      </c>
      <c r="E510" s="25">
        <f t="shared" ca="1" si="23"/>
        <v>7</v>
      </c>
    </row>
    <row r="511" spans="1:5" x14ac:dyDescent="0.25">
      <c r="A511" s="8">
        <f t="shared" si="21"/>
        <v>73</v>
      </c>
      <c r="B511" t="str">
        <f ca="1">TEXT(DATE(YEAR(Invoer!$A$5),1,1)+INT((ROWS(B$2:B511)-1)/3),"jjjjmmdd")</f>
        <v>19450619</v>
      </c>
      <c r="C511" s="20" t="str">
        <f>INDEX(Data,2,2+MOD(ROWS(C$2:C511)-1,3))</f>
        <v>16.00</v>
      </c>
      <c r="D511" s="14" t="str">
        <f t="shared" ca="1" si="22"/>
        <v>—</v>
      </c>
      <c r="E511" s="25">
        <f t="shared" ca="1" si="23"/>
        <v>7</v>
      </c>
    </row>
    <row r="512" spans="1:5" x14ac:dyDescent="0.25">
      <c r="A512" s="8">
        <f t="shared" si="21"/>
        <v>73</v>
      </c>
      <c r="B512" t="str">
        <f ca="1">TEXT(DATE(YEAR(Invoer!$A$5),1,1)+INT((ROWS(B$2:B512)-1)/3),"jjjjmmdd")</f>
        <v>19450620</v>
      </c>
      <c r="C512" s="20" t="str">
        <f>INDEX(Data,2,2+MOD(ROWS(C$2:C512)-1,3))</f>
        <v>08.00</v>
      </c>
      <c r="D512" s="14" t="str">
        <f t="shared" ca="1" si="22"/>
        <v>—</v>
      </c>
      <c r="E512" s="25">
        <f t="shared" ca="1" si="23"/>
        <v>7</v>
      </c>
    </row>
    <row r="513" spans="1:5" x14ac:dyDescent="0.25">
      <c r="A513" s="8">
        <f t="shared" si="21"/>
        <v>73</v>
      </c>
      <c r="B513" t="str">
        <f ca="1">TEXT(DATE(YEAR(Invoer!$A$5),1,1)+INT((ROWS(B$2:B513)-1)/3),"jjjjmmdd")</f>
        <v>19450620</v>
      </c>
      <c r="C513" s="20" t="str">
        <f>INDEX(Data,2,2+MOD(ROWS(C$2:C513)-1,3))</f>
        <v>12.00</v>
      </c>
      <c r="D513" s="14" t="str">
        <f t="shared" ca="1" si="22"/>
        <v>—</v>
      </c>
      <c r="E513" s="25">
        <f t="shared" ca="1" si="23"/>
        <v>7</v>
      </c>
    </row>
    <row r="514" spans="1:5" x14ac:dyDescent="0.25">
      <c r="A514" s="8">
        <f t="shared" ref="A514:A577" si="24">INDEX(Stations,2,1)</f>
        <v>73</v>
      </c>
      <c r="B514" t="str">
        <f ca="1">TEXT(DATE(YEAR(Invoer!$A$5),1,1)+INT((ROWS(B$2:B514)-1)/3),"jjjjmmdd")</f>
        <v>19450620</v>
      </c>
      <c r="C514" s="20" t="str">
        <f>INDEX(Data,2,2+MOD(ROWS(C$2:C514)-1,3))</f>
        <v>16.00</v>
      </c>
      <c r="D514" s="14" t="str">
        <f t="shared" ref="D514:D577" ca="1" si="25">IF(OR(ISBLANK(VLOOKUP(DATEVALUE(LEFT($B514,4)&amp;"-"&amp;MID($B514,5,2)&amp;"-"&amp;RIGHT($B514,2)),Data,MATCH(LEFT(VLOOKUP(D$1,Parameters,2,FALSE()),4)&amp;"*",OFFSET(Data,0,0,1),0)+MATCH($C514,OFFSET(Data,1,0,1),0)-2,FALSE())),ISTEXT(VLOOKUP(DATEVALUE(LEFT($B514,4)&amp;"-"&amp;MID($B514,5,2)&amp;"-"&amp;RIGHT($B514,2)),Data,MATCH(LEFT(VLOOKUP(D$1,Parameters,2,FALSE()),4)&amp;"*",OFFSET(Data,0,0,1),0)+MATCH($C514,OFFSET(Data,1,0,1),0)-2,FALSE()))),"—",VLOOKUP(DATEVALUE(LEFT($B514,4)&amp;"-"&amp;MID($B514,5,2)&amp;"-"&amp;RIGHT($B514,2)),Data,MATCH(LEFT(VLOOKUP(D$1,Parameters,2,FALSE()),4)&amp;"*",OFFSET(Data,0,0,1),0)+MATCH($C514,OFFSET(Data,1,0,1),0)-2,FALSE()))</f>
        <v>—</v>
      </c>
      <c r="E514" s="25">
        <f t="shared" ref="E514:E577" ca="1" si="26">IF(OR(ISBLANK(VLOOKUP(DATEVALUE(LEFT($B514,4)&amp;"-"&amp;MID($B514,5,2)&amp;"-"&amp;RIGHT($B514,2)),Data,MATCH(LEFT(VLOOKUP(MID(E$1,2,LEN(E$1)-1),Parameters,2,FALSE()),4)&amp;"*",OFFSET(Data,0,0,1),0)+MATCH($C514,OFFSET(Data,1,0,1),0)-2,FALSE())),ISTEXT(VLOOKUP(DATEVALUE(LEFT($B514,4)&amp;"-"&amp;MID($B514,5,2)&amp;"-"&amp;RIGHT($B514,2)),Data,MATCH(LEFT(VLOOKUP(MID(E$1,2,LEN(E$1)-1),Parameters,2,FALSE()),4)&amp;"*",OFFSET(Data,0,0,1),0)+MATCH($C514,OFFSET(Data,1,0,1),0)-2,FALSE()))),Lacking,IF(ISNA(MATCH(DATEVALUE(LEFT($B514,4)&amp;"-"&amp;MID($B514,5,2)&amp;"-"&amp;RIGHT($B514,2)),OFFSET(Catalogus,0,0,,1),0)),Ok,VLOOKUP(DATEVALUE(LEFT($B514,4)&amp;"-"&amp;MID($B514,5,2)&amp;"-"&amp;RIGHT($B514,2)),Catalogus,MATCH(LEFT(VLOOKUP(MID(E$1,2,LEN(E$1)-1),Parameters,2,FALSE()),4)&amp;"*",OFFSET(Catalogus,0,0,1),0)+MATCH($C514,OFFSET(Catalogus,1,0,1),0)-2,FALSE())))</f>
        <v>7</v>
      </c>
    </row>
    <row r="515" spans="1:5" x14ac:dyDescent="0.25">
      <c r="A515" s="8">
        <f t="shared" si="24"/>
        <v>73</v>
      </c>
      <c r="B515" t="str">
        <f ca="1">TEXT(DATE(YEAR(Invoer!$A$5),1,1)+INT((ROWS(B$2:B515)-1)/3),"jjjjmmdd")</f>
        <v>19450621</v>
      </c>
      <c r="C515" s="20" t="str">
        <f>INDEX(Data,2,2+MOD(ROWS(C$2:C515)-1,3))</f>
        <v>08.00</v>
      </c>
      <c r="D515" s="14" t="str">
        <f t="shared" ca="1" si="25"/>
        <v>—</v>
      </c>
      <c r="E515" s="25">
        <f t="shared" ca="1" si="26"/>
        <v>7</v>
      </c>
    </row>
    <row r="516" spans="1:5" x14ac:dyDescent="0.25">
      <c r="A516" s="8">
        <f t="shared" si="24"/>
        <v>73</v>
      </c>
      <c r="B516" t="str">
        <f ca="1">TEXT(DATE(YEAR(Invoer!$A$5),1,1)+INT((ROWS(B$2:B516)-1)/3),"jjjjmmdd")</f>
        <v>19450621</v>
      </c>
      <c r="C516" s="20" t="str">
        <f>INDEX(Data,2,2+MOD(ROWS(C$2:C516)-1,3))</f>
        <v>12.00</v>
      </c>
      <c r="D516" s="14" t="str">
        <f t="shared" ca="1" si="25"/>
        <v>—</v>
      </c>
      <c r="E516" s="25">
        <f t="shared" ca="1" si="26"/>
        <v>7</v>
      </c>
    </row>
    <row r="517" spans="1:5" x14ac:dyDescent="0.25">
      <c r="A517" s="8">
        <f t="shared" si="24"/>
        <v>73</v>
      </c>
      <c r="B517" t="str">
        <f ca="1">TEXT(DATE(YEAR(Invoer!$A$5),1,1)+INT((ROWS(B$2:B517)-1)/3),"jjjjmmdd")</f>
        <v>19450621</v>
      </c>
      <c r="C517" s="20" t="str">
        <f>INDEX(Data,2,2+MOD(ROWS(C$2:C517)-1,3))</f>
        <v>16.00</v>
      </c>
      <c r="D517" s="14" t="str">
        <f t="shared" ca="1" si="25"/>
        <v>—</v>
      </c>
      <c r="E517" s="25">
        <f t="shared" ca="1" si="26"/>
        <v>7</v>
      </c>
    </row>
    <row r="518" spans="1:5" x14ac:dyDescent="0.25">
      <c r="A518" s="8">
        <f t="shared" si="24"/>
        <v>73</v>
      </c>
      <c r="B518" t="str">
        <f ca="1">TEXT(DATE(YEAR(Invoer!$A$5),1,1)+INT((ROWS(B$2:B518)-1)/3),"jjjjmmdd")</f>
        <v>19450622</v>
      </c>
      <c r="C518" s="20" t="str">
        <f>INDEX(Data,2,2+MOD(ROWS(C$2:C518)-1,3))</f>
        <v>08.00</v>
      </c>
      <c r="D518" s="14" t="str">
        <f t="shared" ca="1" si="25"/>
        <v>—</v>
      </c>
      <c r="E518" s="25">
        <f t="shared" ca="1" si="26"/>
        <v>7</v>
      </c>
    </row>
    <row r="519" spans="1:5" x14ac:dyDescent="0.25">
      <c r="A519" s="8">
        <f t="shared" si="24"/>
        <v>73</v>
      </c>
      <c r="B519" t="str">
        <f ca="1">TEXT(DATE(YEAR(Invoer!$A$5),1,1)+INT((ROWS(B$2:B519)-1)/3),"jjjjmmdd")</f>
        <v>19450622</v>
      </c>
      <c r="C519" s="20" t="str">
        <f>INDEX(Data,2,2+MOD(ROWS(C$2:C519)-1,3))</f>
        <v>12.00</v>
      </c>
      <c r="D519" s="14" t="str">
        <f t="shared" ca="1" si="25"/>
        <v>—</v>
      </c>
      <c r="E519" s="25">
        <f t="shared" ca="1" si="26"/>
        <v>7</v>
      </c>
    </row>
    <row r="520" spans="1:5" x14ac:dyDescent="0.25">
      <c r="A520" s="8">
        <f t="shared" si="24"/>
        <v>73</v>
      </c>
      <c r="B520" t="str">
        <f ca="1">TEXT(DATE(YEAR(Invoer!$A$5),1,1)+INT((ROWS(B$2:B520)-1)/3),"jjjjmmdd")</f>
        <v>19450622</v>
      </c>
      <c r="C520" s="20" t="str">
        <f>INDEX(Data,2,2+MOD(ROWS(C$2:C520)-1,3))</f>
        <v>16.00</v>
      </c>
      <c r="D520" s="14" t="str">
        <f t="shared" ca="1" si="25"/>
        <v>—</v>
      </c>
      <c r="E520" s="25">
        <f t="shared" ca="1" si="26"/>
        <v>7</v>
      </c>
    </row>
    <row r="521" spans="1:5" x14ac:dyDescent="0.25">
      <c r="A521" s="8">
        <f t="shared" si="24"/>
        <v>73</v>
      </c>
      <c r="B521" t="str">
        <f ca="1">TEXT(DATE(YEAR(Invoer!$A$5),1,1)+INT((ROWS(B$2:B521)-1)/3),"jjjjmmdd")</f>
        <v>19450623</v>
      </c>
      <c r="C521" s="20" t="str">
        <f>INDEX(Data,2,2+MOD(ROWS(C$2:C521)-1,3))</f>
        <v>08.00</v>
      </c>
      <c r="D521" s="14" t="str">
        <f t="shared" ca="1" si="25"/>
        <v>—</v>
      </c>
      <c r="E521" s="25">
        <f t="shared" ca="1" si="26"/>
        <v>7</v>
      </c>
    </row>
    <row r="522" spans="1:5" x14ac:dyDescent="0.25">
      <c r="A522" s="8">
        <f t="shared" si="24"/>
        <v>73</v>
      </c>
      <c r="B522" t="str">
        <f ca="1">TEXT(DATE(YEAR(Invoer!$A$5),1,1)+INT((ROWS(B$2:B522)-1)/3),"jjjjmmdd")</f>
        <v>19450623</v>
      </c>
      <c r="C522" s="20" t="str">
        <f>INDEX(Data,2,2+MOD(ROWS(C$2:C522)-1,3))</f>
        <v>12.00</v>
      </c>
      <c r="D522" s="14" t="str">
        <f t="shared" ca="1" si="25"/>
        <v>—</v>
      </c>
      <c r="E522" s="25">
        <f t="shared" ca="1" si="26"/>
        <v>7</v>
      </c>
    </row>
    <row r="523" spans="1:5" x14ac:dyDescent="0.25">
      <c r="A523" s="8">
        <f t="shared" si="24"/>
        <v>73</v>
      </c>
      <c r="B523" t="str">
        <f ca="1">TEXT(DATE(YEAR(Invoer!$A$5),1,1)+INT((ROWS(B$2:B523)-1)/3),"jjjjmmdd")</f>
        <v>19450623</v>
      </c>
      <c r="C523" s="20" t="str">
        <f>INDEX(Data,2,2+MOD(ROWS(C$2:C523)-1,3))</f>
        <v>16.00</v>
      </c>
      <c r="D523" s="14" t="str">
        <f t="shared" ca="1" si="25"/>
        <v>—</v>
      </c>
      <c r="E523" s="25">
        <f t="shared" ca="1" si="26"/>
        <v>7</v>
      </c>
    </row>
    <row r="524" spans="1:5" x14ac:dyDescent="0.25">
      <c r="A524" s="8">
        <f t="shared" si="24"/>
        <v>73</v>
      </c>
      <c r="B524" t="str">
        <f ca="1">TEXT(DATE(YEAR(Invoer!$A$5),1,1)+INT((ROWS(B$2:B524)-1)/3),"jjjjmmdd")</f>
        <v>19450624</v>
      </c>
      <c r="C524" s="20" t="str">
        <f>INDEX(Data,2,2+MOD(ROWS(C$2:C524)-1,3))</f>
        <v>08.00</v>
      </c>
      <c r="D524" s="14" t="str">
        <f t="shared" ca="1" si="25"/>
        <v>—</v>
      </c>
      <c r="E524" s="25">
        <f t="shared" ca="1" si="26"/>
        <v>7</v>
      </c>
    </row>
    <row r="525" spans="1:5" x14ac:dyDescent="0.25">
      <c r="A525" s="8">
        <f t="shared" si="24"/>
        <v>73</v>
      </c>
      <c r="B525" t="str">
        <f ca="1">TEXT(DATE(YEAR(Invoer!$A$5),1,1)+INT((ROWS(B$2:B525)-1)/3),"jjjjmmdd")</f>
        <v>19450624</v>
      </c>
      <c r="C525" s="20" t="str">
        <f>INDEX(Data,2,2+MOD(ROWS(C$2:C525)-1,3))</f>
        <v>12.00</v>
      </c>
      <c r="D525" s="14" t="str">
        <f t="shared" ca="1" si="25"/>
        <v>—</v>
      </c>
      <c r="E525" s="25">
        <f t="shared" ca="1" si="26"/>
        <v>7</v>
      </c>
    </row>
    <row r="526" spans="1:5" x14ac:dyDescent="0.25">
      <c r="A526" s="8">
        <f t="shared" si="24"/>
        <v>73</v>
      </c>
      <c r="B526" t="str">
        <f ca="1">TEXT(DATE(YEAR(Invoer!$A$5),1,1)+INT((ROWS(B$2:B526)-1)/3),"jjjjmmdd")</f>
        <v>19450624</v>
      </c>
      <c r="C526" s="20" t="str">
        <f>INDEX(Data,2,2+MOD(ROWS(C$2:C526)-1,3))</f>
        <v>16.00</v>
      </c>
      <c r="D526" s="14" t="str">
        <f t="shared" ca="1" si="25"/>
        <v>—</v>
      </c>
      <c r="E526" s="25">
        <f t="shared" ca="1" si="26"/>
        <v>7</v>
      </c>
    </row>
    <row r="527" spans="1:5" x14ac:dyDescent="0.25">
      <c r="A527" s="8">
        <f t="shared" si="24"/>
        <v>73</v>
      </c>
      <c r="B527" t="str">
        <f ca="1">TEXT(DATE(YEAR(Invoer!$A$5),1,1)+INT((ROWS(B$2:B527)-1)/3),"jjjjmmdd")</f>
        <v>19450625</v>
      </c>
      <c r="C527" s="20" t="str">
        <f>INDEX(Data,2,2+MOD(ROWS(C$2:C527)-1,3))</f>
        <v>08.00</v>
      </c>
      <c r="D527" s="14" t="str">
        <f t="shared" ca="1" si="25"/>
        <v>—</v>
      </c>
      <c r="E527" s="25">
        <f t="shared" ca="1" si="26"/>
        <v>7</v>
      </c>
    </row>
    <row r="528" spans="1:5" x14ac:dyDescent="0.25">
      <c r="A528" s="8">
        <f t="shared" si="24"/>
        <v>73</v>
      </c>
      <c r="B528" t="str">
        <f ca="1">TEXT(DATE(YEAR(Invoer!$A$5),1,1)+INT((ROWS(B$2:B528)-1)/3),"jjjjmmdd")</f>
        <v>19450625</v>
      </c>
      <c r="C528" s="20" t="str">
        <f>INDEX(Data,2,2+MOD(ROWS(C$2:C528)-1,3))</f>
        <v>12.00</v>
      </c>
      <c r="D528" s="14" t="str">
        <f t="shared" ca="1" si="25"/>
        <v>—</v>
      </c>
      <c r="E528" s="25">
        <f t="shared" ca="1" si="26"/>
        <v>7</v>
      </c>
    </row>
    <row r="529" spans="1:5" x14ac:dyDescent="0.25">
      <c r="A529" s="8">
        <f t="shared" si="24"/>
        <v>73</v>
      </c>
      <c r="B529" t="str">
        <f ca="1">TEXT(DATE(YEAR(Invoer!$A$5),1,1)+INT((ROWS(B$2:B529)-1)/3),"jjjjmmdd")</f>
        <v>19450625</v>
      </c>
      <c r="C529" s="20" t="str">
        <f>INDEX(Data,2,2+MOD(ROWS(C$2:C529)-1,3))</f>
        <v>16.00</v>
      </c>
      <c r="D529" s="14" t="str">
        <f t="shared" ca="1" si="25"/>
        <v>—</v>
      </c>
      <c r="E529" s="25">
        <f t="shared" ca="1" si="26"/>
        <v>7</v>
      </c>
    </row>
    <row r="530" spans="1:5" x14ac:dyDescent="0.25">
      <c r="A530" s="8">
        <f t="shared" si="24"/>
        <v>73</v>
      </c>
      <c r="B530" t="str">
        <f ca="1">TEXT(DATE(YEAR(Invoer!$A$5),1,1)+INT((ROWS(B$2:B530)-1)/3),"jjjjmmdd")</f>
        <v>19450626</v>
      </c>
      <c r="C530" s="20" t="str">
        <f>INDEX(Data,2,2+MOD(ROWS(C$2:C530)-1,3))</f>
        <v>08.00</v>
      </c>
      <c r="D530" s="14" t="str">
        <f t="shared" ca="1" si="25"/>
        <v>—</v>
      </c>
      <c r="E530" s="25">
        <f t="shared" ca="1" si="26"/>
        <v>7</v>
      </c>
    </row>
    <row r="531" spans="1:5" x14ac:dyDescent="0.25">
      <c r="A531" s="8">
        <f t="shared" si="24"/>
        <v>73</v>
      </c>
      <c r="B531" t="str">
        <f ca="1">TEXT(DATE(YEAR(Invoer!$A$5),1,1)+INT((ROWS(B$2:B531)-1)/3),"jjjjmmdd")</f>
        <v>19450626</v>
      </c>
      <c r="C531" s="20" t="str">
        <f>INDEX(Data,2,2+MOD(ROWS(C$2:C531)-1,3))</f>
        <v>12.00</v>
      </c>
      <c r="D531" s="14" t="str">
        <f t="shared" ca="1" si="25"/>
        <v>—</v>
      </c>
      <c r="E531" s="25">
        <f t="shared" ca="1" si="26"/>
        <v>7</v>
      </c>
    </row>
    <row r="532" spans="1:5" x14ac:dyDescent="0.25">
      <c r="A532" s="8">
        <f t="shared" si="24"/>
        <v>73</v>
      </c>
      <c r="B532" t="str">
        <f ca="1">TEXT(DATE(YEAR(Invoer!$A$5),1,1)+INT((ROWS(B$2:B532)-1)/3),"jjjjmmdd")</f>
        <v>19450626</v>
      </c>
      <c r="C532" s="20" t="str">
        <f>INDEX(Data,2,2+MOD(ROWS(C$2:C532)-1,3))</f>
        <v>16.00</v>
      </c>
      <c r="D532" s="14" t="str">
        <f t="shared" ca="1" si="25"/>
        <v>—</v>
      </c>
      <c r="E532" s="25">
        <f t="shared" ca="1" si="26"/>
        <v>7</v>
      </c>
    </row>
    <row r="533" spans="1:5" x14ac:dyDescent="0.25">
      <c r="A533" s="8">
        <f t="shared" si="24"/>
        <v>73</v>
      </c>
      <c r="B533" t="str">
        <f ca="1">TEXT(DATE(YEAR(Invoer!$A$5),1,1)+INT((ROWS(B$2:B533)-1)/3),"jjjjmmdd")</f>
        <v>19450627</v>
      </c>
      <c r="C533" s="20" t="str">
        <f>INDEX(Data,2,2+MOD(ROWS(C$2:C533)-1,3))</f>
        <v>08.00</v>
      </c>
      <c r="D533" s="14" t="str">
        <f t="shared" ca="1" si="25"/>
        <v>—</v>
      </c>
      <c r="E533" s="25">
        <f t="shared" ca="1" si="26"/>
        <v>7</v>
      </c>
    </row>
    <row r="534" spans="1:5" x14ac:dyDescent="0.25">
      <c r="A534" s="8">
        <f t="shared" si="24"/>
        <v>73</v>
      </c>
      <c r="B534" t="str">
        <f ca="1">TEXT(DATE(YEAR(Invoer!$A$5),1,1)+INT((ROWS(B$2:B534)-1)/3),"jjjjmmdd")</f>
        <v>19450627</v>
      </c>
      <c r="C534" s="20" t="str">
        <f>INDEX(Data,2,2+MOD(ROWS(C$2:C534)-1,3))</f>
        <v>12.00</v>
      </c>
      <c r="D534" s="14" t="str">
        <f t="shared" ca="1" si="25"/>
        <v>—</v>
      </c>
      <c r="E534" s="25">
        <f t="shared" ca="1" si="26"/>
        <v>7</v>
      </c>
    </row>
    <row r="535" spans="1:5" x14ac:dyDescent="0.25">
      <c r="A535" s="8">
        <f t="shared" si="24"/>
        <v>73</v>
      </c>
      <c r="B535" t="str">
        <f ca="1">TEXT(DATE(YEAR(Invoer!$A$5),1,1)+INT((ROWS(B$2:B535)-1)/3),"jjjjmmdd")</f>
        <v>19450627</v>
      </c>
      <c r="C535" s="20" t="str">
        <f>INDEX(Data,2,2+MOD(ROWS(C$2:C535)-1,3))</f>
        <v>16.00</v>
      </c>
      <c r="D535" s="14" t="str">
        <f t="shared" ca="1" si="25"/>
        <v>—</v>
      </c>
      <c r="E535" s="25">
        <f t="shared" ca="1" si="26"/>
        <v>7</v>
      </c>
    </row>
    <row r="536" spans="1:5" x14ac:dyDescent="0.25">
      <c r="A536" s="8">
        <f t="shared" si="24"/>
        <v>73</v>
      </c>
      <c r="B536" t="str">
        <f ca="1">TEXT(DATE(YEAR(Invoer!$A$5),1,1)+INT((ROWS(B$2:B536)-1)/3),"jjjjmmdd")</f>
        <v>19450628</v>
      </c>
      <c r="C536" s="20" t="str">
        <f>INDEX(Data,2,2+MOD(ROWS(C$2:C536)-1,3))</f>
        <v>08.00</v>
      </c>
      <c r="D536" s="14" t="str">
        <f t="shared" ca="1" si="25"/>
        <v>—</v>
      </c>
      <c r="E536" s="25">
        <f t="shared" ca="1" si="26"/>
        <v>7</v>
      </c>
    </row>
    <row r="537" spans="1:5" x14ac:dyDescent="0.25">
      <c r="A537" s="8">
        <f t="shared" si="24"/>
        <v>73</v>
      </c>
      <c r="B537" t="str">
        <f ca="1">TEXT(DATE(YEAR(Invoer!$A$5),1,1)+INT((ROWS(B$2:B537)-1)/3),"jjjjmmdd")</f>
        <v>19450628</v>
      </c>
      <c r="C537" s="20" t="str">
        <f>INDEX(Data,2,2+MOD(ROWS(C$2:C537)-1,3))</f>
        <v>12.00</v>
      </c>
      <c r="D537" s="14" t="str">
        <f t="shared" ca="1" si="25"/>
        <v>—</v>
      </c>
      <c r="E537" s="25">
        <f t="shared" ca="1" si="26"/>
        <v>7</v>
      </c>
    </row>
    <row r="538" spans="1:5" x14ac:dyDescent="0.25">
      <c r="A538" s="8">
        <f t="shared" si="24"/>
        <v>73</v>
      </c>
      <c r="B538" t="str">
        <f ca="1">TEXT(DATE(YEAR(Invoer!$A$5),1,1)+INT((ROWS(B$2:B538)-1)/3),"jjjjmmdd")</f>
        <v>19450628</v>
      </c>
      <c r="C538" s="20" t="str">
        <f>INDEX(Data,2,2+MOD(ROWS(C$2:C538)-1,3))</f>
        <v>16.00</v>
      </c>
      <c r="D538" s="14" t="str">
        <f t="shared" ca="1" si="25"/>
        <v>—</v>
      </c>
      <c r="E538" s="25">
        <f t="shared" ca="1" si="26"/>
        <v>7</v>
      </c>
    </row>
    <row r="539" spans="1:5" x14ac:dyDescent="0.25">
      <c r="A539" s="8">
        <f t="shared" si="24"/>
        <v>73</v>
      </c>
      <c r="B539" t="str">
        <f ca="1">TEXT(DATE(YEAR(Invoer!$A$5),1,1)+INT((ROWS(B$2:B539)-1)/3),"jjjjmmdd")</f>
        <v>19450629</v>
      </c>
      <c r="C539" s="20" t="str">
        <f>INDEX(Data,2,2+MOD(ROWS(C$2:C539)-1,3))</f>
        <v>08.00</v>
      </c>
      <c r="D539" s="14" t="str">
        <f t="shared" ca="1" si="25"/>
        <v>—</v>
      </c>
      <c r="E539" s="25">
        <f t="shared" ca="1" si="26"/>
        <v>7</v>
      </c>
    </row>
    <row r="540" spans="1:5" x14ac:dyDescent="0.25">
      <c r="A540" s="8">
        <f t="shared" si="24"/>
        <v>73</v>
      </c>
      <c r="B540" t="str">
        <f ca="1">TEXT(DATE(YEAR(Invoer!$A$5),1,1)+INT((ROWS(B$2:B540)-1)/3),"jjjjmmdd")</f>
        <v>19450629</v>
      </c>
      <c r="C540" s="20" t="str">
        <f>INDEX(Data,2,2+MOD(ROWS(C$2:C540)-1,3))</f>
        <v>12.00</v>
      </c>
      <c r="D540" s="14" t="str">
        <f t="shared" ca="1" si="25"/>
        <v>—</v>
      </c>
      <c r="E540" s="25">
        <f t="shared" ca="1" si="26"/>
        <v>7</v>
      </c>
    </row>
    <row r="541" spans="1:5" x14ac:dyDescent="0.25">
      <c r="A541" s="8">
        <f t="shared" si="24"/>
        <v>73</v>
      </c>
      <c r="B541" t="str">
        <f ca="1">TEXT(DATE(YEAR(Invoer!$A$5),1,1)+INT((ROWS(B$2:B541)-1)/3),"jjjjmmdd")</f>
        <v>19450629</v>
      </c>
      <c r="C541" s="20" t="str">
        <f>INDEX(Data,2,2+MOD(ROWS(C$2:C541)-1,3))</f>
        <v>16.00</v>
      </c>
      <c r="D541" s="14" t="str">
        <f t="shared" ca="1" si="25"/>
        <v>—</v>
      </c>
      <c r="E541" s="25">
        <f t="shared" ca="1" si="26"/>
        <v>7</v>
      </c>
    </row>
    <row r="542" spans="1:5" x14ac:dyDescent="0.25">
      <c r="A542" s="8">
        <f t="shared" si="24"/>
        <v>73</v>
      </c>
      <c r="B542" t="str">
        <f ca="1">TEXT(DATE(YEAR(Invoer!$A$5),1,1)+INT((ROWS(B$2:B542)-1)/3),"jjjjmmdd")</f>
        <v>19450630</v>
      </c>
      <c r="C542" s="20" t="str">
        <f>INDEX(Data,2,2+MOD(ROWS(C$2:C542)-1,3))</f>
        <v>08.00</v>
      </c>
      <c r="D542" s="14" t="str">
        <f t="shared" ca="1" si="25"/>
        <v>—</v>
      </c>
      <c r="E542" s="25">
        <f t="shared" ca="1" si="26"/>
        <v>7</v>
      </c>
    </row>
    <row r="543" spans="1:5" x14ac:dyDescent="0.25">
      <c r="A543" s="8">
        <f t="shared" si="24"/>
        <v>73</v>
      </c>
      <c r="B543" t="str">
        <f ca="1">TEXT(DATE(YEAR(Invoer!$A$5),1,1)+INT((ROWS(B$2:B543)-1)/3),"jjjjmmdd")</f>
        <v>19450630</v>
      </c>
      <c r="C543" s="20" t="str">
        <f>INDEX(Data,2,2+MOD(ROWS(C$2:C543)-1,3))</f>
        <v>12.00</v>
      </c>
      <c r="D543" s="14" t="str">
        <f t="shared" ca="1" si="25"/>
        <v>—</v>
      </c>
      <c r="E543" s="25">
        <f t="shared" ca="1" si="26"/>
        <v>7</v>
      </c>
    </row>
    <row r="544" spans="1:5" x14ac:dyDescent="0.25">
      <c r="A544" s="8">
        <f t="shared" si="24"/>
        <v>73</v>
      </c>
      <c r="B544" t="str">
        <f ca="1">TEXT(DATE(YEAR(Invoer!$A$5),1,1)+INT((ROWS(B$2:B544)-1)/3),"jjjjmmdd")</f>
        <v>19450630</v>
      </c>
      <c r="C544" s="20" t="str">
        <f>INDEX(Data,2,2+MOD(ROWS(C$2:C544)-1,3))</f>
        <v>16.00</v>
      </c>
      <c r="D544" s="14" t="str">
        <f t="shared" ca="1" si="25"/>
        <v>—</v>
      </c>
      <c r="E544" s="25">
        <f t="shared" ca="1" si="26"/>
        <v>7</v>
      </c>
    </row>
    <row r="545" spans="1:5" x14ac:dyDescent="0.25">
      <c r="A545" s="8">
        <f t="shared" si="24"/>
        <v>73</v>
      </c>
      <c r="B545" t="str">
        <f ca="1">TEXT(DATE(YEAR(Invoer!$A$5),1,1)+INT((ROWS(B$2:B545)-1)/3),"jjjjmmdd")</f>
        <v>19450701</v>
      </c>
      <c r="C545" s="20" t="str">
        <f>INDEX(Data,2,2+MOD(ROWS(C$2:C545)-1,3))</f>
        <v>08.00</v>
      </c>
      <c r="D545" s="14" t="str">
        <f t="shared" ca="1" si="25"/>
        <v>—</v>
      </c>
      <c r="E545" s="25">
        <f t="shared" ca="1" si="26"/>
        <v>7</v>
      </c>
    </row>
    <row r="546" spans="1:5" x14ac:dyDescent="0.25">
      <c r="A546" s="8">
        <f t="shared" si="24"/>
        <v>73</v>
      </c>
      <c r="B546" t="str">
        <f ca="1">TEXT(DATE(YEAR(Invoer!$A$5),1,1)+INT((ROWS(B$2:B546)-1)/3),"jjjjmmdd")</f>
        <v>19450701</v>
      </c>
      <c r="C546" s="20" t="str">
        <f>INDEX(Data,2,2+MOD(ROWS(C$2:C546)-1,3))</f>
        <v>12.00</v>
      </c>
      <c r="D546" s="14" t="str">
        <f t="shared" ca="1" si="25"/>
        <v>—</v>
      </c>
      <c r="E546" s="25">
        <f t="shared" ca="1" si="26"/>
        <v>7</v>
      </c>
    </row>
    <row r="547" spans="1:5" x14ac:dyDescent="0.25">
      <c r="A547" s="8">
        <f t="shared" si="24"/>
        <v>73</v>
      </c>
      <c r="B547" t="str">
        <f ca="1">TEXT(DATE(YEAR(Invoer!$A$5),1,1)+INT((ROWS(B$2:B547)-1)/3),"jjjjmmdd")</f>
        <v>19450701</v>
      </c>
      <c r="C547" s="20" t="str">
        <f>INDEX(Data,2,2+MOD(ROWS(C$2:C547)-1,3))</f>
        <v>16.00</v>
      </c>
      <c r="D547" s="14" t="str">
        <f t="shared" ca="1" si="25"/>
        <v>—</v>
      </c>
      <c r="E547" s="25">
        <f t="shared" ca="1" si="26"/>
        <v>7</v>
      </c>
    </row>
    <row r="548" spans="1:5" x14ac:dyDescent="0.25">
      <c r="A548" s="8">
        <f t="shared" si="24"/>
        <v>73</v>
      </c>
      <c r="B548" t="str">
        <f ca="1">TEXT(DATE(YEAR(Invoer!$A$5),1,1)+INT((ROWS(B$2:B548)-1)/3),"jjjjmmdd")</f>
        <v>19450702</v>
      </c>
      <c r="C548" s="20" t="str">
        <f>INDEX(Data,2,2+MOD(ROWS(C$2:C548)-1,3))</f>
        <v>08.00</v>
      </c>
      <c r="D548" s="14" t="str">
        <f t="shared" ca="1" si="25"/>
        <v>—</v>
      </c>
      <c r="E548" s="25">
        <f t="shared" ca="1" si="26"/>
        <v>7</v>
      </c>
    </row>
    <row r="549" spans="1:5" x14ac:dyDescent="0.25">
      <c r="A549" s="8">
        <f t="shared" si="24"/>
        <v>73</v>
      </c>
      <c r="B549" t="str">
        <f ca="1">TEXT(DATE(YEAR(Invoer!$A$5),1,1)+INT((ROWS(B$2:B549)-1)/3),"jjjjmmdd")</f>
        <v>19450702</v>
      </c>
      <c r="C549" s="20" t="str">
        <f>INDEX(Data,2,2+MOD(ROWS(C$2:C549)-1,3))</f>
        <v>12.00</v>
      </c>
      <c r="D549" s="14" t="str">
        <f t="shared" ca="1" si="25"/>
        <v>—</v>
      </c>
      <c r="E549" s="25">
        <f t="shared" ca="1" si="26"/>
        <v>7</v>
      </c>
    </row>
    <row r="550" spans="1:5" x14ac:dyDescent="0.25">
      <c r="A550" s="8">
        <f t="shared" si="24"/>
        <v>73</v>
      </c>
      <c r="B550" t="str">
        <f ca="1">TEXT(DATE(YEAR(Invoer!$A$5),1,1)+INT((ROWS(B$2:B550)-1)/3),"jjjjmmdd")</f>
        <v>19450702</v>
      </c>
      <c r="C550" s="20" t="str">
        <f>INDEX(Data,2,2+MOD(ROWS(C$2:C550)-1,3))</f>
        <v>16.00</v>
      </c>
      <c r="D550" s="14" t="str">
        <f t="shared" ca="1" si="25"/>
        <v>—</v>
      </c>
      <c r="E550" s="25">
        <f t="shared" ca="1" si="26"/>
        <v>7</v>
      </c>
    </row>
    <row r="551" spans="1:5" x14ac:dyDescent="0.25">
      <c r="A551" s="8">
        <f t="shared" si="24"/>
        <v>73</v>
      </c>
      <c r="B551" t="str">
        <f ca="1">TEXT(DATE(YEAR(Invoer!$A$5),1,1)+INT((ROWS(B$2:B551)-1)/3),"jjjjmmdd")</f>
        <v>19450703</v>
      </c>
      <c r="C551" s="20" t="str">
        <f>INDEX(Data,2,2+MOD(ROWS(C$2:C551)-1,3))</f>
        <v>08.00</v>
      </c>
      <c r="D551" s="14" t="str">
        <f t="shared" ca="1" si="25"/>
        <v>—</v>
      </c>
      <c r="E551" s="25">
        <f t="shared" ca="1" si="26"/>
        <v>7</v>
      </c>
    </row>
    <row r="552" spans="1:5" x14ac:dyDescent="0.25">
      <c r="A552" s="8">
        <f t="shared" si="24"/>
        <v>73</v>
      </c>
      <c r="B552" t="str">
        <f ca="1">TEXT(DATE(YEAR(Invoer!$A$5),1,1)+INT((ROWS(B$2:B552)-1)/3),"jjjjmmdd")</f>
        <v>19450703</v>
      </c>
      <c r="C552" s="20" t="str">
        <f>INDEX(Data,2,2+MOD(ROWS(C$2:C552)-1,3))</f>
        <v>12.00</v>
      </c>
      <c r="D552" s="14" t="str">
        <f t="shared" ca="1" si="25"/>
        <v>—</v>
      </c>
      <c r="E552" s="25">
        <f t="shared" ca="1" si="26"/>
        <v>7</v>
      </c>
    </row>
    <row r="553" spans="1:5" x14ac:dyDescent="0.25">
      <c r="A553" s="8">
        <f t="shared" si="24"/>
        <v>73</v>
      </c>
      <c r="B553" t="str">
        <f ca="1">TEXT(DATE(YEAR(Invoer!$A$5),1,1)+INT((ROWS(B$2:B553)-1)/3),"jjjjmmdd")</f>
        <v>19450703</v>
      </c>
      <c r="C553" s="20" t="str">
        <f>INDEX(Data,2,2+MOD(ROWS(C$2:C553)-1,3))</f>
        <v>16.00</v>
      </c>
      <c r="D553" s="14" t="str">
        <f t="shared" ca="1" si="25"/>
        <v>—</v>
      </c>
      <c r="E553" s="25">
        <f t="shared" ca="1" si="26"/>
        <v>7</v>
      </c>
    </row>
    <row r="554" spans="1:5" x14ac:dyDescent="0.25">
      <c r="A554" s="8">
        <f t="shared" si="24"/>
        <v>73</v>
      </c>
      <c r="B554" t="str">
        <f ca="1">TEXT(DATE(YEAR(Invoer!$A$5),1,1)+INT((ROWS(B$2:B554)-1)/3),"jjjjmmdd")</f>
        <v>19450704</v>
      </c>
      <c r="C554" s="20" t="str">
        <f>INDEX(Data,2,2+MOD(ROWS(C$2:C554)-1,3))</f>
        <v>08.00</v>
      </c>
      <c r="D554" s="14" t="str">
        <f t="shared" ca="1" si="25"/>
        <v>—</v>
      </c>
      <c r="E554" s="25">
        <f t="shared" ca="1" si="26"/>
        <v>7</v>
      </c>
    </row>
    <row r="555" spans="1:5" x14ac:dyDescent="0.25">
      <c r="A555" s="8">
        <f t="shared" si="24"/>
        <v>73</v>
      </c>
      <c r="B555" t="str">
        <f ca="1">TEXT(DATE(YEAR(Invoer!$A$5),1,1)+INT((ROWS(B$2:B555)-1)/3),"jjjjmmdd")</f>
        <v>19450704</v>
      </c>
      <c r="C555" s="20" t="str">
        <f>INDEX(Data,2,2+MOD(ROWS(C$2:C555)-1,3))</f>
        <v>12.00</v>
      </c>
      <c r="D555" s="14" t="str">
        <f t="shared" ca="1" si="25"/>
        <v>—</v>
      </c>
      <c r="E555" s="25">
        <f t="shared" ca="1" si="26"/>
        <v>7</v>
      </c>
    </row>
    <row r="556" spans="1:5" x14ac:dyDescent="0.25">
      <c r="A556" s="8">
        <f t="shared" si="24"/>
        <v>73</v>
      </c>
      <c r="B556" t="str">
        <f ca="1">TEXT(DATE(YEAR(Invoer!$A$5),1,1)+INT((ROWS(B$2:B556)-1)/3),"jjjjmmdd")</f>
        <v>19450704</v>
      </c>
      <c r="C556" s="20" t="str">
        <f>INDEX(Data,2,2+MOD(ROWS(C$2:C556)-1,3))</f>
        <v>16.00</v>
      </c>
      <c r="D556" s="14" t="str">
        <f t="shared" ca="1" si="25"/>
        <v>—</v>
      </c>
      <c r="E556" s="25">
        <f t="shared" ca="1" si="26"/>
        <v>7</v>
      </c>
    </row>
    <row r="557" spans="1:5" x14ac:dyDescent="0.25">
      <c r="A557" s="8">
        <f t="shared" si="24"/>
        <v>73</v>
      </c>
      <c r="B557" t="str">
        <f ca="1">TEXT(DATE(YEAR(Invoer!$A$5),1,1)+INT((ROWS(B$2:B557)-1)/3),"jjjjmmdd")</f>
        <v>19450705</v>
      </c>
      <c r="C557" s="20" t="str">
        <f>INDEX(Data,2,2+MOD(ROWS(C$2:C557)-1,3))</f>
        <v>08.00</v>
      </c>
      <c r="D557" s="14" t="str">
        <f t="shared" ca="1" si="25"/>
        <v>—</v>
      </c>
      <c r="E557" s="25">
        <f t="shared" ca="1" si="26"/>
        <v>7</v>
      </c>
    </row>
    <row r="558" spans="1:5" x14ac:dyDescent="0.25">
      <c r="A558" s="8">
        <f t="shared" si="24"/>
        <v>73</v>
      </c>
      <c r="B558" t="str">
        <f ca="1">TEXT(DATE(YEAR(Invoer!$A$5),1,1)+INT((ROWS(B$2:B558)-1)/3),"jjjjmmdd")</f>
        <v>19450705</v>
      </c>
      <c r="C558" s="20" t="str">
        <f>INDEX(Data,2,2+MOD(ROWS(C$2:C558)-1,3))</f>
        <v>12.00</v>
      </c>
      <c r="D558" s="14" t="str">
        <f t="shared" ca="1" si="25"/>
        <v>—</v>
      </c>
      <c r="E558" s="25">
        <f t="shared" ca="1" si="26"/>
        <v>7</v>
      </c>
    </row>
    <row r="559" spans="1:5" x14ac:dyDescent="0.25">
      <c r="A559" s="8">
        <f t="shared" si="24"/>
        <v>73</v>
      </c>
      <c r="B559" t="str">
        <f ca="1">TEXT(DATE(YEAR(Invoer!$A$5),1,1)+INT((ROWS(B$2:B559)-1)/3),"jjjjmmdd")</f>
        <v>19450705</v>
      </c>
      <c r="C559" s="20" t="str">
        <f>INDEX(Data,2,2+MOD(ROWS(C$2:C559)-1,3))</f>
        <v>16.00</v>
      </c>
      <c r="D559" s="14" t="str">
        <f t="shared" ca="1" si="25"/>
        <v>—</v>
      </c>
      <c r="E559" s="25">
        <f t="shared" ca="1" si="26"/>
        <v>7</v>
      </c>
    </row>
    <row r="560" spans="1:5" x14ac:dyDescent="0.25">
      <c r="A560" s="8">
        <f t="shared" si="24"/>
        <v>73</v>
      </c>
      <c r="B560" t="str">
        <f ca="1">TEXT(DATE(YEAR(Invoer!$A$5),1,1)+INT((ROWS(B$2:B560)-1)/3),"jjjjmmdd")</f>
        <v>19450706</v>
      </c>
      <c r="C560" s="20" t="str">
        <f>INDEX(Data,2,2+MOD(ROWS(C$2:C560)-1,3))</f>
        <v>08.00</v>
      </c>
      <c r="D560" s="14" t="str">
        <f t="shared" ca="1" si="25"/>
        <v>—</v>
      </c>
      <c r="E560" s="25">
        <f t="shared" ca="1" si="26"/>
        <v>7</v>
      </c>
    </row>
    <row r="561" spans="1:5" x14ac:dyDescent="0.25">
      <c r="A561" s="8">
        <f t="shared" si="24"/>
        <v>73</v>
      </c>
      <c r="B561" t="str">
        <f ca="1">TEXT(DATE(YEAR(Invoer!$A$5),1,1)+INT((ROWS(B$2:B561)-1)/3),"jjjjmmdd")</f>
        <v>19450706</v>
      </c>
      <c r="C561" s="20" t="str">
        <f>INDEX(Data,2,2+MOD(ROWS(C$2:C561)-1,3))</f>
        <v>12.00</v>
      </c>
      <c r="D561" s="14" t="str">
        <f t="shared" ca="1" si="25"/>
        <v>—</v>
      </c>
      <c r="E561" s="25">
        <f t="shared" ca="1" si="26"/>
        <v>7</v>
      </c>
    </row>
    <row r="562" spans="1:5" x14ac:dyDescent="0.25">
      <c r="A562" s="8">
        <f t="shared" si="24"/>
        <v>73</v>
      </c>
      <c r="B562" t="str">
        <f ca="1">TEXT(DATE(YEAR(Invoer!$A$5),1,1)+INT((ROWS(B$2:B562)-1)/3),"jjjjmmdd")</f>
        <v>19450706</v>
      </c>
      <c r="C562" s="20" t="str">
        <f>INDEX(Data,2,2+MOD(ROWS(C$2:C562)-1,3))</f>
        <v>16.00</v>
      </c>
      <c r="D562" s="14" t="str">
        <f t="shared" ca="1" si="25"/>
        <v>—</v>
      </c>
      <c r="E562" s="25">
        <f t="shared" ca="1" si="26"/>
        <v>7</v>
      </c>
    </row>
    <row r="563" spans="1:5" x14ac:dyDescent="0.25">
      <c r="A563" s="8">
        <f t="shared" si="24"/>
        <v>73</v>
      </c>
      <c r="B563" t="str">
        <f ca="1">TEXT(DATE(YEAR(Invoer!$A$5),1,1)+INT((ROWS(B$2:B563)-1)/3),"jjjjmmdd")</f>
        <v>19450707</v>
      </c>
      <c r="C563" s="20" t="str">
        <f>INDEX(Data,2,2+MOD(ROWS(C$2:C563)-1,3))</f>
        <v>08.00</v>
      </c>
      <c r="D563" s="14" t="str">
        <f t="shared" ca="1" si="25"/>
        <v>—</v>
      </c>
      <c r="E563" s="25">
        <f t="shared" ca="1" si="26"/>
        <v>7</v>
      </c>
    </row>
    <row r="564" spans="1:5" x14ac:dyDescent="0.25">
      <c r="A564" s="8">
        <f t="shared" si="24"/>
        <v>73</v>
      </c>
      <c r="B564" t="str">
        <f ca="1">TEXT(DATE(YEAR(Invoer!$A$5),1,1)+INT((ROWS(B$2:B564)-1)/3),"jjjjmmdd")</f>
        <v>19450707</v>
      </c>
      <c r="C564" s="20" t="str">
        <f>INDEX(Data,2,2+MOD(ROWS(C$2:C564)-1,3))</f>
        <v>12.00</v>
      </c>
      <c r="D564" s="14" t="str">
        <f t="shared" ca="1" si="25"/>
        <v>—</v>
      </c>
      <c r="E564" s="25">
        <f t="shared" ca="1" si="26"/>
        <v>7</v>
      </c>
    </row>
    <row r="565" spans="1:5" x14ac:dyDescent="0.25">
      <c r="A565" s="8">
        <f t="shared" si="24"/>
        <v>73</v>
      </c>
      <c r="B565" t="str">
        <f ca="1">TEXT(DATE(YEAR(Invoer!$A$5),1,1)+INT((ROWS(B$2:B565)-1)/3),"jjjjmmdd")</f>
        <v>19450707</v>
      </c>
      <c r="C565" s="20" t="str">
        <f>INDEX(Data,2,2+MOD(ROWS(C$2:C565)-1,3))</f>
        <v>16.00</v>
      </c>
      <c r="D565" s="14" t="str">
        <f t="shared" ca="1" si="25"/>
        <v>—</v>
      </c>
      <c r="E565" s="25">
        <f t="shared" ca="1" si="26"/>
        <v>7</v>
      </c>
    </row>
    <row r="566" spans="1:5" x14ac:dyDescent="0.25">
      <c r="A566" s="8">
        <f t="shared" si="24"/>
        <v>73</v>
      </c>
      <c r="B566" t="str">
        <f ca="1">TEXT(DATE(YEAR(Invoer!$A$5),1,1)+INT((ROWS(B$2:B566)-1)/3),"jjjjmmdd")</f>
        <v>19450708</v>
      </c>
      <c r="C566" s="20" t="str">
        <f>INDEX(Data,2,2+MOD(ROWS(C$2:C566)-1,3))</f>
        <v>08.00</v>
      </c>
      <c r="D566" s="14" t="str">
        <f t="shared" ca="1" si="25"/>
        <v>—</v>
      </c>
      <c r="E566" s="25">
        <f t="shared" ca="1" si="26"/>
        <v>7</v>
      </c>
    </row>
    <row r="567" spans="1:5" x14ac:dyDescent="0.25">
      <c r="A567" s="8">
        <f t="shared" si="24"/>
        <v>73</v>
      </c>
      <c r="B567" t="str">
        <f ca="1">TEXT(DATE(YEAR(Invoer!$A$5),1,1)+INT((ROWS(B$2:B567)-1)/3),"jjjjmmdd")</f>
        <v>19450708</v>
      </c>
      <c r="C567" s="20" t="str">
        <f>INDEX(Data,2,2+MOD(ROWS(C$2:C567)-1,3))</f>
        <v>12.00</v>
      </c>
      <c r="D567" s="14" t="str">
        <f t="shared" ca="1" si="25"/>
        <v>—</v>
      </c>
      <c r="E567" s="25">
        <f t="shared" ca="1" si="26"/>
        <v>7</v>
      </c>
    </row>
    <row r="568" spans="1:5" x14ac:dyDescent="0.25">
      <c r="A568" s="8">
        <f t="shared" si="24"/>
        <v>73</v>
      </c>
      <c r="B568" t="str">
        <f ca="1">TEXT(DATE(YEAR(Invoer!$A$5),1,1)+INT((ROWS(B$2:B568)-1)/3),"jjjjmmdd")</f>
        <v>19450708</v>
      </c>
      <c r="C568" s="20" t="str">
        <f>INDEX(Data,2,2+MOD(ROWS(C$2:C568)-1,3))</f>
        <v>16.00</v>
      </c>
      <c r="D568" s="14" t="str">
        <f t="shared" ca="1" si="25"/>
        <v>—</v>
      </c>
      <c r="E568" s="25">
        <f t="shared" ca="1" si="26"/>
        <v>7</v>
      </c>
    </row>
    <row r="569" spans="1:5" x14ac:dyDescent="0.25">
      <c r="A569" s="8">
        <f t="shared" si="24"/>
        <v>73</v>
      </c>
      <c r="B569" t="str">
        <f ca="1">TEXT(DATE(YEAR(Invoer!$A$5),1,1)+INT((ROWS(B$2:B569)-1)/3),"jjjjmmdd")</f>
        <v>19450709</v>
      </c>
      <c r="C569" s="20" t="str">
        <f>INDEX(Data,2,2+MOD(ROWS(C$2:C569)-1,3))</f>
        <v>08.00</v>
      </c>
      <c r="D569" s="14" t="str">
        <f t="shared" ca="1" si="25"/>
        <v>—</v>
      </c>
      <c r="E569" s="25">
        <f t="shared" ca="1" si="26"/>
        <v>7</v>
      </c>
    </row>
    <row r="570" spans="1:5" x14ac:dyDescent="0.25">
      <c r="A570" s="8">
        <f t="shared" si="24"/>
        <v>73</v>
      </c>
      <c r="B570" t="str">
        <f ca="1">TEXT(DATE(YEAR(Invoer!$A$5),1,1)+INT((ROWS(B$2:B570)-1)/3),"jjjjmmdd")</f>
        <v>19450709</v>
      </c>
      <c r="C570" s="20" t="str">
        <f>INDEX(Data,2,2+MOD(ROWS(C$2:C570)-1,3))</f>
        <v>12.00</v>
      </c>
      <c r="D570" s="14" t="str">
        <f t="shared" ca="1" si="25"/>
        <v>—</v>
      </c>
      <c r="E570" s="25">
        <f t="shared" ca="1" si="26"/>
        <v>7</v>
      </c>
    </row>
    <row r="571" spans="1:5" x14ac:dyDescent="0.25">
      <c r="A571" s="8">
        <f t="shared" si="24"/>
        <v>73</v>
      </c>
      <c r="B571" t="str">
        <f ca="1">TEXT(DATE(YEAR(Invoer!$A$5),1,1)+INT((ROWS(B$2:B571)-1)/3),"jjjjmmdd")</f>
        <v>19450709</v>
      </c>
      <c r="C571" s="20" t="str">
        <f>INDEX(Data,2,2+MOD(ROWS(C$2:C571)-1,3))</f>
        <v>16.00</v>
      </c>
      <c r="D571" s="14" t="str">
        <f t="shared" ca="1" si="25"/>
        <v>—</v>
      </c>
      <c r="E571" s="25">
        <f t="shared" ca="1" si="26"/>
        <v>7</v>
      </c>
    </row>
    <row r="572" spans="1:5" x14ac:dyDescent="0.25">
      <c r="A572" s="8">
        <f t="shared" si="24"/>
        <v>73</v>
      </c>
      <c r="B572" t="str">
        <f ca="1">TEXT(DATE(YEAR(Invoer!$A$5),1,1)+INT((ROWS(B$2:B572)-1)/3),"jjjjmmdd")</f>
        <v>19450710</v>
      </c>
      <c r="C572" s="20" t="str">
        <f>INDEX(Data,2,2+MOD(ROWS(C$2:C572)-1,3))</f>
        <v>08.00</v>
      </c>
      <c r="D572" s="14" t="str">
        <f t="shared" ca="1" si="25"/>
        <v>—</v>
      </c>
      <c r="E572" s="25">
        <f t="shared" ca="1" si="26"/>
        <v>7</v>
      </c>
    </row>
    <row r="573" spans="1:5" x14ac:dyDescent="0.25">
      <c r="A573" s="8">
        <f t="shared" si="24"/>
        <v>73</v>
      </c>
      <c r="B573" t="str">
        <f ca="1">TEXT(DATE(YEAR(Invoer!$A$5),1,1)+INT((ROWS(B$2:B573)-1)/3),"jjjjmmdd")</f>
        <v>19450710</v>
      </c>
      <c r="C573" s="20" t="str">
        <f>INDEX(Data,2,2+MOD(ROWS(C$2:C573)-1,3))</f>
        <v>12.00</v>
      </c>
      <c r="D573" s="14" t="str">
        <f t="shared" ca="1" si="25"/>
        <v>—</v>
      </c>
      <c r="E573" s="25">
        <f t="shared" ca="1" si="26"/>
        <v>7</v>
      </c>
    </row>
    <row r="574" spans="1:5" x14ac:dyDescent="0.25">
      <c r="A574" s="8">
        <f t="shared" si="24"/>
        <v>73</v>
      </c>
      <c r="B574" t="str">
        <f ca="1">TEXT(DATE(YEAR(Invoer!$A$5),1,1)+INT((ROWS(B$2:B574)-1)/3),"jjjjmmdd")</f>
        <v>19450710</v>
      </c>
      <c r="C574" s="20" t="str">
        <f>INDEX(Data,2,2+MOD(ROWS(C$2:C574)-1,3))</f>
        <v>16.00</v>
      </c>
      <c r="D574" s="14" t="str">
        <f t="shared" ca="1" si="25"/>
        <v>—</v>
      </c>
      <c r="E574" s="25">
        <f t="shared" ca="1" si="26"/>
        <v>7</v>
      </c>
    </row>
    <row r="575" spans="1:5" x14ac:dyDescent="0.25">
      <c r="A575" s="8">
        <f t="shared" si="24"/>
        <v>73</v>
      </c>
      <c r="B575" t="str">
        <f ca="1">TEXT(DATE(YEAR(Invoer!$A$5),1,1)+INT((ROWS(B$2:B575)-1)/3),"jjjjmmdd")</f>
        <v>19450711</v>
      </c>
      <c r="C575" s="20" t="str">
        <f>INDEX(Data,2,2+MOD(ROWS(C$2:C575)-1,3))</f>
        <v>08.00</v>
      </c>
      <c r="D575" s="14" t="str">
        <f t="shared" ca="1" si="25"/>
        <v>—</v>
      </c>
      <c r="E575" s="25">
        <f t="shared" ca="1" si="26"/>
        <v>7</v>
      </c>
    </row>
    <row r="576" spans="1:5" x14ac:dyDescent="0.25">
      <c r="A576" s="8">
        <f t="shared" si="24"/>
        <v>73</v>
      </c>
      <c r="B576" t="str">
        <f ca="1">TEXT(DATE(YEAR(Invoer!$A$5),1,1)+INT((ROWS(B$2:B576)-1)/3),"jjjjmmdd")</f>
        <v>19450711</v>
      </c>
      <c r="C576" s="20" t="str">
        <f>INDEX(Data,2,2+MOD(ROWS(C$2:C576)-1,3))</f>
        <v>12.00</v>
      </c>
      <c r="D576" s="14" t="str">
        <f t="shared" ca="1" si="25"/>
        <v>—</v>
      </c>
      <c r="E576" s="25">
        <f t="shared" ca="1" si="26"/>
        <v>7</v>
      </c>
    </row>
    <row r="577" spans="1:5" x14ac:dyDescent="0.25">
      <c r="A577" s="8">
        <f t="shared" si="24"/>
        <v>73</v>
      </c>
      <c r="B577" t="str">
        <f ca="1">TEXT(DATE(YEAR(Invoer!$A$5),1,1)+INT((ROWS(B$2:B577)-1)/3),"jjjjmmdd")</f>
        <v>19450711</v>
      </c>
      <c r="C577" s="20" t="str">
        <f>INDEX(Data,2,2+MOD(ROWS(C$2:C577)-1,3))</f>
        <v>16.00</v>
      </c>
      <c r="D577" s="14" t="str">
        <f t="shared" ca="1" si="25"/>
        <v>—</v>
      </c>
      <c r="E577" s="25">
        <f t="shared" ca="1" si="26"/>
        <v>7</v>
      </c>
    </row>
    <row r="578" spans="1:5" x14ac:dyDescent="0.25">
      <c r="A578" s="8">
        <f t="shared" ref="A578:A641" si="27">INDEX(Stations,2,1)</f>
        <v>73</v>
      </c>
      <c r="B578" t="str">
        <f ca="1">TEXT(DATE(YEAR(Invoer!$A$5),1,1)+INT((ROWS(B$2:B578)-1)/3),"jjjjmmdd")</f>
        <v>19450712</v>
      </c>
      <c r="C578" s="20" t="str">
        <f>INDEX(Data,2,2+MOD(ROWS(C$2:C578)-1,3))</f>
        <v>08.00</v>
      </c>
      <c r="D578" s="14" t="str">
        <f t="shared" ref="D578:D641" ca="1" si="28">IF(OR(ISBLANK(VLOOKUP(DATEVALUE(LEFT($B578,4)&amp;"-"&amp;MID($B578,5,2)&amp;"-"&amp;RIGHT($B578,2)),Data,MATCH(LEFT(VLOOKUP(D$1,Parameters,2,FALSE()),4)&amp;"*",OFFSET(Data,0,0,1),0)+MATCH($C578,OFFSET(Data,1,0,1),0)-2,FALSE())),ISTEXT(VLOOKUP(DATEVALUE(LEFT($B578,4)&amp;"-"&amp;MID($B578,5,2)&amp;"-"&amp;RIGHT($B578,2)),Data,MATCH(LEFT(VLOOKUP(D$1,Parameters,2,FALSE()),4)&amp;"*",OFFSET(Data,0,0,1),0)+MATCH($C578,OFFSET(Data,1,0,1),0)-2,FALSE()))),"—",VLOOKUP(DATEVALUE(LEFT($B578,4)&amp;"-"&amp;MID($B578,5,2)&amp;"-"&amp;RIGHT($B578,2)),Data,MATCH(LEFT(VLOOKUP(D$1,Parameters,2,FALSE()),4)&amp;"*",OFFSET(Data,0,0,1),0)+MATCH($C578,OFFSET(Data,1,0,1),0)-2,FALSE()))</f>
        <v>—</v>
      </c>
      <c r="E578" s="25">
        <f t="shared" ref="E578:E641" ca="1" si="29">IF(OR(ISBLANK(VLOOKUP(DATEVALUE(LEFT($B578,4)&amp;"-"&amp;MID($B578,5,2)&amp;"-"&amp;RIGHT($B578,2)),Data,MATCH(LEFT(VLOOKUP(MID(E$1,2,LEN(E$1)-1),Parameters,2,FALSE()),4)&amp;"*",OFFSET(Data,0,0,1),0)+MATCH($C578,OFFSET(Data,1,0,1),0)-2,FALSE())),ISTEXT(VLOOKUP(DATEVALUE(LEFT($B578,4)&amp;"-"&amp;MID($B578,5,2)&amp;"-"&amp;RIGHT($B578,2)),Data,MATCH(LEFT(VLOOKUP(MID(E$1,2,LEN(E$1)-1),Parameters,2,FALSE()),4)&amp;"*",OFFSET(Data,0,0,1),0)+MATCH($C578,OFFSET(Data,1,0,1),0)-2,FALSE()))),Lacking,IF(ISNA(MATCH(DATEVALUE(LEFT($B578,4)&amp;"-"&amp;MID($B578,5,2)&amp;"-"&amp;RIGHT($B578,2)),OFFSET(Catalogus,0,0,,1),0)),Ok,VLOOKUP(DATEVALUE(LEFT($B578,4)&amp;"-"&amp;MID($B578,5,2)&amp;"-"&amp;RIGHT($B578,2)),Catalogus,MATCH(LEFT(VLOOKUP(MID(E$1,2,LEN(E$1)-1),Parameters,2,FALSE()),4)&amp;"*",OFFSET(Catalogus,0,0,1),0)+MATCH($C578,OFFSET(Catalogus,1,0,1),0)-2,FALSE())))</f>
        <v>7</v>
      </c>
    </row>
    <row r="579" spans="1:5" x14ac:dyDescent="0.25">
      <c r="A579" s="8">
        <f t="shared" si="27"/>
        <v>73</v>
      </c>
      <c r="B579" t="str">
        <f ca="1">TEXT(DATE(YEAR(Invoer!$A$5),1,1)+INT((ROWS(B$2:B579)-1)/3),"jjjjmmdd")</f>
        <v>19450712</v>
      </c>
      <c r="C579" s="20" t="str">
        <f>INDEX(Data,2,2+MOD(ROWS(C$2:C579)-1,3))</f>
        <v>12.00</v>
      </c>
      <c r="D579" s="14" t="str">
        <f t="shared" ca="1" si="28"/>
        <v>—</v>
      </c>
      <c r="E579" s="25">
        <f t="shared" ca="1" si="29"/>
        <v>7</v>
      </c>
    </row>
    <row r="580" spans="1:5" x14ac:dyDescent="0.25">
      <c r="A580" s="8">
        <f t="shared" si="27"/>
        <v>73</v>
      </c>
      <c r="B580" t="str">
        <f ca="1">TEXT(DATE(YEAR(Invoer!$A$5),1,1)+INT((ROWS(B$2:B580)-1)/3),"jjjjmmdd")</f>
        <v>19450712</v>
      </c>
      <c r="C580" s="20" t="str">
        <f>INDEX(Data,2,2+MOD(ROWS(C$2:C580)-1,3))</f>
        <v>16.00</v>
      </c>
      <c r="D580" s="14" t="str">
        <f t="shared" ca="1" si="28"/>
        <v>—</v>
      </c>
      <c r="E580" s="25">
        <f t="shared" ca="1" si="29"/>
        <v>7</v>
      </c>
    </row>
    <row r="581" spans="1:5" x14ac:dyDescent="0.25">
      <c r="A581" s="8">
        <f t="shared" si="27"/>
        <v>73</v>
      </c>
      <c r="B581" t="str">
        <f ca="1">TEXT(DATE(YEAR(Invoer!$A$5),1,1)+INT((ROWS(B$2:B581)-1)/3),"jjjjmmdd")</f>
        <v>19450713</v>
      </c>
      <c r="C581" s="20" t="str">
        <f>INDEX(Data,2,2+MOD(ROWS(C$2:C581)-1,3))</f>
        <v>08.00</v>
      </c>
      <c r="D581" s="14" t="str">
        <f t="shared" ca="1" si="28"/>
        <v>—</v>
      </c>
      <c r="E581" s="25">
        <f t="shared" ca="1" si="29"/>
        <v>7</v>
      </c>
    </row>
    <row r="582" spans="1:5" x14ac:dyDescent="0.25">
      <c r="A582" s="8">
        <f t="shared" si="27"/>
        <v>73</v>
      </c>
      <c r="B582" t="str">
        <f ca="1">TEXT(DATE(YEAR(Invoer!$A$5),1,1)+INT((ROWS(B$2:B582)-1)/3),"jjjjmmdd")</f>
        <v>19450713</v>
      </c>
      <c r="C582" s="20" t="str">
        <f>INDEX(Data,2,2+MOD(ROWS(C$2:C582)-1,3))</f>
        <v>12.00</v>
      </c>
      <c r="D582" s="14" t="str">
        <f t="shared" ca="1" si="28"/>
        <v>—</v>
      </c>
      <c r="E582" s="25">
        <f t="shared" ca="1" si="29"/>
        <v>7</v>
      </c>
    </row>
    <row r="583" spans="1:5" x14ac:dyDescent="0.25">
      <c r="A583" s="8">
        <f t="shared" si="27"/>
        <v>73</v>
      </c>
      <c r="B583" t="str">
        <f ca="1">TEXT(DATE(YEAR(Invoer!$A$5),1,1)+INT((ROWS(B$2:B583)-1)/3),"jjjjmmdd")</f>
        <v>19450713</v>
      </c>
      <c r="C583" s="20" t="str">
        <f>INDEX(Data,2,2+MOD(ROWS(C$2:C583)-1,3))</f>
        <v>16.00</v>
      </c>
      <c r="D583" s="14" t="str">
        <f t="shared" ca="1" si="28"/>
        <v>—</v>
      </c>
      <c r="E583" s="25">
        <f t="shared" ca="1" si="29"/>
        <v>7</v>
      </c>
    </row>
    <row r="584" spans="1:5" x14ac:dyDescent="0.25">
      <c r="A584" s="8">
        <f t="shared" si="27"/>
        <v>73</v>
      </c>
      <c r="B584" t="str">
        <f ca="1">TEXT(DATE(YEAR(Invoer!$A$5),1,1)+INT((ROWS(B$2:B584)-1)/3),"jjjjmmdd")</f>
        <v>19450714</v>
      </c>
      <c r="C584" s="20" t="str">
        <f>INDEX(Data,2,2+MOD(ROWS(C$2:C584)-1,3))</f>
        <v>08.00</v>
      </c>
      <c r="D584" s="14" t="str">
        <f t="shared" ca="1" si="28"/>
        <v>—</v>
      </c>
      <c r="E584" s="25">
        <f t="shared" ca="1" si="29"/>
        <v>7</v>
      </c>
    </row>
    <row r="585" spans="1:5" x14ac:dyDescent="0.25">
      <c r="A585" s="8">
        <f t="shared" si="27"/>
        <v>73</v>
      </c>
      <c r="B585" t="str">
        <f ca="1">TEXT(DATE(YEAR(Invoer!$A$5),1,1)+INT((ROWS(B$2:B585)-1)/3),"jjjjmmdd")</f>
        <v>19450714</v>
      </c>
      <c r="C585" s="20" t="str">
        <f>INDEX(Data,2,2+MOD(ROWS(C$2:C585)-1,3))</f>
        <v>12.00</v>
      </c>
      <c r="D585" s="14" t="str">
        <f t="shared" ca="1" si="28"/>
        <v>—</v>
      </c>
      <c r="E585" s="25">
        <f t="shared" ca="1" si="29"/>
        <v>7</v>
      </c>
    </row>
    <row r="586" spans="1:5" x14ac:dyDescent="0.25">
      <c r="A586" s="8">
        <f t="shared" si="27"/>
        <v>73</v>
      </c>
      <c r="B586" t="str">
        <f ca="1">TEXT(DATE(YEAR(Invoer!$A$5),1,1)+INT((ROWS(B$2:B586)-1)/3),"jjjjmmdd")</f>
        <v>19450714</v>
      </c>
      <c r="C586" s="20" t="str">
        <f>INDEX(Data,2,2+MOD(ROWS(C$2:C586)-1,3))</f>
        <v>16.00</v>
      </c>
      <c r="D586" s="14" t="str">
        <f t="shared" ca="1" si="28"/>
        <v>—</v>
      </c>
      <c r="E586" s="25">
        <f t="shared" ca="1" si="29"/>
        <v>7</v>
      </c>
    </row>
    <row r="587" spans="1:5" x14ac:dyDescent="0.25">
      <c r="A587" s="8">
        <f t="shared" si="27"/>
        <v>73</v>
      </c>
      <c r="B587" t="str">
        <f ca="1">TEXT(DATE(YEAR(Invoer!$A$5),1,1)+INT((ROWS(B$2:B587)-1)/3),"jjjjmmdd")</f>
        <v>19450715</v>
      </c>
      <c r="C587" s="20" t="str">
        <f>INDEX(Data,2,2+MOD(ROWS(C$2:C587)-1,3))</f>
        <v>08.00</v>
      </c>
      <c r="D587" s="14" t="str">
        <f t="shared" ca="1" si="28"/>
        <v>—</v>
      </c>
      <c r="E587" s="25">
        <f t="shared" ca="1" si="29"/>
        <v>7</v>
      </c>
    </row>
    <row r="588" spans="1:5" x14ac:dyDescent="0.25">
      <c r="A588" s="8">
        <f t="shared" si="27"/>
        <v>73</v>
      </c>
      <c r="B588" t="str">
        <f ca="1">TEXT(DATE(YEAR(Invoer!$A$5),1,1)+INT((ROWS(B$2:B588)-1)/3),"jjjjmmdd")</f>
        <v>19450715</v>
      </c>
      <c r="C588" s="20" t="str">
        <f>INDEX(Data,2,2+MOD(ROWS(C$2:C588)-1,3))</f>
        <v>12.00</v>
      </c>
      <c r="D588" s="14" t="str">
        <f t="shared" ca="1" si="28"/>
        <v>—</v>
      </c>
      <c r="E588" s="25">
        <f t="shared" ca="1" si="29"/>
        <v>7</v>
      </c>
    </row>
    <row r="589" spans="1:5" x14ac:dyDescent="0.25">
      <c r="A589" s="8">
        <f t="shared" si="27"/>
        <v>73</v>
      </c>
      <c r="B589" t="str">
        <f ca="1">TEXT(DATE(YEAR(Invoer!$A$5),1,1)+INT((ROWS(B$2:B589)-1)/3),"jjjjmmdd")</f>
        <v>19450715</v>
      </c>
      <c r="C589" s="20" t="str">
        <f>INDEX(Data,2,2+MOD(ROWS(C$2:C589)-1,3))</f>
        <v>16.00</v>
      </c>
      <c r="D589" s="14" t="str">
        <f t="shared" ca="1" si="28"/>
        <v>—</v>
      </c>
      <c r="E589" s="25">
        <f t="shared" ca="1" si="29"/>
        <v>7</v>
      </c>
    </row>
    <row r="590" spans="1:5" x14ac:dyDescent="0.25">
      <c r="A590" s="8">
        <f t="shared" si="27"/>
        <v>73</v>
      </c>
      <c r="B590" t="str">
        <f ca="1">TEXT(DATE(YEAR(Invoer!$A$5),1,1)+INT((ROWS(B$2:B590)-1)/3),"jjjjmmdd")</f>
        <v>19450716</v>
      </c>
      <c r="C590" s="20" t="str">
        <f>INDEX(Data,2,2+MOD(ROWS(C$2:C590)-1,3))</f>
        <v>08.00</v>
      </c>
      <c r="D590" s="14" t="str">
        <f t="shared" ca="1" si="28"/>
        <v>—</v>
      </c>
      <c r="E590" s="25">
        <f t="shared" ca="1" si="29"/>
        <v>7</v>
      </c>
    </row>
    <row r="591" spans="1:5" x14ac:dyDescent="0.25">
      <c r="A591" s="8">
        <f t="shared" si="27"/>
        <v>73</v>
      </c>
      <c r="B591" t="str">
        <f ca="1">TEXT(DATE(YEAR(Invoer!$A$5),1,1)+INT((ROWS(B$2:B591)-1)/3),"jjjjmmdd")</f>
        <v>19450716</v>
      </c>
      <c r="C591" s="20" t="str">
        <f>INDEX(Data,2,2+MOD(ROWS(C$2:C591)-1,3))</f>
        <v>12.00</v>
      </c>
      <c r="D591" s="14" t="str">
        <f t="shared" ca="1" si="28"/>
        <v>—</v>
      </c>
      <c r="E591" s="25">
        <f t="shared" ca="1" si="29"/>
        <v>7</v>
      </c>
    </row>
    <row r="592" spans="1:5" x14ac:dyDescent="0.25">
      <c r="A592" s="8">
        <f t="shared" si="27"/>
        <v>73</v>
      </c>
      <c r="B592" t="str">
        <f ca="1">TEXT(DATE(YEAR(Invoer!$A$5),1,1)+INT((ROWS(B$2:B592)-1)/3),"jjjjmmdd")</f>
        <v>19450716</v>
      </c>
      <c r="C592" s="20" t="str">
        <f>INDEX(Data,2,2+MOD(ROWS(C$2:C592)-1,3))</f>
        <v>16.00</v>
      </c>
      <c r="D592" s="14" t="str">
        <f t="shared" ca="1" si="28"/>
        <v>—</v>
      </c>
      <c r="E592" s="25">
        <f t="shared" ca="1" si="29"/>
        <v>7</v>
      </c>
    </row>
    <row r="593" spans="1:5" x14ac:dyDescent="0.25">
      <c r="A593" s="8">
        <f t="shared" si="27"/>
        <v>73</v>
      </c>
      <c r="B593" t="str">
        <f ca="1">TEXT(DATE(YEAR(Invoer!$A$5),1,1)+INT((ROWS(B$2:B593)-1)/3),"jjjjmmdd")</f>
        <v>19450717</v>
      </c>
      <c r="C593" s="20" t="str">
        <f>INDEX(Data,2,2+MOD(ROWS(C$2:C593)-1,3))</f>
        <v>08.00</v>
      </c>
      <c r="D593" s="14" t="str">
        <f t="shared" ca="1" si="28"/>
        <v>—</v>
      </c>
      <c r="E593" s="25">
        <f t="shared" ca="1" si="29"/>
        <v>7</v>
      </c>
    </row>
    <row r="594" spans="1:5" x14ac:dyDescent="0.25">
      <c r="A594" s="8">
        <f t="shared" si="27"/>
        <v>73</v>
      </c>
      <c r="B594" t="str">
        <f ca="1">TEXT(DATE(YEAR(Invoer!$A$5),1,1)+INT((ROWS(B$2:B594)-1)/3),"jjjjmmdd")</f>
        <v>19450717</v>
      </c>
      <c r="C594" s="20" t="str">
        <f>INDEX(Data,2,2+MOD(ROWS(C$2:C594)-1,3))</f>
        <v>12.00</v>
      </c>
      <c r="D594" s="14" t="str">
        <f t="shared" ca="1" si="28"/>
        <v>—</v>
      </c>
      <c r="E594" s="25">
        <f t="shared" ca="1" si="29"/>
        <v>7</v>
      </c>
    </row>
    <row r="595" spans="1:5" x14ac:dyDescent="0.25">
      <c r="A595" s="8">
        <f t="shared" si="27"/>
        <v>73</v>
      </c>
      <c r="B595" t="str">
        <f ca="1">TEXT(DATE(YEAR(Invoer!$A$5),1,1)+INT((ROWS(B$2:B595)-1)/3),"jjjjmmdd")</f>
        <v>19450717</v>
      </c>
      <c r="C595" s="20" t="str">
        <f>INDEX(Data,2,2+MOD(ROWS(C$2:C595)-1,3))</f>
        <v>16.00</v>
      </c>
      <c r="D595" s="14" t="str">
        <f t="shared" ca="1" si="28"/>
        <v>—</v>
      </c>
      <c r="E595" s="25">
        <f t="shared" ca="1" si="29"/>
        <v>7</v>
      </c>
    </row>
    <row r="596" spans="1:5" x14ac:dyDescent="0.25">
      <c r="A596" s="8">
        <f t="shared" si="27"/>
        <v>73</v>
      </c>
      <c r="B596" t="str">
        <f ca="1">TEXT(DATE(YEAR(Invoer!$A$5),1,1)+INT((ROWS(B$2:B596)-1)/3),"jjjjmmdd")</f>
        <v>19450718</v>
      </c>
      <c r="C596" s="20" t="str">
        <f>INDEX(Data,2,2+MOD(ROWS(C$2:C596)-1,3))</f>
        <v>08.00</v>
      </c>
      <c r="D596" s="14" t="str">
        <f t="shared" ca="1" si="28"/>
        <v>—</v>
      </c>
      <c r="E596" s="25">
        <f t="shared" ca="1" si="29"/>
        <v>7</v>
      </c>
    </row>
    <row r="597" spans="1:5" x14ac:dyDescent="0.25">
      <c r="A597" s="8">
        <f t="shared" si="27"/>
        <v>73</v>
      </c>
      <c r="B597" t="str">
        <f ca="1">TEXT(DATE(YEAR(Invoer!$A$5),1,1)+INT((ROWS(B$2:B597)-1)/3),"jjjjmmdd")</f>
        <v>19450718</v>
      </c>
      <c r="C597" s="20" t="str">
        <f>INDEX(Data,2,2+MOD(ROWS(C$2:C597)-1,3))</f>
        <v>12.00</v>
      </c>
      <c r="D597" s="14" t="str">
        <f t="shared" ca="1" si="28"/>
        <v>—</v>
      </c>
      <c r="E597" s="25">
        <f t="shared" ca="1" si="29"/>
        <v>7</v>
      </c>
    </row>
    <row r="598" spans="1:5" x14ac:dyDescent="0.25">
      <c r="A598" s="8">
        <f t="shared" si="27"/>
        <v>73</v>
      </c>
      <c r="B598" t="str">
        <f ca="1">TEXT(DATE(YEAR(Invoer!$A$5),1,1)+INT((ROWS(B$2:B598)-1)/3),"jjjjmmdd")</f>
        <v>19450718</v>
      </c>
      <c r="C598" s="20" t="str">
        <f>INDEX(Data,2,2+MOD(ROWS(C$2:C598)-1,3))</f>
        <v>16.00</v>
      </c>
      <c r="D598" s="14" t="str">
        <f t="shared" ca="1" si="28"/>
        <v>—</v>
      </c>
      <c r="E598" s="25">
        <f t="shared" ca="1" si="29"/>
        <v>7</v>
      </c>
    </row>
    <row r="599" spans="1:5" x14ac:dyDescent="0.25">
      <c r="A599" s="8">
        <f t="shared" si="27"/>
        <v>73</v>
      </c>
      <c r="B599" t="str">
        <f ca="1">TEXT(DATE(YEAR(Invoer!$A$5),1,1)+INT((ROWS(B$2:B599)-1)/3),"jjjjmmdd")</f>
        <v>19450719</v>
      </c>
      <c r="C599" s="20" t="str">
        <f>INDEX(Data,2,2+MOD(ROWS(C$2:C599)-1,3))</f>
        <v>08.00</v>
      </c>
      <c r="D599" s="14" t="str">
        <f t="shared" ca="1" si="28"/>
        <v>—</v>
      </c>
      <c r="E599" s="25">
        <f t="shared" ca="1" si="29"/>
        <v>7</v>
      </c>
    </row>
    <row r="600" spans="1:5" x14ac:dyDescent="0.25">
      <c r="A600" s="8">
        <f t="shared" si="27"/>
        <v>73</v>
      </c>
      <c r="B600" t="str">
        <f ca="1">TEXT(DATE(YEAR(Invoer!$A$5),1,1)+INT((ROWS(B$2:B600)-1)/3),"jjjjmmdd")</f>
        <v>19450719</v>
      </c>
      <c r="C600" s="20" t="str">
        <f>INDEX(Data,2,2+MOD(ROWS(C$2:C600)-1,3))</f>
        <v>12.00</v>
      </c>
      <c r="D600" s="14" t="str">
        <f t="shared" ca="1" si="28"/>
        <v>—</v>
      </c>
      <c r="E600" s="25">
        <f t="shared" ca="1" si="29"/>
        <v>7</v>
      </c>
    </row>
    <row r="601" spans="1:5" x14ac:dyDescent="0.25">
      <c r="A601" s="8">
        <f t="shared" si="27"/>
        <v>73</v>
      </c>
      <c r="B601" t="str">
        <f ca="1">TEXT(DATE(YEAR(Invoer!$A$5),1,1)+INT((ROWS(B$2:B601)-1)/3),"jjjjmmdd")</f>
        <v>19450719</v>
      </c>
      <c r="C601" s="20" t="str">
        <f>INDEX(Data,2,2+MOD(ROWS(C$2:C601)-1,3))</f>
        <v>16.00</v>
      </c>
      <c r="D601" s="14" t="str">
        <f t="shared" ca="1" si="28"/>
        <v>—</v>
      </c>
      <c r="E601" s="25">
        <f t="shared" ca="1" si="29"/>
        <v>7</v>
      </c>
    </row>
    <row r="602" spans="1:5" x14ac:dyDescent="0.25">
      <c r="A602" s="8">
        <f t="shared" si="27"/>
        <v>73</v>
      </c>
      <c r="B602" t="str">
        <f ca="1">TEXT(DATE(YEAR(Invoer!$A$5),1,1)+INT((ROWS(B$2:B602)-1)/3),"jjjjmmdd")</f>
        <v>19450720</v>
      </c>
      <c r="C602" s="20" t="str">
        <f>INDEX(Data,2,2+MOD(ROWS(C$2:C602)-1,3))</f>
        <v>08.00</v>
      </c>
      <c r="D602" s="14" t="str">
        <f t="shared" ca="1" si="28"/>
        <v>—</v>
      </c>
      <c r="E602" s="25">
        <f t="shared" ca="1" si="29"/>
        <v>7</v>
      </c>
    </row>
    <row r="603" spans="1:5" x14ac:dyDescent="0.25">
      <c r="A603" s="8">
        <f t="shared" si="27"/>
        <v>73</v>
      </c>
      <c r="B603" t="str">
        <f ca="1">TEXT(DATE(YEAR(Invoer!$A$5),1,1)+INT((ROWS(B$2:B603)-1)/3),"jjjjmmdd")</f>
        <v>19450720</v>
      </c>
      <c r="C603" s="20" t="str">
        <f>INDEX(Data,2,2+MOD(ROWS(C$2:C603)-1,3))</f>
        <v>12.00</v>
      </c>
      <c r="D603" s="14" t="str">
        <f t="shared" ca="1" si="28"/>
        <v>—</v>
      </c>
      <c r="E603" s="25">
        <f t="shared" ca="1" si="29"/>
        <v>7</v>
      </c>
    </row>
    <row r="604" spans="1:5" x14ac:dyDescent="0.25">
      <c r="A604" s="8">
        <f t="shared" si="27"/>
        <v>73</v>
      </c>
      <c r="B604" t="str">
        <f ca="1">TEXT(DATE(YEAR(Invoer!$A$5),1,1)+INT((ROWS(B$2:B604)-1)/3),"jjjjmmdd")</f>
        <v>19450720</v>
      </c>
      <c r="C604" s="20" t="str">
        <f>INDEX(Data,2,2+MOD(ROWS(C$2:C604)-1,3))</f>
        <v>16.00</v>
      </c>
      <c r="D604" s="14" t="str">
        <f t="shared" ca="1" si="28"/>
        <v>—</v>
      </c>
      <c r="E604" s="25">
        <f t="shared" ca="1" si="29"/>
        <v>7</v>
      </c>
    </row>
    <row r="605" spans="1:5" x14ac:dyDescent="0.25">
      <c r="A605" s="8">
        <f t="shared" si="27"/>
        <v>73</v>
      </c>
      <c r="B605" t="str">
        <f ca="1">TEXT(DATE(YEAR(Invoer!$A$5),1,1)+INT((ROWS(B$2:B605)-1)/3),"jjjjmmdd")</f>
        <v>19450721</v>
      </c>
      <c r="C605" s="20" t="str">
        <f>INDEX(Data,2,2+MOD(ROWS(C$2:C605)-1,3))</f>
        <v>08.00</v>
      </c>
      <c r="D605" s="14" t="str">
        <f t="shared" ca="1" si="28"/>
        <v>—</v>
      </c>
      <c r="E605" s="25">
        <f t="shared" ca="1" si="29"/>
        <v>7</v>
      </c>
    </row>
    <row r="606" spans="1:5" x14ac:dyDescent="0.25">
      <c r="A606" s="8">
        <f t="shared" si="27"/>
        <v>73</v>
      </c>
      <c r="B606" t="str">
        <f ca="1">TEXT(DATE(YEAR(Invoer!$A$5),1,1)+INT((ROWS(B$2:B606)-1)/3),"jjjjmmdd")</f>
        <v>19450721</v>
      </c>
      <c r="C606" s="20" t="str">
        <f>INDEX(Data,2,2+MOD(ROWS(C$2:C606)-1,3))</f>
        <v>12.00</v>
      </c>
      <c r="D606" s="14" t="str">
        <f t="shared" ca="1" si="28"/>
        <v>—</v>
      </c>
      <c r="E606" s="25">
        <f t="shared" ca="1" si="29"/>
        <v>7</v>
      </c>
    </row>
    <row r="607" spans="1:5" x14ac:dyDescent="0.25">
      <c r="A607" s="8">
        <f t="shared" si="27"/>
        <v>73</v>
      </c>
      <c r="B607" t="str">
        <f ca="1">TEXT(DATE(YEAR(Invoer!$A$5),1,1)+INT((ROWS(B$2:B607)-1)/3),"jjjjmmdd")</f>
        <v>19450721</v>
      </c>
      <c r="C607" s="20" t="str">
        <f>INDEX(Data,2,2+MOD(ROWS(C$2:C607)-1,3))</f>
        <v>16.00</v>
      </c>
      <c r="D607" s="14" t="str">
        <f t="shared" ca="1" si="28"/>
        <v>—</v>
      </c>
      <c r="E607" s="25">
        <f t="shared" ca="1" si="29"/>
        <v>7</v>
      </c>
    </row>
    <row r="608" spans="1:5" x14ac:dyDescent="0.25">
      <c r="A608" s="8">
        <f t="shared" si="27"/>
        <v>73</v>
      </c>
      <c r="B608" t="str">
        <f ca="1">TEXT(DATE(YEAR(Invoer!$A$5),1,1)+INT((ROWS(B$2:B608)-1)/3),"jjjjmmdd")</f>
        <v>19450722</v>
      </c>
      <c r="C608" s="20" t="str">
        <f>INDEX(Data,2,2+MOD(ROWS(C$2:C608)-1,3))</f>
        <v>08.00</v>
      </c>
      <c r="D608" s="14" t="str">
        <f t="shared" ca="1" si="28"/>
        <v>—</v>
      </c>
      <c r="E608" s="25">
        <f t="shared" ca="1" si="29"/>
        <v>7</v>
      </c>
    </row>
    <row r="609" spans="1:5" x14ac:dyDescent="0.25">
      <c r="A609" s="8">
        <f t="shared" si="27"/>
        <v>73</v>
      </c>
      <c r="B609" t="str">
        <f ca="1">TEXT(DATE(YEAR(Invoer!$A$5),1,1)+INT((ROWS(B$2:B609)-1)/3),"jjjjmmdd")</f>
        <v>19450722</v>
      </c>
      <c r="C609" s="20" t="str">
        <f>INDEX(Data,2,2+MOD(ROWS(C$2:C609)-1,3))</f>
        <v>12.00</v>
      </c>
      <c r="D609" s="14" t="str">
        <f t="shared" ca="1" si="28"/>
        <v>—</v>
      </c>
      <c r="E609" s="25">
        <f t="shared" ca="1" si="29"/>
        <v>7</v>
      </c>
    </row>
    <row r="610" spans="1:5" x14ac:dyDescent="0.25">
      <c r="A610" s="8">
        <f t="shared" si="27"/>
        <v>73</v>
      </c>
      <c r="B610" t="str">
        <f ca="1">TEXT(DATE(YEAR(Invoer!$A$5),1,1)+INT((ROWS(B$2:B610)-1)/3),"jjjjmmdd")</f>
        <v>19450722</v>
      </c>
      <c r="C610" s="20" t="str">
        <f>INDEX(Data,2,2+MOD(ROWS(C$2:C610)-1,3))</f>
        <v>16.00</v>
      </c>
      <c r="D610" s="14" t="str">
        <f t="shared" ca="1" si="28"/>
        <v>—</v>
      </c>
      <c r="E610" s="25">
        <f t="shared" ca="1" si="29"/>
        <v>7</v>
      </c>
    </row>
    <row r="611" spans="1:5" x14ac:dyDescent="0.25">
      <c r="A611" s="8">
        <f t="shared" si="27"/>
        <v>73</v>
      </c>
      <c r="B611" t="str">
        <f ca="1">TEXT(DATE(YEAR(Invoer!$A$5),1,1)+INT((ROWS(B$2:B611)-1)/3),"jjjjmmdd")</f>
        <v>19450723</v>
      </c>
      <c r="C611" s="20" t="str">
        <f>INDEX(Data,2,2+MOD(ROWS(C$2:C611)-1,3))</f>
        <v>08.00</v>
      </c>
      <c r="D611" s="14" t="str">
        <f t="shared" ca="1" si="28"/>
        <v>—</v>
      </c>
      <c r="E611" s="25">
        <f t="shared" ca="1" si="29"/>
        <v>7</v>
      </c>
    </row>
    <row r="612" spans="1:5" x14ac:dyDescent="0.25">
      <c r="A612" s="8">
        <f t="shared" si="27"/>
        <v>73</v>
      </c>
      <c r="B612" t="str">
        <f ca="1">TEXT(DATE(YEAR(Invoer!$A$5),1,1)+INT((ROWS(B$2:B612)-1)/3),"jjjjmmdd")</f>
        <v>19450723</v>
      </c>
      <c r="C612" s="20" t="str">
        <f>INDEX(Data,2,2+MOD(ROWS(C$2:C612)-1,3))</f>
        <v>12.00</v>
      </c>
      <c r="D612" s="14" t="str">
        <f t="shared" ca="1" si="28"/>
        <v>—</v>
      </c>
      <c r="E612" s="25">
        <f t="shared" ca="1" si="29"/>
        <v>7</v>
      </c>
    </row>
    <row r="613" spans="1:5" x14ac:dyDescent="0.25">
      <c r="A613" s="8">
        <f t="shared" si="27"/>
        <v>73</v>
      </c>
      <c r="B613" t="str">
        <f ca="1">TEXT(DATE(YEAR(Invoer!$A$5),1,1)+INT((ROWS(B$2:B613)-1)/3),"jjjjmmdd")</f>
        <v>19450723</v>
      </c>
      <c r="C613" s="20" t="str">
        <f>INDEX(Data,2,2+MOD(ROWS(C$2:C613)-1,3))</f>
        <v>16.00</v>
      </c>
      <c r="D613" s="14" t="str">
        <f t="shared" ca="1" si="28"/>
        <v>—</v>
      </c>
      <c r="E613" s="25">
        <f t="shared" ca="1" si="29"/>
        <v>7</v>
      </c>
    </row>
    <row r="614" spans="1:5" x14ac:dyDescent="0.25">
      <c r="A614" s="8">
        <f t="shared" si="27"/>
        <v>73</v>
      </c>
      <c r="B614" t="str">
        <f ca="1">TEXT(DATE(YEAR(Invoer!$A$5),1,1)+INT((ROWS(B$2:B614)-1)/3),"jjjjmmdd")</f>
        <v>19450724</v>
      </c>
      <c r="C614" s="20" t="str">
        <f>INDEX(Data,2,2+MOD(ROWS(C$2:C614)-1,3))</f>
        <v>08.00</v>
      </c>
      <c r="D614" s="14" t="str">
        <f t="shared" ca="1" si="28"/>
        <v>—</v>
      </c>
      <c r="E614" s="25">
        <f t="shared" ca="1" si="29"/>
        <v>7</v>
      </c>
    </row>
    <row r="615" spans="1:5" x14ac:dyDescent="0.25">
      <c r="A615" s="8">
        <f t="shared" si="27"/>
        <v>73</v>
      </c>
      <c r="B615" t="str">
        <f ca="1">TEXT(DATE(YEAR(Invoer!$A$5),1,1)+INT((ROWS(B$2:B615)-1)/3),"jjjjmmdd")</f>
        <v>19450724</v>
      </c>
      <c r="C615" s="20" t="str">
        <f>INDEX(Data,2,2+MOD(ROWS(C$2:C615)-1,3))</f>
        <v>12.00</v>
      </c>
      <c r="D615" s="14" t="str">
        <f t="shared" ca="1" si="28"/>
        <v>—</v>
      </c>
      <c r="E615" s="25">
        <f t="shared" ca="1" si="29"/>
        <v>7</v>
      </c>
    </row>
    <row r="616" spans="1:5" x14ac:dyDescent="0.25">
      <c r="A616" s="8">
        <f t="shared" si="27"/>
        <v>73</v>
      </c>
      <c r="B616" t="str">
        <f ca="1">TEXT(DATE(YEAR(Invoer!$A$5),1,1)+INT((ROWS(B$2:B616)-1)/3),"jjjjmmdd")</f>
        <v>19450724</v>
      </c>
      <c r="C616" s="20" t="str">
        <f>INDEX(Data,2,2+MOD(ROWS(C$2:C616)-1,3))</f>
        <v>16.00</v>
      </c>
      <c r="D616" s="14" t="str">
        <f t="shared" ca="1" si="28"/>
        <v>—</v>
      </c>
      <c r="E616" s="25">
        <f t="shared" ca="1" si="29"/>
        <v>7</v>
      </c>
    </row>
    <row r="617" spans="1:5" x14ac:dyDescent="0.25">
      <c r="A617" s="8">
        <f t="shared" si="27"/>
        <v>73</v>
      </c>
      <c r="B617" t="str">
        <f ca="1">TEXT(DATE(YEAR(Invoer!$A$5),1,1)+INT((ROWS(B$2:B617)-1)/3),"jjjjmmdd")</f>
        <v>19450725</v>
      </c>
      <c r="C617" s="20" t="str">
        <f>INDEX(Data,2,2+MOD(ROWS(C$2:C617)-1,3))</f>
        <v>08.00</v>
      </c>
      <c r="D617" s="14" t="str">
        <f t="shared" ca="1" si="28"/>
        <v>—</v>
      </c>
      <c r="E617" s="25">
        <f t="shared" ca="1" si="29"/>
        <v>7</v>
      </c>
    </row>
    <row r="618" spans="1:5" x14ac:dyDescent="0.25">
      <c r="A618" s="8">
        <f t="shared" si="27"/>
        <v>73</v>
      </c>
      <c r="B618" t="str">
        <f ca="1">TEXT(DATE(YEAR(Invoer!$A$5),1,1)+INT((ROWS(B$2:B618)-1)/3),"jjjjmmdd")</f>
        <v>19450725</v>
      </c>
      <c r="C618" s="20" t="str">
        <f>INDEX(Data,2,2+MOD(ROWS(C$2:C618)-1,3))</f>
        <v>12.00</v>
      </c>
      <c r="D618" s="14" t="str">
        <f t="shared" ca="1" si="28"/>
        <v>—</v>
      </c>
      <c r="E618" s="25">
        <f t="shared" ca="1" si="29"/>
        <v>7</v>
      </c>
    </row>
    <row r="619" spans="1:5" x14ac:dyDescent="0.25">
      <c r="A619" s="8">
        <f t="shared" si="27"/>
        <v>73</v>
      </c>
      <c r="B619" t="str">
        <f ca="1">TEXT(DATE(YEAR(Invoer!$A$5),1,1)+INT((ROWS(B$2:B619)-1)/3),"jjjjmmdd")</f>
        <v>19450725</v>
      </c>
      <c r="C619" s="20" t="str">
        <f>INDEX(Data,2,2+MOD(ROWS(C$2:C619)-1,3))</f>
        <v>16.00</v>
      </c>
      <c r="D619" s="14" t="str">
        <f t="shared" ca="1" si="28"/>
        <v>—</v>
      </c>
      <c r="E619" s="25">
        <f t="shared" ca="1" si="29"/>
        <v>7</v>
      </c>
    </row>
    <row r="620" spans="1:5" x14ac:dyDescent="0.25">
      <c r="A620" s="8">
        <f t="shared" si="27"/>
        <v>73</v>
      </c>
      <c r="B620" t="str">
        <f ca="1">TEXT(DATE(YEAR(Invoer!$A$5),1,1)+INT((ROWS(B$2:B620)-1)/3),"jjjjmmdd")</f>
        <v>19450726</v>
      </c>
      <c r="C620" s="20" t="str">
        <f>INDEX(Data,2,2+MOD(ROWS(C$2:C620)-1,3))</f>
        <v>08.00</v>
      </c>
      <c r="D620" s="14" t="str">
        <f t="shared" ca="1" si="28"/>
        <v>—</v>
      </c>
      <c r="E620" s="25">
        <f t="shared" ca="1" si="29"/>
        <v>7</v>
      </c>
    </row>
    <row r="621" spans="1:5" x14ac:dyDescent="0.25">
      <c r="A621" s="8">
        <f t="shared" si="27"/>
        <v>73</v>
      </c>
      <c r="B621" t="str">
        <f ca="1">TEXT(DATE(YEAR(Invoer!$A$5),1,1)+INT((ROWS(B$2:B621)-1)/3),"jjjjmmdd")</f>
        <v>19450726</v>
      </c>
      <c r="C621" s="20" t="str">
        <f>INDEX(Data,2,2+MOD(ROWS(C$2:C621)-1,3))</f>
        <v>12.00</v>
      </c>
      <c r="D621" s="14" t="str">
        <f t="shared" ca="1" si="28"/>
        <v>—</v>
      </c>
      <c r="E621" s="25">
        <f t="shared" ca="1" si="29"/>
        <v>7</v>
      </c>
    </row>
    <row r="622" spans="1:5" x14ac:dyDescent="0.25">
      <c r="A622" s="8">
        <f t="shared" si="27"/>
        <v>73</v>
      </c>
      <c r="B622" t="str">
        <f ca="1">TEXT(DATE(YEAR(Invoer!$A$5),1,1)+INT((ROWS(B$2:B622)-1)/3),"jjjjmmdd")</f>
        <v>19450726</v>
      </c>
      <c r="C622" s="20" t="str">
        <f>INDEX(Data,2,2+MOD(ROWS(C$2:C622)-1,3))</f>
        <v>16.00</v>
      </c>
      <c r="D622" s="14" t="str">
        <f t="shared" ca="1" si="28"/>
        <v>—</v>
      </c>
      <c r="E622" s="25">
        <f t="shared" ca="1" si="29"/>
        <v>7</v>
      </c>
    </row>
    <row r="623" spans="1:5" x14ac:dyDescent="0.25">
      <c r="A623" s="8">
        <f t="shared" si="27"/>
        <v>73</v>
      </c>
      <c r="B623" t="str">
        <f ca="1">TEXT(DATE(YEAR(Invoer!$A$5),1,1)+INT((ROWS(B$2:B623)-1)/3),"jjjjmmdd")</f>
        <v>19450727</v>
      </c>
      <c r="C623" s="20" t="str">
        <f>INDEX(Data,2,2+MOD(ROWS(C$2:C623)-1,3))</f>
        <v>08.00</v>
      </c>
      <c r="D623" s="14" t="str">
        <f t="shared" ca="1" si="28"/>
        <v>—</v>
      </c>
      <c r="E623" s="25">
        <f t="shared" ca="1" si="29"/>
        <v>7</v>
      </c>
    </row>
    <row r="624" spans="1:5" x14ac:dyDescent="0.25">
      <c r="A624" s="8">
        <f t="shared" si="27"/>
        <v>73</v>
      </c>
      <c r="B624" t="str">
        <f ca="1">TEXT(DATE(YEAR(Invoer!$A$5),1,1)+INT((ROWS(B$2:B624)-1)/3),"jjjjmmdd")</f>
        <v>19450727</v>
      </c>
      <c r="C624" s="20" t="str">
        <f>INDEX(Data,2,2+MOD(ROWS(C$2:C624)-1,3))</f>
        <v>12.00</v>
      </c>
      <c r="D624" s="14" t="str">
        <f t="shared" ca="1" si="28"/>
        <v>—</v>
      </c>
      <c r="E624" s="25">
        <f t="shared" ca="1" si="29"/>
        <v>7</v>
      </c>
    </row>
    <row r="625" spans="1:5" x14ac:dyDescent="0.25">
      <c r="A625" s="8">
        <f t="shared" si="27"/>
        <v>73</v>
      </c>
      <c r="B625" t="str">
        <f ca="1">TEXT(DATE(YEAR(Invoer!$A$5),1,1)+INT((ROWS(B$2:B625)-1)/3),"jjjjmmdd")</f>
        <v>19450727</v>
      </c>
      <c r="C625" s="20" t="str">
        <f>INDEX(Data,2,2+MOD(ROWS(C$2:C625)-1,3))</f>
        <v>16.00</v>
      </c>
      <c r="D625" s="14" t="str">
        <f t="shared" ca="1" si="28"/>
        <v>—</v>
      </c>
      <c r="E625" s="25">
        <f t="shared" ca="1" si="29"/>
        <v>7</v>
      </c>
    </row>
    <row r="626" spans="1:5" x14ac:dyDescent="0.25">
      <c r="A626" s="8">
        <f t="shared" si="27"/>
        <v>73</v>
      </c>
      <c r="B626" t="str">
        <f ca="1">TEXT(DATE(YEAR(Invoer!$A$5),1,1)+INT((ROWS(B$2:B626)-1)/3),"jjjjmmdd")</f>
        <v>19450728</v>
      </c>
      <c r="C626" s="20" t="str">
        <f>INDEX(Data,2,2+MOD(ROWS(C$2:C626)-1,3))</f>
        <v>08.00</v>
      </c>
      <c r="D626" s="14" t="str">
        <f t="shared" ca="1" si="28"/>
        <v>—</v>
      </c>
      <c r="E626" s="25">
        <f t="shared" ca="1" si="29"/>
        <v>7</v>
      </c>
    </row>
    <row r="627" spans="1:5" x14ac:dyDescent="0.25">
      <c r="A627" s="8">
        <f t="shared" si="27"/>
        <v>73</v>
      </c>
      <c r="B627" t="str">
        <f ca="1">TEXT(DATE(YEAR(Invoer!$A$5),1,1)+INT((ROWS(B$2:B627)-1)/3),"jjjjmmdd")</f>
        <v>19450728</v>
      </c>
      <c r="C627" s="20" t="str">
        <f>INDEX(Data,2,2+MOD(ROWS(C$2:C627)-1,3))</f>
        <v>12.00</v>
      </c>
      <c r="D627" s="14" t="str">
        <f t="shared" ca="1" si="28"/>
        <v>—</v>
      </c>
      <c r="E627" s="25">
        <f t="shared" ca="1" si="29"/>
        <v>7</v>
      </c>
    </row>
    <row r="628" spans="1:5" x14ac:dyDescent="0.25">
      <c r="A628" s="8">
        <f t="shared" si="27"/>
        <v>73</v>
      </c>
      <c r="B628" t="str">
        <f ca="1">TEXT(DATE(YEAR(Invoer!$A$5),1,1)+INT((ROWS(B$2:B628)-1)/3),"jjjjmmdd")</f>
        <v>19450728</v>
      </c>
      <c r="C628" s="20" t="str">
        <f>INDEX(Data,2,2+MOD(ROWS(C$2:C628)-1,3))</f>
        <v>16.00</v>
      </c>
      <c r="D628" s="14" t="str">
        <f t="shared" ca="1" si="28"/>
        <v>—</v>
      </c>
      <c r="E628" s="25">
        <f t="shared" ca="1" si="29"/>
        <v>7</v>
      </c>
    </row>
    <row r="629" spans="1:5" x14ac:dyDescent="0.25">
      <c r="A629" s="8">
        <f t="shared" si="27"/>
        <v>73</v>
      </c>
      <c r="B629" t="str">
        <f ca="1">TEXT(DATE(YEAR(Invoer!$A$5),1,1)+INT((ROWS(B$2:B629)-1)/3),"jjjjmmdd")</f>
        <v>19450729</v>
      </c>
      <c r="C629" s="20" t="str">
        <f>INDEX(Data,2,2+MOD(ROWS(C$2:C629)-1,3))</f>
        <v>08.00</v>
      </c>
      <c r="D629" s="14" t="str">
        <f t="shared" ca="1" si="28"/>
        <v>—</v>
      </c>
      <c r="E629" s="25">
        <f t="shared" ca="1" si="29"/>
        <v>7</v>
      </c>
    </row>
    <row r="630" spans="1:5" x14ac:dyDescent="0.25">
      <c r="A630" s="8">
        <f t="shared" si="27"/>
        <v>73</v>
      </c>
      <c r="B630" t="str">
        <f ca="1">TEXT(DATE(YEAR(Invoer!$A$5),1,1)+INT((ROWS(B$2:B630)-1)/3),"jjjjmmdd")</f>
        <v>19450729</v>
      </c>
      <c r="C630" s="20" t="str">
        <f>INDEX(Data,2,2+MOD(ROWS(C$2:C630)-1,3))</f>
        <v>12.00</v>
      </c>
      <c r="D630" s="14" t="str">
        <f t="shared" ca="1" si="28"/>
        <v>—</v>
      </c>
      <c r="E630" s="25">
        <f t="shared" ca="1" si="29"/>
        <v>7</v>
      </c>
    </row>
    <row r="631" spans="1:5" x14ac:dyDescent="0.25">
      <c r="A631" s="8">
        <f t="shared" si="27"/>
        <v>73</v>
      </c>
      <c r="B631" t="str">
        <f ca="1">TEXT(DATE(YEAR(Invoer!$A$5),1,1)+INT((ROWS(B$2:B631)-1)/3),"jjjjmmdd")</f>
        <v>19450729</v>
      </c>
      <c r="C631" s="20" t="str">
        <f>INDEX(Data,2,2+MOD(ROWS(C$2:C631)-1,3))</f>
        <v>16.00</v>
      </c>
      <c r="D631" s="14" t="str">
        <f t="shared" ca="1" si="28"/>
        <v>—</v>
      </c>
      <c r="E631" s="25">
        <f t="shared" ca="1" si="29"/>
        <v>7</v>
      </c>
    </row>
    <row r="632" spans="1:5" x14ac:dyDescent="0.25">
      <c r="A632" s="8">
        <f t="shared" si="27"/>
        <v>73</v>
      </c>
      <c r="B632" t="str">
        <f ca="1">TEXT(DATE(YEAR(Invoer!$A$5),1,1)+INT((ROWS(B$2:B632)-1)/3),"jjjjmmdd")</f>
        <v>19450730</v>
      </c>
      <c r="C632" s="20" t="str">
        <f>INDEX(Data,2,2+MOD(ROWS(C$2:C632)-1,3))</f>
        <v>08.00</v>
      </c>
      <c r="D632" s="14" t="str">
        <f t="shared" ca="1" si="28"/>
        <v>—</v>
      </c>
      <c r="E632" s="25">
        <f t="shared" ca="1" si="29"/>
        <v>7</v>
      </c>
    </row>
    <row r="633" spans="1:5" x14ac:dyDescent="0.25">
      <c r="A633" s="8">
        <f t="shared" si="27"/>
        <v>73</v>
      </c>
      <c r="B633" t="str">
        <f ca="1">TEXT(DATE(YEAR(Invoer!$A$5),1,1)+INT((ROWS(B$2:B633)-1)/3),"jjjjmmdd")</f>
        <v>19450730</v>
      </c>
      <c r="C633" s="20" t="str">
        <f>INDEX(Data,2,2+MOD(ROWS(C$2:C633)-1,3))</f>
        <v>12.00</v>
      </c>
      <c r="D633" s="14" t="str">
        <f t="shared" ca="1" si="28"/>
        <v>—</v>
      </c>
      <c r="E633" s="25">
        <f t="shared" ca="1" si="29"/>
        <v>7</v>
      </c>
    </row>
    <row r="634" spans="1:5" x14ac:dyDescent="0.25">
      <c r="A634" s="8">
        <f t="shared" si="27"/>
        <v>73</v>
      </c>
      <c r="B634" t="str">
        <f ca="1">TEXT(DATE(YEAR(Invoer!$A$5),1,1)+INT((ROWS(B$2:B634)-1)/3),"jjjjmmdd")</f>
        <v>19450730</v>
      </c>
      <c r="C634" s="20" t="str">
        <f>INDEX(Data,2,2+MOD(ROWS(C$2:C634)-1,3))</f>
        <v>16.00</v>
      </c>
      <c r="D634" s="14" t="str">
        <f t="shared" ca="1" si="28"/>
        <v>—</v>
      </c>
      <c r="E634" s="25">
        <f t="shared" ca="1" si="29"/>
        <v>7</v>
      </c>
    </row>
    <row r="635" spans="1:5" x14ac:dyDescent="0.25">
      <c r="A635" s="8">
        <f t="shared" si="27"/>
        <v>73</v>
      </c>
      <c r="B635" t="str">
        <f ca="1">TEXT(DATE(YEAR(Invoer!$A$5),1,1)+INT((ROWS(B$2:B635)-1)/3),"jjjjmmdd")</f>
        <v>19450731</v>
      </c>
      <c r="C635" s="20" t="str">
        <f>INDEX(Data,2,2+MOD(ROWS(C$2:C635)-1,3))</f>
        <v>08.00</v>
      </c>
      <c r="D635" s="14" t="str">
        <f t="shared" ca="1" si="28"/>
        <v>—</v>
      </c>
      <c r="E635" s="25">
        <f t="shared" ca="1" si="29"/>
        <v>7</v>
      </c>
    </row>
    <row r="636" spans="1:5" x14ac:dyDescent="0.25">
      <c r="A636" s="8">
        <f t="shared" si="27"/>
        <v>73</v>
      </c>
      <c r="B636" t="str">
        <f ca="1">TEXT(DATE(YEAR(Invoer!$A$5),1,1)+INT((ROWS(B$2:B636)-1)/3),"jjjjmmdd")</f>
        <v>19450731</v>
      </c>
      <c r="C636" s="20" t="str">
        <f>INDEX(Data,2,2+MOD(ROWS(C$2:C636)-1,3))</f>
        <v>12.00</v>
      </c>
      <c r="D636" s="14" t="str">
        <f t="shared" ca="1" si="28"/>
        <v>—</v>
      </c>
      <c r="E636" s="25">
        <f t="shared" ca="1" si="29"/>
        <v>7</v>
      </c>
    </row>
    <row r="637" spans="1:5" x14ac:dyDescent="0.25">
      <c r="A637" s="8">
        <f t="shared" si="27"/>
        <v>73</v>
      </c>
      <c r="B637" t="str">
        <f ca="1">TEXT(DATE(YEAR(Invoer!$A$5),1,1)+INT((ROWS(B$2:B637)-1)/3),"jjjjmmdd")</f>
        <v>19450731</v>
      </c>
      <c r="C637" s="20" t="str">
        <f>INDEX(Data,2,2+MOD(ROWS(C$2:C637)-1,3))</f>
        <v>16.00</v>
      </c>
      <c r="D637" s="14" t="str">
        <f t="shared" ca="1" si="28"/>
        <v>—</v>
      </c>
      <c r="E637" s="25">
        <f t="shared" ca="1" si="29"/>
        <v>7</v>
      </c>
    </row>
    <row r="638" spans="1:5" x14ac:dyDescent="0.25">
      <c r="A638" s="8">
        <f t="shared" si="27"/>
        <v>73</v>
      </c>
      <c r="B638" t="str">
        <f ca="1">TEXT(DATE(YEAR(Invoer!$A$5),1,1)+INT((ROWS(B$2:B638)-1)/3),"jjjjmmdd")</f>
        <v>19450801</v>
      </c>
      <c r="C638" s="20" t="str">
        <f>INDEX(Data,2,2+MOD(ROWS(C$2:C638)-1,3))</f>
        <v>08.00</v>
      </c>
      <c r="D638" s="14" t="str">
        <f t="shared" ca="1" si="28"/>
        <v>—</v>
      </c>
      <c r="E638" s="25">
        <f t="shared" ca="1" si="29"/>
        <v>7</v>
      </c>
    </row>
    <row r="639" spans="1:5" x14ac:dyDescent="0.25">
      <c r="A639" s="8">
        <f t="shared" si="27"/>
        <v>73</v>
      </c>
      <c r="B639" t="str">
        <f ca="1">TEXT(DATE(YEAR(Invoer!$A$5),1,1)+INT((ROWS(B$2:B639)-1)/3),"jjjjmmdd")</f>
        <v>19450801</v>
      </c>
      <c r="C639" s="20" t="str">
        <f>INDEX(Data,2,2+MOD(ROWS(C$2:C639)-1,3))</f>
        <v>12.00</v>
      </c>
      <c r="D639" s="14" t="str">
        <f t="shared" ca="1" si="28"/>
        <v>—</v>
      </c>
      <c r="E639" s="25">
        <f t="shared" ca="1" si="29"/>
        <v>7</v>
      </c>
    </row>
    <row r="640" spans="1:5" x14ac:dyDescent="0.25">
      <c r="A640" s="8">
        <f t="shared" si="27"/>
        <v>73</v>
      </c>
      <c r="B640" t="str">
        <f ca="1">TEXT(DATE(YEAR(Invoer!$A$5),1,1)+INT((ROWS(B$2:B640)-1)/3),"jjjjmmdd")</f>
        <v>19450801</v>
      </c>
      <c r="C640" s="20" t="str">
        <f>INDEX(Data,2,2+MOD(ROWS(C$2:C640)-1,3))</f>
        <v>16.00</v>
      </c>
      <c r="D640" s="14" t="str">
        <f t="shared" ca="1" si="28"/>
        <v>—</v>
      </c>
      <c r="E640" s="25">
        <f t="shared" ca="1" si="29"/>
        <v>7</v>
      </c>
    </row>
    <row r="641" spans="1:5" x14ac:dyDescent="0.25">
      <c r="A641" s="8">
        <f t="shared" si="27"/>
        <v>73</v>
      </c>
      <c r="B641" t="str">
        <f ca="1">TEXT(DATE(YEAR(Invoer!$A$5),1,1)+INT((ROWS(B$2:B641)-1)/3),"jjjjmmdd")</f>
        <v>19450802</v>
      </c>
      <c r="C641" s="20" t="str">
        <f>INDEX(Data,2,2+MOD(ROWS(C$2:C641)-1,3))</f>
        <v>08.00</v>
      </c>
      <c r="D641" s="14" t="str">
        <f t="shared" ca="1" si="28"/>
        <v>—</v>
      </c>
      <c r="E641" s="25">
        <f t="shared" ca="1" si="29"/>
        <v>7</v>
      </c>
    </row>
    <row r="642" spans="1:5" x14ac:dyDescent="0.25">
      <c r="A642" s="8">
        <f t="shared" ref="A642:A705" si="30">INDEX(Stations,2,1)</f>
        <v>73</v>
      </c>
      <c r="B642" t="str">
        <f ca="1">TEXT(DATE(YEAR(Invoer!$A$5),1,1)+INT((ROWS(B$2:B642)-1)/3),"jjjjmmdd")</f>
        <v>19450802</v>
      </c>
      <c r="C642" s="20" t="str">
        <f>INDEX(Data,2,2+MOD(ROWS(C$2:C642)-1,3))</f>
        <v>12.00</v>
      </c>
      <c r="D642" s="14" t="str">
        <f t="shared" ref="D642:D705" ca="1" si="31">IF(OR(ISBLANK(VLOOKUP(DATEVALUE(LEFT($B642,4)&amp;"-"&amp;MID($B642,5,2)&amp;"-"&amp;RIGHT($B642,2)),Data,MATCH(LEFT(VLOOKUP(D$1,Parameters,2,FALSE()),4)&amp;"*",OFFSET(Data,0,0,1),0)+MATCH($C642,OFFSET(Data,1,0,1),0)-2,FALSE())),ISTEXT(VLOOKUP(DATEVALUE(LEFT($B642,4)&amp;"-"&amp;MID($B642,5,2)&amp;"-"&amp;RIGHT($B642,2)),Data,MATCH(LEFT(VLOOKUP(D$1,Parameters,2,FALSE()),4)&amp;"*",OFFSET(Data,0,0,1),0)+MATCH($C642,OFFSET(Data,1,0,1),0)-2,FALSE()))),"—",VLOOKUP(DATEVALUE(LEFT($B642,4)&amp;"-"&amp;MID($B642,5,2)&amp;"-"&amp;RIGHT($B642,2)),Data,MATCH(LEFT(VLOOKUP(D$1,Parameters,2,FALSE()),4)&amp;"*",OFFSET(Data,0,0,1),0)+MATCH($C642,OFFSET(Data,1,0,1),0)-2,FALSE()))</f>
        <v>—</v>
      </c>
      <c r="E642" s="25">
        <f t="shared" ref="E642:E705" ca="1" si="32">IF(OR(ISBLANK(VLOOKUP(DATEVALUE(LEFT($B642,4)&amp;"-"&amp;MID($B642,5,2)&amp;"-"&amp;RIGHT($B642,2)),Data,MATCH(LEFT(VLOOKUP(MID(E$1,2,LEN(E$1)-1),Parameters,2,FALSE()),4)&amp;"*",OFFSET(Data,0,0,1),0)+MATCH($C642,OFFSET(Data,1,0,1),0)-2,FALSE())),ISTEXT(VLOOKUP(DATEVALUE(LEFT($B642,4)&amp;"-"&amp;MID($B642,5,2)&amp;"-"&amp;RIGHT($B642,2)),Data,MATCH(LEFT(VLOOKUP(MID(E$1,2,LEN(E$1)-1),Parameters,2,FALSE()),4)&amp;"*",OFFSET(Data,0,0,1),0)+MATCH($C642,OFFSET(Data,1,0,1),0)-2,FALSE()))),Lacking,IF(ISNA(MATCH(DATEVALUE(LEFT($B642,4)&amp;"-"&amp;MID($B642,5,2)&amp;"-"&amp;RIGHT($B642,2)),OFFSET(Catalogus,0,0,,1),0)),Ok,VLOOKUP(DATEVALUE(LEFT($B642,4)&amp;"-"&amp;MID($B642,5,2)&amp;"-"&amp;RIGHT($B642,2)),Catalogus,MATCH(LEFT(VLOOKUP(MID(E$1,2,LEN(E$1)-1),Parameters,2,FALSE()),4)&amp;"*",OFFSET(Catalogus,0,0,1),0)+MATCH($C642,OFFSET(Catalogus,1,0,1),0)-2,FALSE())))</f>
        <v>7</v>
      </c>
    </row>
    <row r="643" spans="1:5" x14ac:dyDescent="0.25">
      <c r="A643" s="8">
        <f t="shared" si="30"/>
        <v>73</v>
      </c>
      <c r="B643" t="str">
        <f ca="1">TEXT(DATE(YEAR(Invoer!$A$5),1,1)+INT((ROWS(B$2:B643)-1)/3),"jjjjmmdd")</f>
        <v>19450802</v>
      </c>
      <c r="C643" s="20" t="str">
        <f>INDEX(Data,2,2+MOD(ROWS(C$2:C643)-1,3))</f>
        <v>16.00</v>
      </c>
      <c r="D643" s="14" t="str">
        <f t="shared" ca="1" si="31"/>
        <v>—</v>
      </c>
      <c r="E643" s="25">
        <f t="shared" ca="1" si="32"/>
        <v>7</v>
      </c>
    </row>
    <row r="644" spans="1:5" x14ac:dyDescent="0.25">
      <c r="A644" s="8">
        <f t="shared" si="30"/>
        <v>73</v>
      </c>
      <c r="B644" t="str">
        <f ca="1">TEXT(DATE(YEAR(Invoer!$A$5),1,1)+INT((ROWS(B$2:B644)-1)/3),"jjjjmmdd")</f>
        <v>19450803</v>
      </c>
      <c r="C644" s="20" t="str">
        <f>INDEX(Data,2,2+MOD(ROWS(C$2:C644)-1,3))</f>
        <v>08.00</v>
      </c>
      <c r="D644" s="14" t="str">
        <f t="shared" ca="1" si="31"/>
        <v>—</v>
      </c>
      <c r="E644" s="25">
        <f t="shared" ca="1" si="32"/>
        <v>7</v>
      </c>
    </row>
    <row r="645" spans="1:5" x14ac:dyDescent="0.25">
      <c r="A645" s="8">
        <f t="shared" si="30"/>
        <v>73</v>
      </c>
      <c r="B645" t="str">
        <f ca="1">TEXT(DATE(YEAR(Invoer!$A$5),1,1)+INT((ROWS(B$2:B645)-1)/3),"jjjjmmdd")</f>
        <v>19450803</v>
      </c>
      <c r="C645" s="20" t="str">
        <f>INDEX(Data,2,2+MOD(ROWS(C$2:C645)-1,3))</f>
        <v>12.00</v>
      </c>
      <c r="D645" s="14" t="str">
        <f t="shared" ca="1" si="31"/>
        <v>—</v>
      </c>
      <c r="E645" s="25">
        <f t="shared" ca="1" si="32"/>
        <v>7</v>
      </c>
    </row>
    <row r="646" spans="1:5" x14ac:dyDescent="0.25">
      <c r="A646" s="8">
        <f t="shared" si="30"/>
        <v>73</v>
      </c>
      <c r="B646" t="str">
        <f ca="1">TEXT(DATE(YEAR(Invoer!$A$5),1,1)+INT((ROWS(B$2:B646)-1)/3),"jjjjmmdd")</f>
        <v>19450803</v>
      </c>
      <c r="C646" s="20" t="str">
        <f>INDEX(Data,2,2+MOD(ROWS(C$2:C646)-1,3))</f>
        <v>16.00</v>
      </c>
      <c r="D646" s="14" t="str">
        <f t="shared" ca="1" si="31"/>
        <v>—</v>
      </c>
      <c r="E646" s="25">
        <f t="shared" ca="1" si="32"/>
        <v>7</v>
      </c>
    </row>
    <row r="647" spans="1:5" x14ac:dyDescent="0.25">
      <c r="A647" s="8">
        <f t="shared" si="30"/>
        <v>73</v>
      </c>
      <c r="B647" t="str">
        <f ca="1">TEXT(DATE(YEAR(Invoer!$A$5),1,1)+INT((ROWS(B$2:B647)-1)/3),"jjjjmmdd")</f>
        <v>19450804</v>
      </c>
      <c r="C647" s="20" t="str">
        <f>INDEX(Data,2,2+MOD(ROWS(C$2:C647)-1,3))</f>
        <v>08.00</v>
      </c>
      <c r="D647" s="14" t="str">
        <f t="shared" ca="1" si="31"/>
        <v>—</v>
      </c>
      <c r="E647" s="25">
        <f t="shared" ca="1" si="32"/>
        <v>7</v>
      </c>
    </row>
    <row r="648" spans="1:5" x14ac:dyDescent="0.25">
      <c r="A648" s="8">
        <f t="shared" si="30"/>
        <v>73</v>
      </c>
      <c r="B648" t="str">
        <f ca="1">TEXT(DATE(YEAR(Invoer!$A$5),1,1)+INT((ROWS(B$2:B648)-1)/3),"jjjjmmdd")</f>
        <v>19450804</v>
      </c>
      <c r="C648" s="20" t="str">
        <f>INDEX(Data,2,2+MOD(ROWS(C$2:C648)-1,3))</f>
        <v>12.00</v>
      </c>
      <c r="D648" s="14" t="str">
        <f t="shared" ca="1" si="31"/>
        <v>—</v>
      </c>
      <c r="E648" s="25">
        <f t="shared" ca="1" si="32"/>
        <v>7</v>
      </c>
    </row>
    <row r="649" spans="1:5" x14ac:dyDescent="0.25">
      <c r="A649" s="8">
        <f t="shared" si="30"/>
        <v>73</v>
      </c>
      <c r="B649" t="str">
        <f ca="1">TEXT(DATE(YEAR(Invoer!$A$5),1,1)+INT((ROWS(B$2:B649)-1)/3),"jjjjmmdd")</f>
        <v>19450804</v>
      </c>
      <c r="C649" s="20" t="str">
        <f>INDEX(Data,2,2+MOD(ROWS(C$2:C649)-1,3))</f>
        <v>16.00</v>
      </c>
      <c r="D649" s="14" t="str">
        <f t="shared" ca="1" si="31"/>
        <v>—</v>
      </c>
      <c r="E649" s="25">
        <f t="shared" ca="1" si="32"/>
        <v>7</v>
      </c>
    </row>
    <row r="650" spans="1:5" x14ac:dyDescent="0.25">
      <c r="A650" s="8">
        <f t="shared" si="30"/>
        <v>73</v>
      </c>
      <c r="B650" t="str">
        <f ca="1">TEXT(DATE(YEAR(Invoer!$A$5),1,1)+INT((ROWS(B$2:B650)-1)/3),"jjjjmmdd")</f>
        <v>19450805</v>
      </c>
      <c r="C650" s="20" t="str">
        <f>INDEX(Data,2,2+MOD(ROWS(C$2:C650)-1,3))</f>
        <v>08.00</v>
      </c>
      <c r="D650" s="14" t="str">
        <f t="shared" ca="1" si="31"/>
        <v>—</v>
      </c>
      <c r="E650" s="25">
        <f t="shared" ca="1" si="32"/>
        <v>7</v>
      </c>
    </row>
    <row r="651" spans="1:5" x14ac:dyDescent="0.25">
      <c r="A651" s="8">
        <f t="shared" si="30"/>
        <v>73</v>
      </c>
      <c r="B651" t="str">
        <f ca="1">TEXT(DATE(YEAR(Invoer!$A$5),1,1)+INT((ROWS(B$2:B651)-1)/3),"jjjjmmdd")</f>
        <v>19450805</v>
      </c>
      <c r="C651" s="20" t="str">
        <f>INDEX(Data,2,2+MOD(ROWS(C$2:C651)-1,3))</f>
        <v>12.00</v>
      </c>
      <c r="D651" s="14" t="str">
        <f t="shared" ca="1" si="31"/>
        <v>—</v>
      </c>
      <c r="E651" s="25">
        <f t="shared" ca="1" si="32"/>
        <v>7</v>
      </c>
    </row>
    <row r="652" spans="1:5" x14ac:dyDescent="0.25">
      <c r="A652" s="8">
        <f t="shared" si="30"/>
        <v>73</v>
      </c>
      <c r="B652" t="str">
        <f ca="1">TEXT(DATE(YEAR(Invoer!$A$5),1,1)+INT((ROWS(B$2:B652)-1)/3),"jjjjmmdd")</f>
        <v>19450805</v>
      </c>
      <c r="C652" s="20" t="str">
        <f>INDEX(Data,2,2+MOD(ROWS(C$2:C652)-1,3))</f>
        <v>16.00</v>
      </c>
      <c r="D652" s="14" t="str">
        <f t="shared" ca="1" si="31"/>
        <v>—</v>
      </c>
      <c r="E652" s="25">
        <f t="shared" ca="1" si="32"/>
        <v>7</v>
      </c>
    </row>
    <row r="653" spans="1:5" x14ac:dyDescent="0.25">
      <c r="A653" s="8">
        <f t="shared" si="30"/>
        <v>73</v>
      </c>
      <c r="B653" t="str">
        <f ca="1">TEXT(DATE(YEAR(Invoer!$A$5),1,1)+INT((ROWS(B$2:B653)-1)/3),"jjjjmmdd")</f>
        <v>19450806</v>
      </c>
      <c r="C653" s="20" t="str">
        <f>INDEX(Data,2,2+MOD(ROWS(C$2:C653)-1,3))</f>
        <v>08.00</v>
      </c>
      <c r="D653" s="14" t="str">
        <f t="shared" ca="1" si="31"/>
        <v>—</v>
      </c>
      <c r="E653" s="25">
        <f t="shared" ca="1" si="32"/>
        <v>7</v>
      </c>
    </row>
    <row r="654" spans="1:5" x14ac:dyDescent="0.25">
      <c r="A654" s="8">
        <f t="shared" si="30"/>
        <v>73</v>
      </c>
      <c r="B654" t="str">
        <f ca="1">TEXT(DATE(YEAR(Invoer!$A$5),1,1)+INT((ROWS(B$2:B654)-1)/3),"jjjjmmdd")</f>
        <v>19450806</v>
      </c>
      <c r="C654" s="20" t="str">
        <f>INDEX(Data,2,2+MOD(ROWS(C$2:C654)-1,3))</f>
        <v>12.00</v>
      </c>
      <c r="D654" s="14" t="str">
        <f t="shared" ca="1" si="31"/>
        <v>—</v>
      </c>
      <c r="E654" s="25">
        <f t="shared" ca="1" si="32"/>
        <v>7</v>
      </c>
    </row>
    <row r="655" spans="1:5" x14ac:dyDescent="0.25">
      <c r="A655" s="8">
        <f t="shared" si="30"/>
        <v>73</v>
      </c>
      <c r="B655" t="str">
        <f ca="1">TEXT(DATE(YEAR(Invoer!$A$5),1,1)+INT((ROWS(B$2:B655)-1)/3),"jjjjmmdd")</f>
        <v>19450806</v>
      </c>
      <c r="C655" s="20" t="str">
        <f>INDEX(Data,2,2+MOD(ROWS(C$2:C655)-1,3))</f>
        <v>16.00</v>
      </c>
      <c r="D655" s="14" t="str">
        <f t="shared" ca="1" si="31"/>
        <v>—</v>
      </c>
      <c r="E655" s="25">
        <f t="shared" ca="1" si="32"/>
        <v>7</v>
      </c>
    </row>
    <row r="656" spans="1:5" x14ac:dyDescent="0.25">
      <c r="A656" s="8">
        <f t="shared" si="30"/>
        <v>73</v>
      </c>
      <c r="B656" t="str">
        <f ca="1">TEXT(DATE(YEAR(Invoer!$A$5),1,1)+INT((ROWS(B$2:B656)-1)/3),"jjjjmmdd")</f>
        <v>19450807</v>
      </c>
      <c r="C656" s="20" t="str">
        <f>INDEX(Data,2,2+MOD(ROWS(C$2:C656)-1,3))</f>
        <v>08.00</v>
      </c>
      <c r="D656" s="14" t="str">
        <f t="shared" ca="1" si="31"/>
        <v>—</v>
      </c>
      <c r="E656" s="25">
        <f t="shared" ca="1" si="32"/>
        <v>7</v>
      </c>
    </row>
    <row r="657" spans="1:5" x14ac:dyDescent="0.25">
      <c r="A657" s="8">
        <f t="shared" si="30"/>
        <v>73</v>
      </c>
      <c r="B657" t="str">
        <f ca="1">TEXT(DATE(YEAR(Invoer!$A$5),1,1)+INT((ROWS(B$2:B657)-1)/3),"jjjjmmdd")</f>
        <v>19450807</v>
      </c>
      <c r="C657" s="20" t="str">
        <f>INDEX(Data,2,2+MOD(ROWS(C$2:C657)-1,3))</f>
        <v>12.00</v>
      </c>
      <c r="D657" s="14" t="str">
        <f t="shared" ca="1" si="31"/>
        <v>—</v>
      </c>
      <c r="E657" s="25">
        <f t="shared" ca="1" si="32"/>
        <v>7</v>
      </c>
    </row>
    <row r="658" spans="1:5" x14ac:dyDescent="0.25">
      <c r="A658" s="8">
        <f t="shared" si="30"/>
        <v>73</v>
      </c>
      <c r="B658" t="str">
        <f ca="1">TEXT(DATE(YEAR(Invoer!$A$5),1,1)+INT((ROWS(B$2:B658)-1)/3),"jjjjmmdd")</f>
        <v>19450807</v>
      </c>
      <c r="C658" s="20" t="str">
        <f>INDEX(Data,2,2+MOD(ROWS(C$2:C658)-1,3))</f>
        <v>16.00</v>
      </c>
      <c r="D658" s="14" t="str">
        <f t="shared" ca="1" si="31"/>
        <v>—</v>
      </c>
      <c r="E658" s="25">
        <f t="shared" ca="1" si="32"/>
        <v>7</v>
      </c>
    </row>
    <row r="659" spans="1:5" x14ac:dyDescent="0.25">
      <c r="A659" s="8">
        <f t="shared" si="30"/>
        <v>73</v>
      </c>
      <c r="B659" t="str">
        <f ca="1">TEXT(DATE(YEAR(Invoer!$A$5),1,1)+INT((ROWS(B$2:B659)-1)/3),"jjjjmmdd")</f>
        <v>19450808</v>
      </c>
      <c r="C659" s="20" t="str">
        <f>INDEX(Data,2,2+MOD(ROWS(C$2:C659)-1,3))</f>
        <v>08.00</v>
      </c>
      <c r="D659" s="14" t="str">
        <f t="shared" ca="1" si="31"/>
        <v>—</v>
      </c>
      <c r="E659" s="25">
        <f t="shared" ca="1" si="32"/>
        <v>7</v>
      </c>
    </row>
    <row r="660" spans="1:5" x14ac:dyDescent="0.25">
      <c r="A660" s="8">
        <f t="shared" si="30"/>
        <v>73</v>
      </c>
      <c r="B660" t="str">
        <f ca="1">TEXT(DATE(YEAR(Invoer!$A$5),1,1)+INT((ROWS(B$2:B660)-1)/3),"jjjjmmdd")</f>
        <v>19450808</v>
      </c>
      <c r="C660" s="20" t="str">
        <f>INDEX(Data,2,2+MOD(ROWS(C$2:C660)-1,3))</f>
        <v>12.00</v>
      </c>
      <c r="D660" s="14" t="str">
        <f t="shared" ca="1" si="31"/>
        <v>—</v>
      </c>
      <c r="E660" s="25">
        <f t="shared" ca="1" si="32"/>
        <v>7</v>
      </c>
    </row>
    <row r="661" spans="1:5" x14ac:dyDescent="0.25">
      <c r="A661" s="8">
        <f t="shared" si="30"/>
        <v>73</v>
      </c>
      <c r="B661" t="str">
        <f ca="1">TEXT(DATE(YEAR(Invoer!$A$5),1,1)+INT((ROWS(B$2:B661)-1)/3),"jjjjmmdd")</f>
        <v>19450808</v>
      </c>
      <c r="C661" s="20" t="str">
        <f>INDEX(Data,2,2+MOD(ROWS(C$2:C661)-1,3))</f>
        <v>16.00</v>
      </c>
      <c r="D661" s="14" t="str">
        <f t="shared" ca="1" si="31"/>
        <v>—</v>
      </c>
      <c r="E661" s="25">
        <f t="shared" ca="1" si="32"/>
        <v>7</v>
      </c>
    </row>
    <row r="662" spans="1:5" x14ac:dyDescent="0.25">
      <c r="A662" s="8">
        <f t="shared" si="30"/>
        <v>73</v>
      </c>
      <c r="B662" t="str">
        <f ca="1">TEXT(DATE(YEAR(Invoer!$A$5),1,1)+INT((ROWS(B$2:B662)-1)/3),"jjjjmmdd")</f>
        <v>19450809</v>
      </c>
      <c r="C662" s="20" t="str">
        <f>INDEX(Data,2,2+MOD(ROWS(C$2:C662)-1,3))</f>
        <v>08.00</v>
      </c>
      <c r="D662" s="14" t="str">
        <f t="shared" ca="1" si="31"/>
        <v>—</v>
      </c>
      <c r="E662" s="25">
        <f t="shared" ca="1" si="32"/>
        <v>7</v>
      </c>
    </row>
    <row r="663" spans="1:5" x14ac:dyDescent="0.25">
      <c r="A663" s="8">
        <f t="shared" si="30"/>
        <v>73</v>
      </c>
      <c r="B663" t="str">
        <f ca="1">TEXT(DATE(YEAR(Invoer!$A$5),1,1)+INT((ROWS(B$2:B663)-1)/3),"jjjjmmdd")</f>
        <v>19450809</v>
      </c>
      <c r="C663" s="20" t="str">
        <f>INDEX(Data,2,2+MOD(ROWS(C$2:C663)-1,3))</f>
        <v>12.00</v>
      </c>
      <c r="D663" s="14" t="str">
        <f t="shared" ca="1" si="31"/>
        <v>—</v>
      </c>
      <c r="E663" s="25">
        <f t="shared" ca="1" si="32"/>
        <v>7</v>
      </c>
    </row>
    <row r="664" spans="1:5" x14ac:dyDescent="0.25">
      <c r="A664" s="8">
        <f t="shared" si="30"/>
        <v>73</v>
      </c>
      <c r="B664" t="str">
        <f ca="1">TEXT(DATE(YEAR(Invoer!$A$5),1,1)+INT((ROWS(B$2:B664)-1)/3),"jjjjmmdd")</f>
        <v>19450809</v>
      </c>
      <c r="C664" s="20" t="str">
        <f>INDEX(Data,2,2+MOD(ROWS(C$2:C664)-1,3))</f>
        <v>16.00</v>
      </c>
      <c r="D664" s="14" t="str">
        <f t="shared" ca="1" si="31"/>
        <v>—</v>
      </c>
      <c r="E664" s="25">
        <f t="shared" ca="1" si="32"/>
        <v>7</v>
      </c>
    </row>
    <row r="665" spans="1:5" x14ac:dyDescent="0.25">
      <c r="A665" s="8">
        <f t="shared" si="30"/>
        <v>73</v>
      </c>
      <c r="B665" t="str">
        <f ca="1">TEXT(DATE(YEAR(Invoer!$A$5),1,1)+INT((ROWS(B$2:B665)-1)/3),"jjjjmmdd")</f>
        <v>19450810</v>
      </c>
      <c r="C665" s="20" t="str">
        <f>INDEX(Data,2,2+MOD(ROWS(C$2:C665)-1,3))</f>
        <v>08.00</v>
      </c>
      <c r="D665" s="14" t="str">
        <f t="shared" ca="1" si="31"/>
        <v>—</v>
      </c>
      <c r="E665" s="25">
        <f t="shared" ca="1" si="32"/>
        <v>7</v>
      </c>
    </row>
    <row r="666" spans="1:5" x14ac:dyDescent="0.25">
      <c r="A666" s="8">
        <f t="shared" si="30"/>
        <v>73</v>
      </c>
      <c r="B666" t="str">
        <f ca="1">TEXT(DATE(YEAR(Invoer!$A$5),1,1)+INT((ROWS(B$2:B666)-1)/3),"jjjjmmdd")</f>
        <v>19450810</v>
      </c>
      <c r="C666" s="20" t="str">
        <f>INDEX(Data,2,2+MOD(ROWS(C$2:C666)-1,3))</f>
        <v>12.00</v>
      </c>
      <c r="D666" s="14" t="str">
        <f t="shared" ca="1" si="31"/>
        <v>—</v>
      </c>
      <c r="E666" s="25">
        <f t="shared" ca="1" si="32"/>
        <v>7</v>
      </c>
    </row>
    <row r="667" spans="1:5" x14ac:dyDescent="0.25">
      <c r="A667" s="8">
        <f t="shared" si="30"/>
        <v>73</v>
      </c>
      <c r="B667" t="str">
        <f ca="1">TEXT(DATE(YEAR(Invoer!$A$5),1,1)+INT((ROWS(B$2:B667)-1)/3),"jjjjmmdd")</f>
        <v>19450810</v>
      </c>
      <c r="C667" s="20" t="str">
        <f>INDEX(Data,2,2+MOD(ROWS(C$2:C667)-1,3))</f>
        <v>16.00</v>
      </c>
      <c r="D667" s="14" t="str">
        <f t="shared" ca="1" si="31"/>
        <v>—</v>
      </c>
      <c r="E667" s="25">
        <f t="shared" ca="1" si="32"/>
        <v>7</v>
      </c>
    </row>
    <row r="668" spans="1:5" x14ac:dyDescent="0.25">
      <c r="A668" s="8">
        <f t="shared" si="30"/>
        <v>73</v>
      </c>
      <c r="B668" t="str">
        <f ca="1">TEXT(DATE(YEAR(Invoer!$A$5),1,1)+INT((ROWS(B$2:B668)-1)/3),"jjjjmmdd")</f>
        <v>19450811</v>
      </c>
      <c r="C668" s="20" t="str">
        <f>INDEX(Data,2,2+MOD(ROWS(C$2:C668)-1,3))</f>
        <v>08.00</v>
      </c>
      <c r="D668" s="14" t="str">
        <f t="shared" ca="1" si="31"/>
        <v>—</v>
      </c>
      <c r="E668" s="25">
        <f t="shared" ca="1" si="32"/>
        <v>7</v>
      </c>
    </row>
    <row r="669" spans="1:5" x14ac:dyDescent="0.25">
      <c r="A669" s="8">
        <f t="shared" si="30"/>
        <v>73</v>
      </c>
      <c r="B669" t="str">
        <f ca="1">TEXT(DATE(YEAR(Invoer!$A$5),1,1)+INT((ROWS(B$2:B669)-1)/3),"jjjjmmdd")</f>
        <v>19450811</v>
      </c>
      <c r="C669" s="20" t="str">
        <f>INDEX(Data,2,2+MOD(ROWS(C$2:C669)-1,3))</f>
        <v>12.00</v>
      </c>
      <c r="D669" s="14" t="str">
        <f t="shared" ca="1" si="31"/>
        <v>—</v>
      </c>
      <c r="E669" s="25">
        <f t="shared" ca="1" si="32"/>
        <v>7</v>
      </c>
    </row>
    <row r="670" spans="1:5" x14ac:dyDescent="0.25">
      <c r="A670" s="8">
        <f t="shared" si="30"/>
        <v>73</v>
      </c>
      <c r="B670" t="str">
        <f ca="1">TEXT(DATE(YEAR(Invoer!$A$5),1,1)+INT((ROWS(B$2:B670)-1)/3),"jjjjmmdd")</f>
        <v>19450811</v>
      </c>
      <c r="C670" s="20" t="str">
        <f>INDEX(Data,2,2+MOD(ROWS(C$2:C670)-1,3))</f>
        <v>16.00</v>
      </c>
      <c r="D670" s="14" t="str">
        <f t="shared" ca="1" si="31"/>
        <v>—</v>
      </c>
      <c r="E670" s="25">
        <f t="shared" ca="1" si="32"/>
        <v>7</v>
      </c>
    </row>
    <row r="671" spans="1:5" x14ac:dyDescent="0.25">
      <c r="A671" s="8">
        <f t="shared" si="30"/>
        <v>73</v>
      </c>
      <c r="B671" t="str">
        <f ca="1">TEXT(DATE(YEAR(Invoer!$A$5),1,1)+INT((ROWS(B$2:B671)-1)/3),"jjjjmmdd")</f>
        <v>19450812</v>
      </c>
      <c r="C671" s="20" t="str">
        <f>INDEX(Data,2,2+MOD(ROWS(C$2:C671)-1,3))</f>
        <v>08.00</v>
      </c>
      <c r="D671" s="14" t="str">
        <f t="shared" ca="1" si="31"/>
        <v>—</v>
      </c>
      <c r="E671" s="25">
        <f t="shared" ca="1" si="32"/>
        <v>7</v>
      </c>
    </row>
    <row r="672" spans="1:5" x14ac:dyDescent="0.25">
      <c r="A672" s="8">
        <f t="shared" si="30"/>
        <v>73</v>
      </c>
      <c r="B672" t="str">
        <f ca="1">TEXT(DATE(YEAR(Invoer!$A$5),1,1)+INT((ROWS(B$2:B672)-1)/3),"jjjjmmdd")</f>
        <v>19450812</v>
      </c>
      <c r="C672" s="20" t="str">
        <f>INDEX(Data,2,2+MOD(ROWS(C$2:C672)-1,3))</f>
        <v>12.00</v>
      </c>
      <c r="D672" s="14" t="str">
        <f t="shared" ca="1" si="31"/>
        <v>—</v>
      </c>
      <c r="E672" s="25">
        <f t="shared" ca="1" si="32"/>
        <v>7</v>
      </c>
    </row>
    <row r="673" spans="1:5" x14ac:dyDescent="0.25">
      <c r="A673" s="8">
        <f t="shared" si="30"/>
        <v>73</v>
      </c>
      <c r="B673" t="str">
        <f ca="1">TEXT(DATE(YEAR(Invoer!$A$5),1,1)+INT((ROWS(B$2:B673)-1)/3),"jjjjmmdd")</f>
        <v>19450812</v>
      </c>
      <c r="C673" s="20" t="str">
        <f>INDEX(Data,2,2+MOD(ROWS(C$2:C673)-1,3))</f>
        <v>16.00</v>
      </c>
      <c r="D673" s="14" t="str">
        <f t="shared" ca="1" si="31"/>
        <v>—</v>
      </c>
      <c r="E673" s="25">
        <f t="shared" ca="1" si="32"/>
        <v>7</v>
      </c>
    </row>
    <row r="674" spans="1:5" x14ac:dyDescent="0.25">
      <c r="A674" s="8">
        <f t="shared" si="30"/>
        <v>73</v>
      </c>
      <c r="B674" t="str">
        <f ca="1">TEXT(DATE(YEAR(Invoer!$A$5),1,1)+INT((ROWS(B$2:B674)-1)/3),"jjjjmmdd")</f>
        <v>19450813</v>
      </c>
      <c r="C674" s="20" t="str">
        <f>INDEX(Data,2,2+MOD(ROWS(C$2:C674)-1,3))</f>
        <v>08.00</v>
      </c>
      <c r="D674" s="14" t="str">
        <f t="shared" ca="1" si="31"/>
        <v>—</v>
      </c>
      <c r="E674" s="25">
        <f t="shared" ca="1" si="32"/>
        <v>7</v>
      </c>
    </row>
    <row r="675" spans="1:5" x14ac:dyDescent="0.25">
      <c r="A675" s="8">
        <f t="shared" si="30"/>
        <v>73</v>
      </c>
      <c r="B675" t="str">
        <f ca="1">TEXT(DATE(YEAR(Invoer!$A$5),1,1)+INT((ROWS(B$2:B675)-1)/3),"jjjjmmdd")</f>
        <v>19450813</v>
      </c>
      <c r="C675" s="20" t="str">
        <f>INDEX(Data,2,2+MOD(ROWS(C$2:C675)-1,3))</f>
        <v>12.00</v>
      </c>
      <c r="D675" s="14" t="str">
        <f t="shared" ca="1" si="31"/>
        <v>—</v>
      </c>
      <c r="E675" s="25">
        <f t="shared" ca="1" si="32"/>
        <v>7</v>
      </c>
    </row>
    <row r="676" spans="1:5" x14ac:dyDescent="0.25">
      <c r="A676" s="8">
        <f t="shared" si="30"/>
        <v>73</v>
      </c>
      <c r="B676" t="str">
        <f ca="1">TEXT(DATE(YEAR(Invoer!$A$5),1,1)+INT((ROWS(B$2:B676)-1)/3),"jjjjmmdd")</f>
        <v>19450813</v>
      </c>
      <c r="C676" s="20" t="str">
        <f>INDEX(Data,2,2+MOD(ROWS(C$2:C676)-1,3))</f>
        <v>16.00</v>
      </c>
      <c r="D676" s="14" t="str">
        <f t="shared" ca="1" si="31"/>
        <v>—</v>
      </c>
      <c r="E676" s="25">
        <f t="shared" ca="1" si="32"/>
        <v>7</v>
      </c>
    </row>
    <row r="677" spans="1:5" x14ac:dyDescent="0.25">
      <c r="A677" s="8">
        <f t="shared" si="30"/>
        <v>73</v>
      </c>
      <c r="B677" t="str">
        <f ca="1">TEXT(DATE(YEAR(Invoer!$A$5),1,1)+INT((ROWS(B$2:B677)-1)/3),"jjjjmmdd")</f>
        <v>19450814</v>
      </c>
      <c r="C677" s="20" t="str">
        <f>INDEX(Data,2,2+MOD(ROWS(C$2:C677)-1,3))</f>
        <v>08.00</v>
      </c>
      <c r="D677" s="14" t="str">
        <f t="shared" ca="1" si="31"/>
        <v>—</v>
      </c>
      <c r="E677" s="25">
        <f t="shared" ca="1" si="32"/>
        <v>7</v>
      </c>
    </row>
    <row r="678" spans="1:5" x14ac:dyDescent="0.25">
      <c r="A678" s="8">
        <f t="shared" si="30"/>
        <v>73</v>
      </c>
      <c r="B678" t="str">
        <f ca="1">TEXT(DATE(YEAR(Invoer!$A$5),1,1)+INT((ROWS(B$2:B678)-1)/3),"jjjjmmdd")</f>
        <v>19450814</v>
      </c>
      <c r="C678" s="20" t="str">
        <f>INDEX(Data,2,2+MOD(ROWS(C$2:C678)-1,3))</f>
        <v>12.00</v>
      </c>
      <c r="D678" s="14" t="str">
        <f t="shared" ca="1" si="31"/>
        <v>—</v>
      </c>
      <c r="E678" s="25">
        <f t="shared" ca="1" si="32"/>
        <v>7</v>
      </c>
    </row>
    <row r="679" spans="1:5" x14ac:dyDescent="0.25">
      <c r="A679" s="8">
        <f t="shared" si="30"/>
        <v>73</v>
      </c>
      <c r="B679" t="str">
        <f ca="1">TEXT(DATE(YEAR(Invoer!$A$5),1,1)+INT((ROWS(B$2:B679)-1)/3),"jjjjmmdd")</f>
        <v>19450814</v>
      </c>
      <c r="C679" s="20" t="str">
        <f>INDEX(Data,2,2+MOD(ROWS(C$2:C679)-1,3))</f>
        <v>16.00</v>
      </c>
      <c r="D679" s="14" t="str">
        <f t="shared" ca="1" si="31"/>
        <v>—</v>
      </c>
      <c r="E679" s="25">
        <f t="shared" ca="1" si="32"/>
        <v>7</v>
      </c>
    </row>
    <row r="680" spans="1:5" x14ac:dyDescent="0.25">
      <c r="A680" s="8">
        <f t="shared" si="30"/>
        <v>73</v>
      </c>
      <c r="B680" t="str">
        <f ca="1">TEXT(DATE(YEAR(Invoer!$A$5),1,1)+INT((ROWS(B$2:B680)-1)/3),"jjjjmmdd")</f>
        <v>19450815</v>
      </c>
      <c r="C680" s="20" t="str">
        <f>INDEX(Data,2,2+MOD(ROWS(C$2:C680)-1,3))</f>
        <v>08.00</v>
      </c>
      <c r="D680" s="14" t="str">
        <f t="shared" ca="1" si="31"/>
        <v>—</v>
      </c>
      <c r="E680" s="25">
        <f t="shared" ca="1" si="32"/>
        <v>7</v>
      </c>
    </row>
    <row r="681" spans="1:5" x14ac:dyDescent="0.25">
      <c r="A681" s="8">
        <f t="shared" si="30"/>
        <v>73</v>
      </c>
      <c r="B681" t="str">
        <f ca="1">TEXT(DATE(YEAR(Invoer!$A$5),1,1)+INT((ROWS(B$2:B681)-1)/3),"jjjjmmdd")</f>
        <v>19450815</v>
      </c>
      <c r="C681" s="20" t="str">
        <f>INDEX(Data,2,2+MOD(ROWS(C$2:C681)-1,3))</f>
        <v>12.00</v>
      </c>
      <c r="D681" s="14" t="str">
        <f t="shared" ca="1" si="31"/>
        <v>—</v>
      </c>
      <c r="E681" s="25">
        <f t="shared" ca="1" si="32"/>
        <v>7</v>
      </c>
    </row>
    <row r="682" spans="1:5" x14ac:dyDescent="0.25">
      <c r="A682" s="8">
        <f t="shared" si="30"/>
        <v>73</v>
      </c>
      <c r="B682" t="str">
        <f ca="1">TEXT(DATE(YEAR(Invoer!$A$5),1,1)+INT((ROWS(B$2:B682)-1)/3),"jjjjmmdd")</f>
        <v>19450815</v>
      </c>
      <c r="C682" s="20" t="str">
        <f>INDEX(Data,2,2+MOD(ROWS(C$2:C682)-1,3))</f>
        <v>16.00</v>
      </c>
      <c r="D682" s="14" t="str">
        <f t="shared" ca="1" si="31"/>
        <v>—</v>
      </c>
      <c r="E682" s="25">
        <f t="shared" ca="1" si="32"/>
        <v>7</v>
      </c>
    </row>
    <row r="683" spans="1:5" x14ac:dyDescent="0.25">
      <c r="A683" s="8">
        <f t="shared" si="30"/>
        <v>73</v>
      </c>
      <c r="B683" t="str">
        <f ca="1">TEXT(DATE(YEAR(Invoer!$A$5),1,1)+INT((ROWS(B$2:B683)-1)/3),"jjjjmmdd")</f>
        <v>19450816</v>
      </c>
      <c r="C683" s="20" t="str">
        <f>INDEX(Data,2,2+MOD(ROWS(C$2:C683)-1,3))</f>
        <v>08.00</v>
      </c>
      <c r="D683" s="14" t="str">
        <f t="shared" ca="1" si="31"/>
        <v>—</v>
      </c>
      <c r="E683" s="25">
        <f t="shared" ca="1" si="32"/>
        <v>7</v>
      </c>
    </row>
    <row r="684" spans="1:5" x14ac:dyDescent="0.25">
      <c r="A684" s="8">
        <f t="shared" si="30"/>
        <v>73</v>
      </c>
      <c r="B684" t="str">
        <f ca="1">TEXT(DATE(YEAR(Invoer!$A$5),1,1)+INT((ROWS(B$2:B684)-1)/3),"jjjjmmdd")</f>
        <v>19450816</v>
      </c>
      <c r="C684" s="20" t="str">
        <f>INDEX(Data,2,2+MOD(ROWS(C$2:C684)-1,3))</f>
        <v>12.00</v>
      </c>
      <c r="D684" s="14" t="str">
        <f t="shared" ca="1" si="31"/>
        <v>—</v>
      </c>
      <c r="E684" s="25">
        <f t="shared" ca="1" si="32"/>
        <v>7</v>
      </c>
    </row>
    <row r="685" spans="1:5" x14ac:dyDescent="0.25">
      <c r="A685" s="8">
        <f t="shared" si="30"/>
        <v>73</v>
      </c>
      <c r="B685" t="str">
        <f ca="1">TEXT(DATE(YEAR(Invoer!$A$5),1,1)+INT((ROWS(B$2:B685)-1)/3),"jjjjmmdd")</f>
        <v>19450816</v>
      </c>
      <c r="C685" s="20" t="str">
        <f>INDEX(Data,2,2+MOD(ROWS(C$2:C685)-1,3))</f>
        <v>16.00</v>
      </c>
      <c r="D685" s="14" t="str">
        <f t="shared" ca="1" si="31"/>
        <v>—</v>
      </c>
      <c r="E685" s="25">
        <f t="shared" ca="1" si="32"/>
        <v>7</v>
      </c>
    </row>
    <row r="686" spans="1:5" x14ac:dyDescent="0.25">
      <c r="A686" s="8">
        <f t="shared" si="30"/>
        <v>73</v>
      </c>
      <c r="B686" t="str">
        <f ca="1">TEXT(DATE(YEAR(Invoer!$A$5),1,1)+INT((ROWS(B$2:B686)-1)/3),"jjjjmmdd")</f>
        <v>19450817</v>
      </c>
      <c r="C686" s="20" t="str">
        <f>INDEX(Data,2,2+MOD(ROWS(C$2:C686)-1,3))</f>
        <v>08.00</v>
      </c>
      <c r="D686" s="14" t="str">
        <f t="shared" ca="1" si="31"/>
        <v>—</v>
      </c>
      <c r="E686" s="25">
        <f t="shared" ca="1" si="32"/>
        <v>7</v>
      </c>
    </row>
    <row r="687" spans="1:5" x14ac:dyDescent="0.25">
      <c r="A687" s="8">
        <f t="shared" si="30"/>
        <v>73</v>
      </c>
      <c r="B687" t="str">
        <f ca="1">TEXT(DATE(YEAR(Invoer!$A$5),1,1)+INT((ROWS(B$2:B687)-1)/3),"jjjjmmdd")</f>
        <v>19450817</v>
      </c>
      <c r="C687" s="20" t="str">
        <f>INDEX(Data,2,2+MOD(ROWS(C$2:C687)-1,3))</f>
        <v>12.00</v>
      </c>
      <c r="D687" s="14" t="str">
        <f t="shared" ca="1" si="31"/>
        <v>—</v>
      </c>
      <c r="E687" s="25">
        <f t="shared" ca="1" si="32"/>
        <v>7</v>
      </c>
    </row>
    <row r="688" spans="1:5" x14ac:dyDescent="0.25">
      <c r="A688" s="8">
        <f t="shared" si="30"/>
        <v>73</v>
      </c>
      <c r="B688" t="str">
        <f ca="1">TEXT(DATE(YEAR(Invoer!$A$5),1,1)+INT((ROWS(B$2:B688)-1)/3),"jjjjmmdd")</f>
        <v>19450817</v>
      </c>
      <c r="C688" s="20" t="str">
        <f>INDEX(Data,2,2+MOD(ROWS(C$2:C688)-1,3))</f>
        <v>16.00</v>
      </c>
      <c r="D688" s="14" t="str">
        <f t="shared" ca="1" si="31"/>
        <v>—</v>
      </c>
      <c r="E688" s="25">
        <f t="shared" ca="1" si="32"/>
        <v>7</v>
      </c>
    </row>
    <row r="689" spans="1:5" x14ac:dyDescent="0.25">
      <c r="A689" s="8">
        <f t="shared" si="30"/>
        <v>73</v>
      </c>
      <c r="B689" t="str">
        <f ca="1">TEXT(DATE(YEAR(Invoer!$A$5),1,1)+INT((ROWS(B$2:B689)-1)/3),"jjjjmmdd")</f>
        <v>19450818</v>
      </c>
      <c r="C689" s="20" t="str">
        <f>INDEX(Data,2,2+MOD(ROWS(C$2:C689)-1,3))</f>
        <v>08.00</v>
      </c>
      <c r="D689" s="14" t="str">
        <f t="shared" ca="1" si="31"/>
        <v>—</v>
      </c>
      <c r="E689" s="25">
        <f t="shared" ca="1" si="32"/>
        <v>7</v>
      </c>
    </row>
    <row r="690" spans="1:5" x14ac:dyDescent="0.25">
      <c r="A690" s="8">
        <f t="shared" si="30"/>
        <v>73</v>
      </c>
      <c r="B690" t="str">
        <f ca="1">TEXT(DATE(YEAR(Invoer!$A$5),1,1)+INT((ROWS(B$2:B690)-1)/3),"jjjjmmdd")</f>
        <v>19450818</v>
      </c>
      <c r="C690" s="20" t="str">
        <f>INDEX(Data,2,2+MOD(ROWS(C$2:C690)-1,3))</f>
        <v>12.00</v>
      </c>
      <c r="D690" s="14" t="str">
        <f t="shared" ca="1" si="31"/>
        <v>—</v>
      </c>
      <c r="E690" s="25">
        <f t="shared" ca="1" si="32"/>
        <v>7</v>
      </c>
    </row>
    <row r="691" spans="1:5" x14ac:dyDescent="0.25">
      <c r="A691" s="8">
        <f t="shared" si="30"/>
        <v>73</v>
      </c>
      <c r="B691" t="str">
        <f ca="1">TEXT(DATE(YEAR(Invoer!$A$5),1,1)+INT((ROWS(B$2:B691)-1)/3),"jjjjmmdd")</f>
        <v>19450818</v>
      </c>
      <c r="C691" s="20" t="str">
        <f>INDEX(Data,2,2+MOD(ROWS(C$2:C691)-1,3))</f>
        <v>16.00</v>
      </c>
      <c r="D691" s="14" t="str">
        <f t="shared" ca="1" si="31"/>
        <v>—</v>
      </c>
      <c r="E691" s="25">
        <f t="shared" ca="1" si="32"/>
        <v>7</v>
      </c>
    </row>
    <row r="692" spans="1:5" x14ac:dyDescent="0.25">
      <c r="A692" s="8">
        <f t="shared" si="30"/>
        <v>73</v>
      </c>
      <c r="B692" t="str">
        <f ca="1">TEXT(DATE(YEAR(Invoer!$A$5),1,1)+INT((ROWS(B$2:B692)-1)/3),"jjjjmmdd")</f>
        <v>19450819</v>
      </c>
      <c r="C692" s="20" t="str">
        <f>INDEX(Data,2,2+MOD(ROWS(C$2:C692)-1,3))</f>
        <v>08.00</v>
      </c>
      <c r="D692" s="14" t="str">
        <f t="shared" ca="1" si="31"/>
        <v>—</v>
      </c>
      <c r="E692" s="25">
        <f t="shared" ca="1" si="32"/>
        <v>7</v>
      </c>
    </row>
    <row r="693" spans="1:5" x14ac:dyDescent="0.25">
      <c r="A693" s="8">
        <f t="shared" si="30"/>
        <v>73</v>
      </c>
      <c r="B693" t="str">
        <f ca="1">TEXT(DATE(YEAR(Invoer!$A$5),1,1)+INT((ROWS(B$2:B693)-1)/3),"jjjjmmdd")</f>
        <v>19450819</v>
      </c>
      <c r="C693" s="20" t="str">
        <f>INDEX(Data,2,2+MOD(ROWS(C$2:C693)-1,3))</f>
        <v>12.00</v>
      </c>
      <c r="D693" s="14" t="str">
        <f t="shared" ca="1" si="31"/>
        <v>—</v>
      </c>
      <c r="E693" s="25">
        <f t="shared" ca="1" si="32"/>
        <v>7</v>
      </c>
    </row>
    <row r="694" spans="1:5" x14ac:dyDescent="0.25">
      <c r="A694" s="8">
        <f t="shared" si="30"/>
        <v>73</v>
      </c>
      <c r="B694" t="str">
        <f ca="1">TEXT(DATE(YEAR(Invoer!$A$5),1,1)+INT((ROWS(B$2:B694)-1)/3),"jjjjmmdd")</f>
        <v>19450819</v>
      </c>
      <c r="C694" s="20" t="str">
        <f>INDEX(Data,2,2+MOD(ROWS(C$2:C694)-1,3))</f>
        <v>16.00</v>
      </c>
      <c r="D694" s="14" t="str">
        <f t="shared" ca="1" si="31"/>
        <v>—</v>
      </c>
      <c r="E694" s="25">
        <f t="shared" ca="1" si="32"/>
        <v>7</v>
      </c>
    </row>
    <row r="695" spans="1:5" x14ac:dyDescent="0.25">
      <c r="A695" s="8">
        <f t="shared" si="30"/>
        <v>73</v>
      </c>
      <c r="B695" t="str">
        <f ca="1">TEXT(DATE(YEAR(Invoer!$A$5),1,1)+INT((ROWS(B$2:B695)-1)/3),"jjjjmmdd")</f>
        <v>19450820</v>
      </c>
      <c r="C695" s="20" t="str">
        <f>INDEX(Data,2,2+MOD(ROWS(C$2:C695)-1,3))</f>
        <v>08.00</v>
      </c>
      <c r="D695" s="14" t="str">
        <f t="shared" ca="1" si="31"/>
        <v>—</v>
      </c>
      <c r="E695" s="25">
        <f t="shared" ca="1" si="32"/>
        <v>7</v>
      </c>
    </row>
    <row r="696" spans="1:5" x14ac:dyDescent="0.25">
      <c r="A696" s="8">
        <f t="shared" si="30"/>
        <v>73</v>
      </c>
      <c r="B696" t="str">
        <f ca="1">TEXT(DATE(YEAR(Invoer!$A$5),1,1)+INT((ROWS(B$2:B696)-1)/3),"jjjjmmdd")</f>
        <v>19450820</v>
      </c>
      <c r="C696" s="20" t="str">
        <f>INDEX(Data,2,2+MOD(ROWS(C$2:C696)-1,3))</f>
        <v>12.00</v>
      </c>
      <c r="D696" s="14" t="str">
        <f t="shared" ca="1" si="31"/>
        <v>—</v>
      </c>
      <c r="E696" s="25">
        <f t="shared" ca="1" si="32"/>
        <v>7</v>
      </c>
    </row>
    <row r="697" spans="1:5" x14ac:dyDescent="0.25">
      <c r="A697" s="8">
        <f t="shared" si="30"/>
        <v>73</v>
      </c>
      <c r="B697" t="str">
        <f ca="1">TEXT(DATE(YEAR(Invoer!$A$5),1,1)+INT((ROWS(B$2:B697)-1)/3),"jjjjmmdd")</f>
        <v>19450820</v>
      </c>
      <c r="C697" s="20" t="str">
        <f>INDEX(Data,2,2+MOD(ROWS(C$2:C697)-1,3))</f>
        <v>16.00</v>
      </c>
      <c r="D697" s="14" t="str">
        <f t="shared" ca="1" si="31"/>
        <v>—</v>
      </c>
      <c r="E697" s="25">
        <f t="shared" ca="1" si="32"/>
        <v>7</v>
      </c>
    </row>
    <row r="698" spans="1:5" x14ac:dyDescent="0.25">
      <c r="A698" s="8">
        <f t="shared" si="30"/>
        <v>73</v>
      </c>
      <c r="B698" t="str">
        <f ca="1">TEXT(DATE(YEAR(Invoer!$A$5),1,1)+INT((ROWS(B$2:B698)-1)/3),"jjjjmmdd")</f>
        <v>19450821</v>
      </c>
      <c r="C698" s="20" t="str">
        <f>INDEX(Data,2,2+MOD(ROWS(C$2:C698)-1,3))</f>
        <v>08.00</v>
      </c>
      <c r="D698" s="14" t="str">
        <f t="shared" ca="1" si="31"/>
        <v>—</v>
      </c>
      <c r="E698" s="25">
        <f t="shared" ca="1" si="32"/>
        <v>7</v>
      </c>
    </row>
    <row r="699" spans="1:5" x14ac:dyDescent="0.25">
      <c r="A699" s="8">
        <f t="shared" si="30"/>
        <v>73</v>
      </c>
      <c r="B699" t="str">
        <f ca="1">TEXT(DATE(YEAR(Invoer!$A$5),1,1)+INT((ROWS(B$2:B699)-1)/3),"jjjjmmdd")</f>
        <v>19450821</v>
      </c>
      <c r="C699" s="20" t="str">
        <f>INDEX(Data,2,2+MOD(ROWS(C$2:C699)-1,3))</f>
        <v>12.00</v>
      </c>
      <c r="D699" s="14" t="str">
        <f t="shared" ca="1" si="31"/>
        <v>—</v>
      </c>
      <c r="E699" s="25">
        <f t="shared" ca="1" si="32"/>
        <v>7</v>
      </c>
    </row>
    <row r="700" spans="1:5" x14ac:dyDescent="0.25">
      <c r="A700" s="8">
        <f t="shared" si="30"/>
        <v>73</v>
      </c>
      <c r="B700" t="str">
        <f ca="1">TEXT(DATE(YEAR(Invoer!$A$5),1,1)+INT((ROWS(B$2:B700)-1)/3),"jjjjmmdd")</f>
        <v>19450821</v>
      </c>
      <c r="C700" s="20" t="str">
        <f>INDEX(Data,2,2+MOD(ROWS(C$2:C700)-1,3))</f>
        <v>16.00</v>
      </c>
      <c r="D700" s="14" t="str">
        <f t="shared" ca="1" si="31"/>
        <v>—</v>
      </c>
      <c r="E700" s="25">
        <f t="shared" ca="1" si="32"/>
        <v>7</v>
      </c>
    </row>
    <row r="701" spans="1:5" x14ac:dyDescent="0.25">
      <c r="A701" s="8">
        <f t="shared" si="30"/>
        <v>73</v>
      </c>
      <c r="B701" t="str">
        <f ca="1">TEXT(DATE(YEAR(Invoer!$A$5),1,1)+INT((ROWS(B$2:B701)-1)/3),"jjjjmmdd")</f>
        <v>19450822</v>
      </c>
      <c r="C701" s="20" t="str">
        <f>INDEX(Data,2,2+MOD(ROWS(C$2:C701)-1,3))</f>
        <v>08.00</v>
      </c>
      <c r="D701" s="14" t="str">
        <f t="shared" ca="1" si="31"/>
        <v>—</v>
      </c>
      <c r="E701" s="25">
        <f t="shared" ca="1" si="32"/>
        <v>7</v>
      </c>
    </row>
    <row r="702" spans="1:5" x14ac:dyDescent="0.25">
      <c r="A702" s="8">
        <f t="shared" si="30"/>
        <v>73</v>
      </c>
      <c r="B702" t="str">
        <f ca="1">TEXT(DATE(YEAR(Invoer!$A$5),1,1)+INT((ROWS(B$2:B702)-1)/3),"jjjjmmdd")</f>
        <v>19450822</v>
      </c>
      <c r="C702" s="20" t="str">
        <f>INDEX(Data,2,2+MOD(ROWS(C$2:C702)-1,3))</f>
        <v>12.00</v>
      </c>
      <c r="D702" s="14" t="str">
        <f t="shared" ca="1" si="31"/>
        <v>—</v>
      </c>
      <c r="E702" s="25">
        <f t="shared" ca="1" si="32"/>
        <v>7</v>
      </c>
    </row>
    <row r="703" spans="1:5" x14ac:dyDescent="0.25">
      <c r="A703" s="8">
        <f t="shared" si="30"/>
        <v>73</v>
      </c>
      <c r="B703" t="str">
        <f ca="1">TEXT(DATE(YEAR(Invoer!$A$5),1,1)+INT((ROWS(B$2:B703)-1)/3),"jjjjmmdd")</f>
        <v>19450822</v>
      </c>
      <c r="C703" s="20" t="str">
        <f>INDEX(Data,2,2+MOD(ROWS(C$2:C703)-1,3))</f>
        <v>16.00</v>
      </c>
      <c r="D703" s="14" t="str">
        <f t="shared" ca="1" si="31"/>
        <v>—</v>
      </c>
      <c r="E703" s="25">
        <f t="shared" ca="1" si="32"/>
        <v>7</v>
      </c>
    </row>
    <row r="704" spans="1:5" x14ac:dyDescent="0.25">
      <c r="A704" s="8">
        <f t="shared" si="30"/>
        <v>73</v>
      </c>
      <c r="B704" t="str">
        <f ca="1">TEXT(DATE(YEAR(Invoer!$A$5),1,1)+INT((ROWS(B$2:B704)-1)/3),"jjjjmmdd")</f>
        <v>19450823</v>
      </c>
      <c r="C704" s="20" t="str">
        <f>INDEX(Data,2,2+MOD(ROWS(C$2:C704)-1,3))</f>
        <v>08.00</v>
      </c>
      <c r="D704" s="14" t="str">
        <f t="shared" ca="1" si="31"/>
        <v>—</v>
      </c>
      <c r="E704" s="25">
        <f t="shared" ca="1" si="32"/>
        <v>7</v>
      </c>
    </row>
    <row r="705" spans="1:5" x14ac:dyDescent="0.25">
      <c r="A705" s="8">
        <f t="shared" si="30"/>
        <v>73</v>
      </c>
      <c r="B705" t="str">
        <f ca="1">TEXT(DATE(YEAR(Invoer!$A$5),1,1)+INT((ROWS(B$2:B705)-1)/3),"jjjjmmdd")</f>
        <v>19450823</v>
      </c>
      <c r="C705" s="20" t="str">
        <f>INDEX(Data,2,2+MOD(ROWS(C$2:C705)-1,3))</f>
        <v>12.00</v>
      </c>
      <c r="D705" s="14" t="str">
        <f t="shared" ca="1" si="31"/>
        <v>—</v>
      </c>
      <c r="E705" s="25">
        <f t="shared" ca="1" si="32"/>
        <v>7</v>
      </c>
    </row>
    <row r="706" spans="1:5" x14ac:dyDescent="0.25">
      <c r="A706" s="8">
        <f t="shared" ref="A706:A769" si="33">INDEX(Stations,2,1)</f>
        <v>73</v>
      </c>
      <c r="B706" t="str">
        <f ca="1">TEXT(DATE(YEAR(Invoer!$A$5),1,1)+INT((ROWS(B$2:B706)-1)/3),"jjjjmmdd")</f>
        <v>19450823</v>
      </c>
      <c r="C706" s="20" t="str">
        <f>INDEX(Data,2,2+MOD(ROWS(C$2:C706)-1,3))</f>
        <v>16.00</v>
      </c>
      <c r="D706" s="14" t="str">
        <f t="shared" ref="D706:D769" ca="1" si="34">IF(OR(ISBLANK(VLOOKUP(DATEVALUE(LEFT($B706,4)&amp;"-"&amp;MID($B706,5,2)&amp;"-"&amp;RIGHT($B706,2)),Data,MATCH(LEFT(VLOOKUP(D$1,Parameters,2,FALSE()),4)&amp;"*",OFFSET(Data,0,0,1),0)+MATCH($C706,OFFSET(Data,1,0,1),0)-2,FALSE())),ISTEXT(VLOOKUP(DATEVALUE(LEFT($B706,4)&amp;"-"&amp;MID($B706,5,2)&amp;"-"&amp;RIGHT($B706,2)),Data,MATCH(LEFT(VLOOKUP(D$1,Parameters,2,FALSE()),4)&amp;"*",OFFSET(Data,0,0,1),0)+MATCH($C706,OFFSET(Data,1,0,1),0)-2,FALSE()))),"—",VLOOKUP(DATEVALUE(LEFT($B706,4)&amp;"-"&amp;MID($B706,5,2)&amp;"-"&amp;RIGHT($B706,2)),Data,MATCH(LEFT(VLOOKUP(D$1,Parameters,2,FALSE()),4)&amp;"*",OFFSET(Data,0,0,1),0)+MATCH($C706,OFFSET(Data,1,0,1),0)-2,FALSE()))</f>
        <v>—</v>
      </c>
      <c r="E706" s="25">
        <f t="shared" ref="E706:E769" ca="1" si="35">IF(OR(ISBLANK(VLOOKUP(DATEVALUE(LEFT($B706,4)&amp;"-"&amp;MID($B706,5,2)&amp;"-"&amp;RIGHT($B706,2)),Data,MATCH(LEFT(VLOOKUP(MID(E$1,2,LEN(E$1)-1),Parameters,2,FALSE()),4)&amp;"*",OFFSET(Data,0,0,1),0)+MATCH($C706,OFFSET(Data,1,0,1),0)-2,FALSE())),ISTEXT(VLOOKUP(DATEVALUE(LEFT($B706,4)&amp;"-"&amp;MID($B706,5,2)&amp;"-"&amp;RIGHT($B706,2)),Data,MATCH(LEFT(VLOOKUP(MID(E$1,2,LEN(E$1)-1),Parameters,2,FALSE()),4)&amp;"*",OFFSET(Data,0,0,1),0)+MATCH($C706,OFFSET(Data,1,0,1),0)-2,FALSE()))),Lacking,IF(ISNA(MATCH(DATEVALUE(LEFT($B706,4)&amp;"-"&amp;MID($B706,5,2)&amp;"-"&amp;RIGHT($B706,2)),OFFSET(Catalogus,0,0,,1),0)),Ok,VLOOKUP(DATEVALUE(LEFT($B706,4)&amp;"-"&amp;MID($B706,5,2)&amp;"-"&amp;RIGHT($B706,2)),Catalogus,MATCH(LEFT(VLOOKUP(MID(E$1,2,LEN(E$1)-1),Parameters,2,FALSE()),4)&amp;"*",OFFSET(Catalogus,0,0,1),0)+MATCH($C706,OFFSET(Catalogus,1,0,1),0)-2,FALSE())))</f>
        <v>7</v>
      </c>
    </row>
    <row r="707" spans="1:5" x14ac:dyDescent="0.25">
      <c r="A707" s="8">
        <f t="shared" si="33"/>
        <v>73</v>
      </c>
      <c r="B707" t="str">
        <f ca="1">TEXT(DATE(YEAR(Invoer!$A$5),1,1)+INT((ROWS(B$2:B707)-1)/3),"jjjjmmdd")</f>
        <v>19450824</v>
      </c>
      <c r="C707" s="20" t="str">
        <f>INDEX(Data,2,2+MOD(ROWS(C$2:C707)-1,3))</f>
        <v>08.00</v>
      </c>
      <c r="D707" s="14" t="str">
        <f t="shared" ca="1" si="34"/>
        <v>—</v>
      </c>
      <c r="E707" s="25">
        <f t="shared" ca="1" si="35"/>
        <v>7</v>
      </c>
    </row>
    <row r="708" spans="1:5" x14ac:dyDescent="0.25">
      <c r="A708" s="8">
        <f t="shared" si="33"/>
        <v>73</v>
      </c>
      <c r="B708" t="str">
        <f ca="1">TEXT(DATE(YEAR(Invoer!$A$5),1,1)+INT((ROWS(B$2:B708)-1)/3),"jjjjmmdd")</f>
        <v>19450824</v>
      </c>
      <c r="C708" s="20" t="str">
        <f>INDEX(Data,2,2+MOD(ROWS(C$2:C708)-1,3))</f>
        <v>12.00</v>
      </c>
      <c r="D708" s="14" t="str">
        <f t="shared" ca="1" si="34"/>
        <v>—</v>
      </c>
      <c r="E708" s="25">
        <f t="shared" ca="1" si="35"/>
        <v>7</v>
      </c>
    </row>
    <row r="709" spans="1:5" x14ac:dyDescent="0.25">
      <c r="A709" s="8">
        <f t="shared" si="33"/>
        <v>73</v>
      </c>
      <c r="B709" t="str">
        <f ca="1">TEXT(DATE(YEAR(Invoer!$A$5),1,1)+INT((ROWS(B$2:B709)-1)/3),"jjjjmmdd")</f>
        <v>19450824</v>
      </c>
      <c r="C709" s="20" t="str">
        <f>INDEX(Data,2,2+MOD(ROWS(C$2:C709)-1,3))</f>
        <v>16.00</v>
      </c>
      <c r="D709" s="14" t="str">
        <f t="shared" ca="1" si="34"/>
        <v>—</v>
      </c>
      <c r="E709" s="25">
        <f t="shared" ca="1" si="35"/>
        <v>7</v>
      </c>
    </row>
    <row r="710" spans="1:5" x14ac:dyDescent="0.25">
      <c r="A710" s="8">
        <f t="shared" si="33"/>
        <v>73</v>
      </c>
      <c r="B710" t="str">
        <f ca="1">TEXT(DATE(YEAR(Invoer!$A$5),1,1)+INT((ROWS(B$2:B710)-1)/3),"jjjjmmdd")</f>
        <v>19450825</v>
      </c>
      <c r="C710" s="20" t="str">
        <f>INDEX(Data,2,2+MOD(ROWS(C$2:C710)-1,3))</f>
        <v>08.00</v>
      </c>
      <c r="D710" s="14" t="str">
        <f t="shared" ca="1" si="34"/>
        <v>—</v>
      </c>
      <c r="E710" s="25">
        <f t="shared" ca="1" si="35"/>
        <v>7</v>
      </c>
    </row>
    <row r="711" spans="1:5" x14ac:dyDescent="0.25">
      <c r="A711" s="8">
        <f t="shared" si="33"/>
        <v>73</v>
      </c>
      <c r="B711" t="str">
        <f ca="1">TEXT(DATE(YEAR(Invoer!$A$5),1,1)+INT((ROWS(B$2:B711)-1)/3),"jjjjmmdd")</f>
        <v>19450825</v>
      </c>
      <c r="C711" s="20" t="str">
        <f>INDEX(Data,2,2+MOD(ROWS(C$2:C711)-1,3))</f>
        <v>12.00</v>
      </c>
      <c r="D711" s="14" t="str">
        <f t="shared" ca="1" si="34"/>
        <v>—</v>
      </c>
      <c r="E711" s="25">
        <f t="shared" ca="1" si="35"/>
        <v>7</v>
      </c>
    </row>
    <row r="712" spans="1:5" x14ac:dyDescent="0.25">
      <c r="A712" s="8">
        <f t="shared" si="33"/>
        <v>73</v>
      </c>
      <c r="B712" t="str">
        <f ca="1">TEXT(DATE(YEAR(Invoer!$A$5),1,1)+INT((ROWS(B$2:B712)-1)/3),"jjjjmmdd")</f>
        <v>19450825</v>
      </c>
      <c r="C712" s="20" t="str">
        <f>INDEX(Data,2,2+MOD(ROWS(C$2:C712)-1,3))</f>
        <v>16.00</v>
      </c>
      <c r="D712" s="14" t="str">
        <f t="shared" ca="1" si="34"/>
        <v>—</v>
      </c>
      <c r="E712" s="25">
        <f t="shared" ca="1" si="35"/>
        <v>7</v>
      </c>
    </row>
    <row r="713" spans="1:5" x14ac:dyDescent="0.25">
      <c r="A713" s="8">
        <f t="shared" si="33"/>
        <v>73</v>
      </c>
      <c r="B713" t="str">
        <f ca="1">TEXT(DATE(YEAR(Invoer!$A$5),1,1)+INT((ROWS(B$2:B713)-1)/3),"jjjjmmdd")</f>
        <v>19450826</v>
      </c>
      <c r="C713" s="20" t="str">
        <f>INDEX(Data,2,2+MOD(ROWS(C$2:C713)-1,3))</f>
        <v>08.00</v>
      </c>
      <c r="D713" s="14" t="str">
        <f t="shared" ca="1" si="34"/>
        <v>—</v>
      </c>
      <c r="E713" s="25">
        <f t="shared" ca="1" si="35"/>
        <v>7</v>
      </c>
    </row>
    <row r="714" spans="1:5" x14ac:dyDescent="0.25">
      <c r="A714" s="8">
        <f t="shared" si="33"/>
        <v>73</v>
      </c>
      <c r="B714" t="str">
        <f ca="1">TEXT(DATE(YEAR(Invoer!$A$5),1,1)+INT((ROWS(B$2:B714)-1)/3),"jjjjmmdd")</f>
        <v>19450826</v>
      </c>
      <c r="C714" s="20" t="str">
        <f>INDEX(Data,2,2+MOD(ROWS(C$2:C714)-1,3))</f>
        <v>12.00</v>
      </c>
      <c r="D714" s="14" t="str">
        <f t="shared" ca="1" si="34"/>
        <v>—</v>
      </c>
      <c r="E714" s="25">
        <f t="shared" ca="1" si="35"/>
        <v>7</v>
      </c>
    </row>
    <row r="715" spans="1:5" x14ac:dyDescent="0.25">
      <c r="A715" s="8">
        <f t="shared" si="33"/>
        <v>73</v>
      </c>
      <c r="B715" t="str">
        <f ca="1">TEXT(DATE(YEAR(Invoer!$A$5),1,1)+INT((ROWS(B$2:B715)-1)/3),"jjjjmmdd")</f>
        <v>19450826</v>
      </c>
      <c r="C715" s="20" t="str">
        <f>INDEX(Data,2,2+MOD(ROWS(C$2:C715)-1,3))</f>
        <v>16.00</v>
      </c>
      <c r="D715" s="14" t="str">
        <f t="shared" ca="1" si="34"/>
        <v>—</v>
      </c>
      <c r="E715" s="25">
        <f t="shared" ca="1" si="35"/>
        <v>7</v>
      </c>
    </row>
    <row r="716" spans="1:5" x14ac:dyDescent="0.25">
      <c r="A716" s="8">
        <f t="shared" si="33"/>
        <v>73</v>
      </c>
      <c r="B716" t="str">
        <f ca="1">TEXT(DATE(YEAR(Invoer!$A$5),1,1)+INT((ROWS(B$2:B716)-1)/3),"jjjjmmdd")</f>
        <v>19450827</v>
      </c>
      <c r="C716" s="20" t="str">
        <f>INDEX(Data,2,2+MOD(ROWS(C$2:C716)-1,3))</f>
        <v>08.00</v>
      </c>
      <c r="D716" s="14" t="str">
        <f t="shared" ca="1" si="34"/>
        <v>—</v>
      </c>
      <c r="E716" s="25">
        <f t="shared" ca="1" si="35"/>
        <v>7</v>
      </c>
    </row>
    <row r="717" spans="1:5" x14ac:dyDescent="0.25">
      <c r="A717" s="8">
        <f t="shared" si="33"/>
        <v>73</v>
      </c>
      <c r="B717" t="str">
        <f ca="1">TEXT(DATE(YEAR(Invoer!$A$5),1,1)+INT((ROWS(B$2:B717)-1)/3),"jjjjmmdd")</f>
        <v>19450827</v>
      </c>
      <c r="C717" s="20" t="str">
        <f>INDEX(Data,2,2+MOD(ROWS(C$2:C717)-1,3))</f>
        <v>12.00</v>
      </c>
      <c r="D717" s="14" t="str">
        <f t="shared" ca="1" si="34"/>
        <v>—</v>
      </c>
      <c r="E717" s="25">
        <f t="shared" ca="1" si="35"/>
        <v>7</v>
      </c>
    </row>
    <row r="718" spans="1:5" x14ac:dyDescent="0.25">
      <c r="A718" s="8">
        <f t="shared" si="33"/>
        <v>73</v>
      </c>
      <c r="B718" t="str">
        <f ca="1">TEXT(DATE(YEAR(Invoer!$A$5),1,1)+INT((ROWS(B$2:B718)-1)/3),"jjjjmmdd")</f>
        <v>19450827</v>
      </c>
      <c r="C718" s="20" t="str">
        <f>INDEX(Data,2,2+MOD(ROWS(C$2:C718)-1,3))</f>
        <v>16.00</v>
      </c>
      <c r="D718" s="14" t="str">
        <f t="shared" ca="1" si="34"/>
        <v>—</v>
      </c>
      <c r="E718" s="25">
        <f t="shared" ca="1" si="35"/>
        <v>7</v>
      </c>
    </row>
    <row r="719" spans="1:5" x14ac:dyDescent="0.25">
      <c r="A719" s="8">
        <f t="shared" si="33"/>
        <v>73</v>
      </c>
      <c r="B719" t="str">
        <f ca="1">TEXT(DATE(YEAR(Invoer!$A$5),1,1)+INT((ROWS(B$2:B719)-1)/3),"jjjjmmdd")</f>
        <v>19450828</v>
      </c>
      <c r="C719" s="20" t="str">
        <f>INDEX(Data,2,2+MOD(ROWS(C$2:C719)-1,3))</f>
        <v>08.00</v>
      </c>
      <c r="D719" s="14" t="str">
        <f t="shared" ca="1" si="34"/>
        <v>—</v>
      </c>
      <c r="E719" s="25">
        <f t="shared" ca="1" si="35"/>
        <v>7</v>
      </c>
    </row>
    <row r="720" spans="1:5" x14ac:dyDescent="0.25">
      <c r="A720" s="8">
        <f t="shared" si="33"/>
        <v>73</v>
      </c>
      <c r="B720" t="str">
        <f ca="1">TEXT(DATE(YEAR(Invoer!$A$5),1,1)+INT((ROWS(B$2:B720)-1)/3),"jjjjmmdd")</f>
        <v>19450828</v>
      </c>
      <c r="C720" s="20" t="str">
        <f>INDEX(Data,2,2+MOD(ROWS(C$2:C720)-1,3))</f>
        <v>12.00</v>
      </c>
      <c r="D720" s="14" t="str">
        <f t="shared" ca="1" si="34"/>
        <v>—</v>
      </c>
      <c r="E720" s="25">
        <f t="shared" ca="1" si="35"/>
        <v>7</v>
      </c>
    </row>
    <row r="721" spans="1:5" x14ac:dyDescent="0.25">
      <c r="A721" s="8">
        <f t="shared" si="33"/>
        <v>73</v>
      </c>
      <c r="B721" t="str">
        <f ca="1">TEXT(DATE(YEAR(Invoer!$A$5),1,1)+INT((ROWS(B$2:B721)-1)/3),"jjjjmmdd")</f>
        <v>19450828</v>
      </c>
      <c r="C721" s="20" t="str">
        <f>INDEX(Data,2,2+MOD(ROWS(C$2:C721)-1,3))</f>
        <v>16.00</v>
      </c>
      <c r="D721" s="14" t="str">
        <f t="shared" ca="1" si="34"/>
        <v>—</v>
      </c>
      <c r="E721" s="25">
        <f t="shared" ca="1" si="35"/>
        <v>7</v>
      </c>
    </row>
    <row r="722" spans="1:5" x14ac:dyDescent="0.25">
      <c r="A722" s="8">
        <f t="shared" si="33"/>
        <v>73</v>
      </c>
      <c r="B722" t="str">
        <f ca="1">TEXT(DATE(YEAR(Invoer!$A$5),1,1)+INT((ROWS(B$2:B722)-1)/3),"jjjjmmdd")</f>
        <v>19450829</v>
      </c>
      <c r="C722" s="20" t="str">
        <f>INDEX(Data,2,2+MOD(ROWS(C$2:C722)-1,3))</f>
        <v>08.00</v>
      </c>
      <c r="D722" s="14" t="str">
        <f t="shared" ca="1" si="34"/>
        <v>—</v>
      </c>
      <c r="E722" s="25">
        <f t="shared" ca="1" si="35"/>
        <v>7</v>
      </c>
    </row>
    <row r="723" spans="1:5" x14ac:dyDescent="0.25">
      <c r="A723" s="8">
        <f t="shared" si="33"/>
        <v>73</v>
      </c>
      <c r="B723" t="str">
        <f ca="1">TEXT(DATE(YEAR(Invoer!$A$5),1,1)+INT((ROWS(B$2:B723)-1)/3),"jjjjmmdd")</f>
        <v>19450829</v>
      </c>
      <c r="C723" s="20" t="str">
        <f>INDEX(Data,2,2+MOD(ROWS(C$2:C723)-1,3))</f>
        <v>12.00</v>
      </c>
      <c r="D723" s="14" t="str">
        <f t="shared" ca="1" si="34"/>
        <v>—</v>
      </c>
      <c r="E723" s="25">
        <f t="shared" ca="1" si="35"/>
        <v>7</v>
      </c>
    </row>
    <row r="724" spans="1:5" x14ac:dyDescent="0.25">
      <c r="A724" s="8">
        <f t="shared" si="33"/>
        <v>73</v>
      </c>
      <c r="B724" t="str">
        <f ca="1">TEXT(DATE(YEAR(Invoer!$A$5),1,1)+INT((ROWS(B$2:B724)-1)/3),"jjjjmmdd")</f>
        <v>19450829</v>
      </c>
      <c r="C724" s="20" t="str">
        <f>INDEX(Data,2,2+MOD(ROWS(C$2:C724)-1,3))</f>
        <v>16.00</v>
      </c>
      <c r="D724" s="14" t="str">
        <f t="shared" ca="1" si="34"/>
        <v>—</v>
      </c>
      <c r="E724" s="25">
        <f t="shared" ca="1" si="35"/>
        <v>7</v>
      </c>
    </row>
    <row r="725" spans="1:5" x14ac:dyDescent="0.25">
      <c r="A725" s="8">
        <f t="shared" si="33"/>
        <v>73</v>
      </c>
      <c r="B725" t="str">
        <f ca="1">TEXT(DATE(YEAR(Invoer!$A$5),1,1)+INT((ROWS(B$2:B725)-1)/3),"jjjjmmdd")</f>
        <v>19450830</v>
      </c>
      <c r="C725" s="20" t="str">
        <f>INDEX(Data,2,2+MOD(ROWS(C$2:C725)-1,3))</f>
        <v>08.00</v>
      </c>
      <c r="D725" s="14" t="str">
        <f t="shared" ca="1" si="34"/>
        <v>—</v>
      </c>
      <c r="E725" s="25">
        <f t="shared" ca="1" si="35"/>
        <v>7</v>
      </c>
    </row>
    <row r="726" spans="1:5" x14ac:dyDescent="0.25">
      <c r="A726" s="8">
        <f t="shared" si="33"/>
        <v>73</v>
      </c>
      <c r="B726" t="str">
        <f ca="1">TEXT(DATE(YEAR(Invoer!$A$5),1,1)+INT((ROWS(B$2:B726)-1)/3),"jjjjmmdd")</f>
        <v>19450830</v>
      </c>
      <c r="C726" s="20" t="str">
        <f>INDEX(Data,2,2+MOD(ROWS(C$2:C726)-1,3))</f>
        <v>12.00</v>
      </c>
      <c r="D726" s="14" t="str">
        <f t="shared" ca="1" si="34"/>
        <v>—</v>
      </c>
      <c r="E726" s="25">
        <f t="shared" ca="1" si="35"/>
        <v>7</v>
      </c>
    </row>
    <row r="727" spans="1:5" x14ac:dyDescent="0.25">
      <c r="A727" s="8">
        <f t="shared" si="33"/>
        <v>73</v>
      </c>
      <c r="B727" t="str">
        <f ca="1">TEXT(DATE(YEAR(Invoer!$A$5),1,1)+INT((ROWS(B$2:B727)-1)/3),"jjjjmmdd")</f>
        <v>19450830</v>
      </c>
      <c r="C727" s="20" t="str">
        <f>INDEX(Data,2,2+MOD(ROWS(C$2:C727)-1,3))</f>
        <v>16.00</v>
      </c>
      <c r="D727" s="14" t="str">
        <f t="shared" ca="1" si="34"/>
        <v>—</v>
      </c>
      <c r="E727" s="25">
        <f t="shared" ca="1" si="35"/>
        <v>7</v>
      </c>
    </row>
    <row r="728" spans="1:5" x14ac:dyDescent="0.25">
      <c r="A728" s="8">
        <f t="shared" si="33"/>
        <v>73</v>
      </c>
      <c r="B728" t="str">
        <f ca="1">TEXT(DATE(YEAR(Invoer!$A$5),1,1)+INT((ROWS(B$2:B728)-1)/3),"jjjjmmdd")</f>
        <v>19450831</v>
      </c>
      <c r="C728" s="20" t="str">
        <f>INDEX(Data,2,2+MOD(ROWS(C$2:C728)-1,3))</f>
        <v>08.00</v>
      </c>
      <c r="D728" s="14" t="str">
        <f t="shared" ca="1" si="34"/>
        <v>—</v>
      </c>
      <c r="E728" s="25">
        <f t="shared" ca="1" si="35"/>
        <v>7</v>
      </c>
    </row>
    <row r="729" spans="1:5" x14ac:dyDescent="0.25">
      <c r="A729" s="8">
        <f t="shared" si="33"/>
        <v>73</v>
      </c>
      <c r="B729" t="str">
        <f ca="1">TEXT(DATE(YEAR(Invoer!$A$5),1,1)+INT((ROWS(B$2:B729)-1)/3),"jjjjmmdd")</f>
        <v>19450831</v>
      </c>
      <c r="C729" s="20" t="str">
        <f>INDEX(Data,2,2+MOD(ROWS(C$2:C729)-1,3))</f>
        <v>12.00</v>
      </c>
      <c r="D729" s="14" t="str">
        <f t="shared" ca="1" si="34"/>
        <v>—</v>
      </c>
      <c r="E729" s="25">
        <f t="shared" ca="1" si="35"/>
        <v>7</v>
      </c>
    </row>
    <row r="730" spans="1:5" x14ac:dyDescent="0.25">
      <c r="A730" s="8">
        <f t="shared" si="33"/>
        <v>73</v>
      </c>
      <c r="B730" t="str">
        <f ca="1">TEXT(DATE(YEAR(Invoer!$A$5),1,1)+INT((ROWS(B$2:B730)-1)/3),"jjjjmmdd")</f>
        <v>19450831</v>
      </c>
      <c r="C730" s="20" t="str">
        <f>INDEX(Data,2,2+MOD(ROWS(C$2:C730)-1,3))</f>
        <v>16.00</v>
      </c>
      <c r="D730" s="14" t="str">
        <f t="shared" ca="1" si="34"/>
        <v>—</v>
      </c>
      <c r="E730" s="25">
        <f t="shared" ca="1" si="35"/>
        <v>7</v>
      </c>
    </row>
    <row r="731" spans="1:5" x14ac:dyDescent="0.25">
      <c r="A731" s="8">
        <f t="shared" si="33"/>
        <v>73</v>
      </c>
      <c r="B731" t="str">
        <f ca="1">TEXT(DATE(YEAR(Invoer!$A$5),1,1)+INT((ROWS(B$2:B731)-1)/3),"jjjjmmdd")</f>
        <v>19450901</v>
      </c>
      <c r="C731" s="20" t="str">
        <f>INDEX(Data,2,2+MOD(ROWS(C$2:C731)-1,3))</f>
        <v>08.00</v>
      </c>
      <c r="D731" s="14" t="str">
        <f t="shared" ca="1" si="34"/>
        <v>—</v>
      </c>
      <c r="E731" s="25">
        <f t="shared" ca="1" si="35"/>
        <v>7</v>
      </c>
    </row>
    <row r="732" spans="1:5" x14ac:dyDescent="0.25">
      <c r="A732" s="8">
        <f t="shared" si="33"/>
        <v>73</v>
      </c>
      <c r="B732" t="str">
        <f ca="1">TEXT(DATE(YEAR(Invoer!$A$5),1,1)+INT((ROWS(B$2:B732)-1)/3),"jjjjmmdd")</f>
        <v>19450901</v>
      </c>
      <c r="C732" s="20" t="str">
        <f>INDEX(Data,2,2+MOD(ROWS(C$2:C732)-1,3))</f>
        <v>12.00</v>
      </c>
      <c r="D732" s="14" t="str">
        <f t="shared" ca="1" si="34"/>
        <v>—</v>
      </c>
      <c r="E732" s="25">
        <f t="shared" ca="1" si="35"/>
        <v>7</v>
      </c>
    </row>
    <row r="733" spans="1:5" x14ac:dyDescent="0.25">
      <c r="A733" s="8">
        <f t="shared" si="33"/>
        <v>73</v>
      </c>
      <c r="B733" t="str">
        <f ca="1">TEXT(DATE(YEAR(Invoer!$A$5),1,1)+INT((ROWS(B$2:B733)-1)/3),"jjjjmmdd")</f>
        <v>19450901</v>
      </c>
      <c r="C733" s="20" t="str">
        <f>INDEX(Data,2,2+MOD(ROWS(C$2:C733)-1,3))</f>
        <v>16.00</v>
      </c>
      <c r="D733" s="14" t="str">
        <f t="shared" ca="1" si="34"/>
        <v>—</v>
      </c>
      <c r="E733" s="25">
        <f t="shared" ca="1" si="35"/>
        <v>7</v>
      </c>
    </row>
    <row r="734" spans="1:5" x14ac:dyDescent="0.25">
      <c r="A734" s="8">
        <f t="shared" si="33"/>
        <v>73</v>
      </c>
      <c r="B734" t="str">
        <f ca="1">TEXT(DATE(YEAR(Invoer!$A$5),1,1)+INT((ROWS(B$2:B734)-1)/3),"jjjjmmdd")</f>
        <v>19450902</v>
      </c>
      <c r="C734" s="20" t="str">
        <f>INDEX(Data,2,2+MOD(ROWS(C$2:C734)-1,3))</f>
        <v>08.00</v>
      </c>
      <c r="D734" s="14" t="str">
        <f t="shared" ca="1" si="34"/>
        <v>—</v>
      </c>
      <c r="E734" s="25">
        <f t="shared" ca="1" si="35"/>
        <v>7</v>
      </c>
    </row>
    <row r="735" spans="1:5" x14ac:dyDescent="0.25">
      <c r="A735" s="8">
        <f t="shared" si="33"/>
        <v>73</v>
      </c>
      <c r="B735" t="str">
        <f ca="1">TEXT(DATE(YEAR(Invoer!$A$5),1,1)+INT((ROWS(B$2:B735)-1)/3),"jjjjmmdd")</f>
        <v>19450902</v>
      </c>
      <c r="C735" s="20" t="str">
        <f>INDEX(Data,2,2+MOD(ROWS(C$2:C735)-1,3))</f>
        <v>12.00</v>
      </c>
      <c r="D735" s="14" t="str">
        <f t="shared" ca="1" si="34"/>
        <v>—</v>
      </c>
      <c r="E735" s="25">
        <f t="shared" ca="1" si="35"/>
        <v>7</v>
      </c>
    </row>
    <row r="736" spans="1:5" x14ac:dyDescent="0.25">
      <c r="A736" s="8">
        <f t="shared" si="33"/>
        <v>73</v>
      </c>
      <c r="B736" t="str">
        <f ca="1">TEXT(DATE(YEAR(Invoer!$A$5),1,1)+INT((ROWS(B$2:B736)-1)/3),"jjjjmmdd")</f>
        <v>19450902</v>
      </c>
      <c r="C736" s="20" t="str">
        <f>INDEX(Data,2,2+MOD(ROWS(C$2:C736)-1,3))</f>
        <v>16.00</v>
      </c>
      <c r="D736" s="14" t="str">
        <f t="shared" ca="1" si="34"/>
        <v>—</v>
      </c>
      <c r="E736" s="25">
        <f t="shared" ca="1" si="35"/>
        <v>7</v>
      </c>
    </row>
    <row r="737" spans="1:5" x14ac:dyDescent="0.25">
      <c r="A737" s="8">
        <f t="shared" si="33"/>
        <v>73</v>
      </c>
      <c r="B737" t="str">
        <f ca="1">TEXT(DATE(YEAR(Invoer!$A$5),1,1)+INT((ROWS(B$2:B737)-1)/3),"jjjjmmdd")</f>
        <v>19450903</v>
      </c>
      <c r="C737" s="20" t="str">
        <f>INDEX(Data,2,2+MOD(ROWS(C$2:C737)-1,3))</f>
        <v>08.00</v>
      </c>
      <c r="D737" s="14" t="str">
        <f t="shared" ca="1" si="34"/>
        <v>—</v>
      </c>
      <c r="E737" s="25">
        <f t="shared" ca="1" si="35"/>
        <v>7</v>
      </c>
    </row>
    <row r="738" spans="1:5" x14ac:dyDescent="0.25">
      <c r="A738" s="8">
        <f t="shared" si="33"/>
        <v>73</v>
      </c>
      <c r="B738" t="str">
        <f ca="1">TEXT(DATE(YEAR(Invoer!$A$5),1,1)+INT((ROWS(B$2:B738)-1)/3),"jjjjmmdd")</f>
        <v>19450903</v>
      </c>
      <c r="C738" s="20" t="str">
        <f>INDEX(Data,2,2+MOD(ROWS(C$2:C738)-1,3))</f>
        <v>12.00</v>
      </c>
      <c r="D738" s="14" t="str">
        <f t="shared" ca="1" si="34"/>
        <v>—</v>
      </c>
      <c r="E738" s="25">
        <f t="shared" ca="1" si="35"/>
        <v>7</v>
      </c>
    </row>
    <row r="739" spans="1:5" x14ac:dyDescent="0.25">
      <c r="A739" s="8">
        <f t="shared" si="33"/>
        <v>73</v>
      </c>
      <c r="B739" t="str">
        <f ca="1">TEXT(DATE(YEAR(Invoer!$A$5),1,1)+INT((ROWS(B$2:B739)-1)/3),"jjjjmmdd")</f>
        <v>19450903</v>
      </c>
      <c r="C739" s="20" t="str">
        <f>INDEX(Data,2,2+MOD(ROWS(C$2:C739)-1,3))</f>
        <v>16.00</v>
      </c>
      <c r="D739" s="14" t="str">
        <f t="shared" ca="1" si="34"/>
        <v>—</v>
      </c>
      <c r="E739" s="25">
        <f t="shared" ca="1" si="35"/>
        <v>7</v>
      </c>
    </row>
    <row r="740" spans="1:5" x14ac:dyDescent="0.25">
      <c r="A740" s="8">
        <f t="shared" si="33"/>
        <v>73</v>
      </c>
      <c r="B740" t="str">
        <f ca="1">TEXT(DATE(YEAR(Invoer!$A$5),1,1)+INT((ROWS(B$2:B740)-1)/3),"jjjjmmdd")</f>
        <v>19450904</v>
      </c>
      <c r="C740" s="20" t="str">
        <f>INDEX(Data,2,2+MOD(ROWS(C$2:C740)-1,3))</f>
        <v>08.00</v>
      </c>
      <c r="D740" s="14" t="str">
        <f t="shared" ca="1" si="34"/>
        <v>—</v>
      </c>
      <c r="E740" s="25">
        <f t="shared" ca="1" si="35"/>
        <v>7</v>
      </c>
    </row>
    <row r="741" spans="1:5" x14ac:dyDescent="0.25">
      <c r="A741" s="8">
        <f t="shared" si="33"/>
        <v>73</v>
      </c>
      <c r="B741" t="str">
        <f ca="1">TEXT(DATE(YEAR(Invoer!$A$5),1,1)+INT((ROWS(B$2:B741)-1)/3),"jjjjmmdd")</f>
        <v>19450904</v>
      </c>
      <c r="C741" s="20" t="str">
        <f>INDEX(Data,2,2+MOD(ROWS(C$2:C741)-1,3))</f>
        <v>12.00</v>
      </c>
      <c r="D741" s="14" t="str">
        <f t="shared" ca="1" si="34"/>
        <v>—</v>
      </c>
      <c r="E741" s="25">
        <f t="shared" ca="1" si="35"/>
        <v>7</v>
      </c>
    </row>
    <row r="742" spans="1:5" x14ac:dyDescent="0.25">
      <c r="A742" s="8">
        <f t="shared" si="33"/>
        <v>73</v>
      </c>
      <c r="B742" t="str">
        <f ca="1">TEXT(DATE(YEAR(Invoer!$A$5),1,1)+INT((ROWS(B$2:B742)-1)/3),"jjjjmmdd")</f>
        <v>19450904</v>
      </c>
      <c r="C742" s="20" t="str">
        <f>INDEX(Data,2,2+MOD(ROWS(C$2:C742)-1,3))</f>
        <v>16.00</v>
      </c>
      <c r="D742" s="14" t="str">
        <f t="shared" ca="1" si="34"/>
        <v>—</v>
      </c>
      <c r="E742" s="25">
        <f t="shared" ca="1" si="35"/>
        <v>7</v>
      </c>
    </row>
    <row r="743" spans="1:5" x14ac:dyDescent="0.25">
      <c r="A743" s="8">
        <f t="shared" si="33"/>
        <v>73</v>
      </c>
      <c r="B743" t="str">
        <f ca="1">TEXT(DATE(YEAR(Invoer!$A$5),1,1)+INT((ROWS(B$2:B743)-1)/3),"jjjjmmdd")</f>
        <v>19450905</v>
      </c>
      <c r="C743" s="20" t="str">
        <f>INDEX(Data,2,2+MOD(ROWS(C$2:C743)-1,3))</f>
        <v>08.00</v>
      </c>
      <c r="D743" s="14" t="str">
        <f t="shared" ca="1" si="34"/>
        <v>—</v>
      </c>
      <c r="E743" s="25">
        <f t="shared" ca="1" si="35"/>
        <v>7</v>
      </c>
    </row>
    <row r="744" spans="1:5" x14ac:dyDescent="0.25">
      <c r="A744" s="8">
        <f t="shared" si="33"/>
        <v>73</v>
      </c>
      <c r="B744" t="str">
        <f ca="1">TEXT(DATE(YEAR(Invoer!$A$5),1,1)+INT((ROWS(B$2:B744)-1)/3),"jjjjmmdd")</f>
        <v>19450905</v>
      </c>
      <c r="C744" s="20" t="str">
        <f>INDEX(Data,2,2+MOD(ROWS(C$2:C744)-1,3))</f>
        <v>12.00</v>
      </c>
      <c r="D744" s="14" t="str">
        <f t="shared" ca="1" si="34"/>
        <v>—</v>
      </c>
      <c r="E744" s="25">
        <f t="shared" ca="1" si="35"/>
        <v>7</v>
      </c>
    </row>
    <row r="745" spans="1:5" x14ac:dyDescent="0.25">
      <c r="A745" s="8">
        <f t="shared" si="33"/>
        <v>73</v>
      </c>
      <c r="B745" t="str">
        <f ca="1">TEXT(DATE(YEAR(Invoer!$A$5),1,1)+INT((ROWS(B$2:B745)-1)/3),"jjjjmmdd")</f>
        <v>19450905</v>
      </c>
      <c r="C745" s="20" t="str">
        <f>INDEX(Data,2,2+MOD(ROWS(C$2:C745)-1,3))</f>
        <v>16.00</v>
      </c>
      <c r="D745" s="14" t="str">
        <f t="shared" ca="1" si="34"/>
        <v>—</v>
      </c>
      <c r="E745" s="25">
        <f t="shared" ca="1" si="35"/>
        <v>7</v>
      </c>
    </row>
    <row r="746" spans="1:5" x14ac:dyDescent="0.25">
      <c r="A746" s="8">
        <f t="shared" si="33"/>
        <v>73</v>
      </c>
      <c r="B746" t="str">
        <f ca="1">TEXT(DATE(YEAR(Invoer!$A$5),1,1)+INT((ROWS(B$2:B746)-1)/3),"jjjjmmdd")</f>
        <v>19450906</v>
      </c>
      <c r="C746" s="20" t="str">
        <f>INDEX(Data,2,2+MOD(ROWS(C$2:C746)-1,3))</f>
        <v>08.00</v>
      </c>
      <c r="D746" s="14" t="str">
        <f t="shared" ca="1" si="34"/>
        <v>—</v>
      </c>
      <c r="E746" s="25">
        <f t="shared" ca="1" si="35"/>
        <v>7</v>
      </c>
    </row>
    <row r="747" spans="1:5" x14ac:dyDescent="0.25">
      <c r="A747" s="8">
        <f t="shared" si="33"/>
        <v>73</v>
      </c>
      <c r="B747" t="str">
        <f ca="1">TEXT(DATE(YEAR(Invoer!$A$5),1,1)+INT((ROWS(B$2:B747)-1)/3),"jjjjmmdd")</f>
        <v>19450906</v>
      </c>
      <c r="C747" s="20" t="str">
        <f>INDEX(Data,2,2+MOD(ROWS(C$2:C747)-1,3))</f>
        <v>12.00</v>
      </c>
      <c r="D747" s="14" t="str">
        <f t="shared" ca="1" si="34"/>
        <v>—</v>
      </c>
      <c r="E747" s="25">
        <f t="shared" ca="1" si="35"/>
        <v>7</v>
      </c>
    </row>
    <row r="748" spans="1:5" x14ac:dyDescent="0.25">
      <c r="A748" s="8">
        <f t="shared" si="33"/>
        <v>73</v>
      </c>
      <c r="B748" t="str">
        <f ca="1">TEXT(DATE(YEAR(Invoer!$A$5),1,1)+INT((ROWS(B$2:B748)-1)/3),"jjjjmmdd")</f>
        <v>19450906</v>
      </c>
      <c r="C748" s="20" t="str">
        <f>INDEX(Data,2,2+MOD(ROWS(C$2:C748)-1,3))</f>
        <v>16.00</v>
      </c>
      <c r="D748" s="14" t="str">
        <f t="shared" ca="1" si="34"/>
        <v>—</v>
      </c>
      <c r="E748" s="25">
        <f t="shared" ca="1" si="35"/>
        <v>7</v>
      </c>
    </row>
    <row r="749" spans="1:5" x14ac:dyDescent="0.25">
      <c r="A749" s="8">
        <f t="shared" si="33"/>
        <v>73</v>
      </c>
      <c r="B749" t="str">
        <f ca="1">TEXT(DATE(YEAR(Invoer!$A$5),1,1)+INT((ROWS(B$2:B749)-1)/3),"jjjjmmdd")</f>
        <v>19450907</v>
      </c>
      <c r="C749" s="20" t="str">
        <f>INDEX(Data,2,2+MOD(ROWS(C$2:C749)-1,3))</f>
        <v>08.00</v>
      </c>
      <c r="D749" s="14" t="str">
        <f t="shared" ca="1" si="34"/>
        <v>—</v>
      </c>
      <c r="E749" s="25">
        <f t="shared" ca="1" si="35"/>
        <v>7</v>
      </c>
    </row>
    <row r="750" spans="1:5" x14ac:dyDescent="0.25">
      <c r="A750" s="8">
        <f t="shared" si="33"/>
        <v>73</v>
      </c>
      <c r="B750" t="str">
        <f ca="1">TEXT(DATE(YEAR(Invoer!$A$5),1,1)+INT((ROWS(B$2:B750)-1)/3),"jjjjmmdd")</f>
        <v>19450907</v>
      </c>
      <c r="C750" s="20" t="str">
        <f>INDEX(Data,2,2+MOD(ROWS(C$2:C750)-1,3))</f>
        <v>12.00</v>
      </c>
      <c r="D750" s="14" t="str">
        <f t="shared" ca="1" si="34"/>
        <v>—</v>
      </c>
      <c r="E750" s="25">
        <f t="shared" ca="1" si="35"/>
        <v>7</v>
      </c>
    </row>
    <row r="751" spans="1:5" x14ac:dyDescent="0.25">
      <c r="A751" s="8">
        <f t="shared" si="33"/>
        <v>73</v>
      </c>
      <c r="B751" t="str">
        <f ca="1">TEXT(DATE(YEAR(Invoer!$A$5),1,1)+INT((ROWS(B$2:B751)-1)/3),"jjjjmmdd")</f>
        <v>19450907</v>
      </c>
      <c r="C751" s="20" t="str">
        <f>INDEX(Data,2,2+MOD(ROWS(C$2:C751)-1,3))</f>
        <v>16.00</v>
      </c>
      <c r="D751" s="14" t="str">
        <f t="shared" ca="1" si="34"/>
        <v>—</v>
      </c>
      <c r="E751" s="25">
        <f t="shared" ca="1" si="35"/>
        <v>7</v>
      </c>
    </row>
    <row r="752" spans="1:5" x14ac:dyDescent="0.25">
      <c r="A752" s="8">
        <f t="shared" si="33"/>
        <v>73</v>
      </c>
      <c r="B752" t="str">
        <f ca="1">TEXT(DATE(YEAR(Invoer!$A$5),1,1)+INT((ROWS(B$2:B752)-1)/3),"jjjjmmdd")</f>
        <v>19450908</v>
      </c>
      <c r="C752" s="20" t="str">
        <f>INDEX(Data,2,2+MOD(ROWS(C$2:C752)-1,3))</f>
        <v>08.00</v>
      </c>
      <c r="D752" s="14" t="str">
        <f t="shared" ca="1" si="34"/>
        <v>—</v>
      </c>
      <c r="E752" s="25">
        <f t="shared" ca="1" si="35"/>
        <v>7</v>
      </c>
    </row>
    <row r="753" spans="1:5" x14ac:dyDescent="0.25">
      <c r="A753" s="8">
        <f t="shared" si="33"/>
        <v>73</v>
      </c>
      <c r="B753" t="str">
        <f ca="1">TEXT(DATE(YEAR(Invoer!$A$5),1,1)+INT((ROWS(B$2:B753)-1)/3),"jjjjmmdd")</f>
        <v>19450908</v>
      </c>
      <c r="C753" s="20" t="str">
        <f>INDEX(Data,2,2+MOD(ROWS(C$2:C753)-1,3))</f>
        <v>12.00</v>
      </c>
      <c r="D753" s="14" t="str">
        <f t="shared" ca="1" si="34"/>
        <v>—</v>
      </c>
      <c r="E753" s="25">
        <f t="shared" ca="1" si="35"/>
        <v>7</v>
      </c>
    </row>
    <row r="754" spans="1:5" x14ac:dyDescent="0.25">
      <c r="A754" s="8">
        <f t="shared" si="33"/>
        <v>73</v>
      </c>
      <c r="B754" t="str">
        <f ca="1">TEXT(DATE(YEAR(Invoer!$A$5),1,1)+INT((ROWS(B$2:B754)-1)/3),"jjjjmmdd")</f>
        <v>19450908</v>
      </c>
      <c r="C754" s="20" t="str">
        <f>INDEX(Data,2,2+MOD(ROWS(C$2:C754)-1,3))</f>
        <v>16.00</v>
      </c>
      <c r="D754" s="14" t="str">
        <f t="shared" ca="1" si="34"/>
        <v>—</v>
      </c>
      <c r="E754" s="25">
        <f t="shared" ca="1" si="35"/>
        <v>7</v>
      </c>
    </row>
    <row r="755" spans="1:5" x14ac:dyDescent="0.25">
      <c r="A755" s="8">
        <f t="shared" si="33"/>
        <v>73</v>
      </c>
      <c r="B755" t="str">
        <f ca="1">TEXT(DATE(YEAR(Invoer!$A$5),1,1)+INT((ROWS(B$2:B755)-1)/3),"jjjjmmdd")</f>
        <v>19450909</v>
      </c>
      <c r="C755" s="20" t="str">
        <f>INDEX(Data,2,2+MOD(ROWS(C$2:C755)-1,3))</f>
        <v>08.00</v>
      </c>
      <c r="D755" s="14" t="str">
        <f t="shared" ca="1" si="34"/>
        <v>—</v>
      </c>
      <c r="E755" s="25">
        <f t="shared" ca="1" si="35"/>
        <v>7</v>
      </c>
    </row>
    <row r="756" spans="1:5" x14ac:dyDescent="0.25">
      <c r="A756" s="8">
        <f t="shared" si="33"/>
        <v>73</v>
      </c>
      <c r="B756" t="str">
        <f ca="1">TEXT(DATE(YEAR(Invoer!$A$5),1,1)+INT((ROWS(B$2:B756)-1)/3),"jjjjmmdd")</f>
        <v>19450909</v>
      </c>
      <c r="C756" s="20" t="str">
        <f>INDEX(Data,2,2+MOD(ROWS(C$2:C756)-1,3))</f>
        <v>12.00</v>
      </c>
      <c r="D756" s="14" t="str">
        <f t="shared" ca="1" si="34"/>
        <v>—</v>
      </c>
      <c r="E756" s="25">
        <f t="shared" ca="1" si="35"/>
        <v>7</v>
      </c>
    </row>
    <row r="757" spans="1:5" x14ac:dyDescent="0.25">
      <c r="A757" s="8">
        <f t="shared" si="33"/>
        <v>73</v>
      </c>
      <c r="B757" t="str">
        <f ca="1">TEXT(DATE(YEAR(Invoer!$A$5),1,1)+INT((ROWS(B$2:B757)-1)/3),"jjjjmmdd")</f>
        <v>19450909</v>
      </c>
      <c r="C757" s="20" t="str">
        <f>INDEX(Data,2,2+MOD(ROWS(C$2:C757)-1,3))</f>
        <v>16.00</v>
      </c>
      <c r="D757" s="14" t="str">
        <f t="shared" ca="1" si="34"/>
        <v>—</v>
      </c>
      <c r="E757" s="25">
        <f t="shared" ca="1" si="35"/>
        <v>7</v>
      </c>
    </row>
    <row r="758" spans="1:5" x14ac:dyDescent="0.25">
      <c r="A758" s="8">
        <f t="shared" si="33"/>
        <v>73</v>
      </c>
      <c r="B758" t="str">
        <f ca="1">TEXT(DATE(YEAR(Invoer!$A$5),1,1)+INT((ROWS(B$2:B758)-1)/3),"jjjjmmdd")</f>
        <v>19450910</v>
      </c>
      <c r="C758" s="20" t="str">
        <f>INDEX(Data,2,2+MOD(ROWS(C$2:C758)-1,3))</f>
        <v>08.00</v>
      </c>
      <c r="D758" s="14" t="str">
        <f t="shared" ca="1" si="34"/>
        <v>—</v>
      </c>
      <c r="E758" s="25">
        <f t="shared" ca="1" si="35"/>
        <v>7</v>
      </c>
    </row>
    <row r="759" spans="1:5" x14ac:dyDescent="0.25">
      <c r="A759" s="8">
        <f t="shared" si="33"/>
        <v>73</v>
      </c>
      <c r="B759" t="str">
        <f ca="1">TEXT(DATE(YEAR(Invoer!$A$5),1,1)+INT((ROWS(B$2:B759)-1)/3),"jjjjmmdd")</f>
        <v>19450910</v>
      </c>
      <c r="C759" s="20" t="str">
        <f>INDEX(Data,2,2+MOD(ROWS(C$2:C759)-1,3))</f>
        <v>12.00</v>
      </c>
      <c r="D759" s="14" t="str">
        <f t="shared" ca="1" si="34"/>
        <v>—</v>
      </c>
      <c r="E759" s="25">
        <f t="shared" ca="1" si="35"/>
        <v>7</v>
      </c>
    </row>
    <row r="760" spans="1:5" x14ac:dyDescent="0.25">
      <c r="A760" s="8">
        <f t="shared" si="33"/>
        <v>73</v>
      </c>
      <c r="B760" t="str">
        <f ca="1">TEXT(DATE(YEAR(Invoer!$A$5),1,1)+INT((ROWS(B$2:B760)-1)/3),"jjjjmmdd")</f>
        <v>19450910</v>
      </c>
      <c r="C760" s="20" t="str">
        <f>INDEX(Data,2,2+MOD(ROWS(C$2:C760)-1,3))</f>
        <v>16.00</v>
      </c>
      <c r="D760" s="14" t="str">
        <f t="shared" ca="1" si="34"/>
        <v>—</v>
      </c>
      <c r="E760" s="25">
        <f t="shared" ca="1" si="35"/>
        <v>7</v>
      </c>
    </row>
    <row r="761" spans="1:5" x14ac:dyDescent="0.25">
      <c r="A761" s="8">
        <f t="shared" si="33"/>
        <v>73</v>
      </c>
      <c r="B761" t="str">
        <f ca="1">TEXT(DATE(YEAR(Invoer!$A$5),1,1)+INT((ROWS(B$2:B761)-1)/3),"jjjjmmdd")</f>
        <v>19450911</v>
      </c>
      <c r="C761" s="20" t="str">
        <f>INDEX(Data,2,2+MOD(ROWS(C$2:C761)-1,3))</f>
        <v>08.00</v>
      </c>
      <c r="D761" s="14" t="str">
        <f t="shared" ca="1" si="34"/>
        <v>—</v>
      </c>
      <c r="E761" s="25">
        <f t="shared" ca="1" si="35"/>
        <v>7</v>
      </c>
    </row>
    <row r="762" spans="1:5" x14ac:dyDescent="0.25">
      <c r="A762" s="8">
        <f t="shared" si="33"/>
        <v>73</v>
      </c>
      <c r="B762" t="str">
        <f ca="1">TEXT(DATE(YEAR(Invoer!$A$5),1,1)+INT((ROWS(B$2:B762)-1)/3),"jjjjmmdd")</f>
        <v>19450911</v>
      </c>
      <c r="C762" s="20" t="str">
        <f>INDEX(Data,2,2+MOD(ROWS(C$2:C762)-1,3))</f>
        <v>12.00</v>
      </c>
      <c r="D762" s="14" t="str">
        <f t="shared" ca="1" si="34"/>
        <v>—</v>
      </c>
      <c r="E762" s="25">
        <f t="shared" ca="1" si="35"/>
        <v>7</v>
      </c>
    </row>
    <row r="763" spans="1:5" x14ac:dyDescent="0.25">
      <c r="A763" s="8">
        <f t="shared" si="33"/>
        <v>73</v>
      </c>
      <c r="B763" t="str">
        <f ca="1">TEXT(DATE(YEAR(Invoer!$A$5),1,1)+INT((ROWS(B$2:B763)-1)/3),"jjjjmmdd")</f>
        <v>19450911</v>
      </c>
      <c r="C763" s="20" t="str">
        <f>INDEX(Data,2,2+MOD(ROWS(C$2:C763)-1,3))</f>
        <v>16.00</v>
      </c>
      <c r="D763" s="14" t="str">
        <f t="shared" ca="1" si="34"/>
        <v>—</v>
      </c>
      <c r="E763" s="25">
        <f t="shared" ca="1" si="35"/>
        <v>7</v>
      </c>
    </row>
    <row r="764" spans="1:5" x14ac:dyDescent="0.25">
      <c r="A764" s="8">
        <f t="shared" si="33"/>
        <v>73</v>
      </c>
      <c r="B764" t="str">
        <f ca="1">TEXT(DATE(YEAR(Invoer!$A$5),1,1)+INT((ROWS(B$2:B764)-1)/3),"jjjjmmdd")</f>
        <v>19450912</v>
      </c>
      <c r="C764" s="20" t="str">
        <f>INDEX(Data,2,2+MOD(ROWS(C$2:C764)-1,3))</f>
        <v>08.00</v>
      </c>
      <c r="D764" s="14" t="str">
        <f t="shared" ca="1" si="34"/>
        <v>—</v>
      </c>
      <c r="E764" s="25">
        <f t="shared" ca="1" si="35"/>
        <v>7</v>
      </c>
    </row>
    <row r="765" spans="1:5" x14ac:dyDescent="0.25">
      <c r="A765" s="8">
        <f t="shared" si="33"/>
        <v>73</v>
      </c>
      <c r="B765" t="str">
        <f ca="1">TEXT(DATE(YEAR(Invoer!$A$5),1,1)+INT((ROWS(B$2:B765)-1)/3),"jjjjmmdd")</f>
        <v>19450912</v>
      </c>
      <c r="C765" s="20" t="str">
        <f>INDEX(Data,2,2+MOD(ROWS(C$2:C765)-1,3))</f>
        <v>12.00</v>
      </c>
      <c r="D765" s="14" t="str">
        <f t="shared" ca="1" si="34"/>
        <v>—</v>
      </c>
      <c r="E765" s="25">
        <f t="shared" ca="1" si="35"/>
        <v>7</v>
      </c>
    </row>
    <row r="766" spans="1:5" x14ac:dyDescent="0.25">
      <c r="A766" s="8">
        <f t="shared" si="33"/>
        <v>73</v>
      </c>
      <c r="B766" t="str">
        <f ca="1">TEXT(DATE(YEAR(Invoer!$A$5),1,1)+INT((ROWS(B$2:B766)-1)/3),"jjjjmmdd")</f>
        <v>19450912</v>
      </c>
      <c r="C766" s="20" t="str">
        <f>INDEX(Data,2,2+MOD(ROWS(C$2:C766)-1,3))</f>
        <v>16.00</v>
      </c>
      <c r="D766" s="14" t="str">
        <f t="shared" ca="1" si="34"/>
        <v>—</v>
      </c>
      <c r="E766" s="25">
        <f t="shared" ca="1" si="35"/>
        <v>7</v>
      </c>
    </row>
    <row r="767" spans="1:5" x14ac:dyDescent="0.25">
      <c r="A767" s="8">
        <f t="shared" si="33"/>
        <v>73</v>
      </c>
      <c r="B767" t="str">
        <f ca="1">TEXT(DATE(YEAR(Invoer!$A$5),1,1)+INT((ROWS(B$2:B767)-1)/3),"jjjjmmdd")</f>
        <v>19450913</v>
      </c>
      <c r="C767" s="20" t="str">
        <f>INDEX(Data,2,2+MOD(ROWS(C$2:C767)-1,3))</f>
        <v>08.00</v>
      </c>
      <c r="D767" s="14" t="str">
        <f t="shared" ca="1" si="34"/>
        <v>—</v>
      </c>
      <c r="E767" s="25">
        <f t="shared" ca="1" si="35"/>
        <v>7</v>
      </c>
    </row>
    <row r="768" spans="1:5" x14ac:dyDescent="0.25">
      <c r="A768" s="8">
        <f t="shared" si="33"/>
        <v>73</v>
      </c>
      <c r="B768" t="str">
        <f ca="1">TEXT(DATE(YEAR(Invoer!$A$5),1,1)+INT((ROWS(B$2:B768)-1)/3),"jjjjmmdd")</f>
        <v>19450913</v>
      </c>
      <c r="C768" s="20" t="str">
        <f>INDEX(Data,2,2+MOD(ROWS(C$2:C768)-1,3))</f>
        <v>12.00</v>
      </c>
      <c r="D768" s="14" t="str">
        <f t="shared" ca="1" si="34"/>
        <v>—</v>
      </c>
      <c r="E768" s="25">
        <f t="shared" ca="1" si="35"/>
        <v>7</v>
      </c>
    </row>
    <row r="769" spans="1:5" x14ac:dyDescent="0.25">
      <c r="A769" s="8">
        <f t="shared" si="33"/>
        <v>73</v>
      </c>
      <c r="B769" t="str">
        <f ca="1">TEXT(DATE(YEAR(Invoer!$A$5),1,1)+INT((ROWS(B$2:B769)-1)/3),"jjjjmmdd")</f>
        <v>19450913</v>
      </c>
      <c r="C769" s="20" t="str">
        <f>INDEX(Data,2,2+MOD(ROWS(C$2:C769)-1,3))</f>
        <v>16.00</v>
      </c>
      <c r="D769" s="14" t="str">
        <f t="shared" ca="1" si="34"/>
        <v>—</v>
      </c>
      <c r="E769" s="25">
        <f t="shared" ca="1" si="35"/>
        <v>7</v>
      </c>
    </row>
    <row r="770" spans="1:5" x14ac:dyDescent="0.25">
      <c r="A770" s="8">
        <f t="shared" ref="A770:A833" si="36">INDEX(Stations,2,1)</f>
        <v>73</v>
      </c>
      <c r="B770" t="str">
        <f ca="1">TEXT(DATE(YEAR(Invoer!$A$5),1,1)+INT((ROWS(B$2:B770)-1)/3),"jjjjmmdd")</f>
        <v>19450914</v>
      </c>
      <c r="C770" s="20" t="str">
        <f>INDEX(Data,2,2+MOD(ROWS(C$2:C770)-1,3))</f>
        <v>08.00</v>
      </c>
      <c r="D770" s="14" t="str">
        <f t="shared" ref="D770:D833" ca="1" si="37">IF(OR(ISBLANK(VLOOKUP(DATEVALUE(LEFT($B770,4)&amp;"-"&amp;MID($B770,5,2)&amp;"-"&amp;RIGHT($B770,2)),Data,MATCH(LEFT(VLOOKUP(D$1,Parameters,2,FALSE()),4)&amp;"*",OFFSET(Data,0,0,1),0)+MATCH($C770,OFFSET(Data,1,0,1),0)-2,FALSE())),ISTEXT(VLOOKUP(DATEVALUE(LEFT($B770,4)&amp;"-"&amp;MID($B770,5,2)&amp;"-"&amp;RIGHT($B770,2)),Data,MATCH(LEFT(VLOOKUP(D$1,Parameters,2,FALSE()),4)&amp;"*",OFFSET(Data,0,0,1),0)+MATCH($C770,OFFSET(Data,1,0,1),0)-2,FALSE()))),"—",VLOOKUP(DATEVALUE(LEFT($B770,4)&amp;"-"&amp;MID($B770,5,2)&amp;"-"&amp;RIGHT($B770,2)),Data,MATCH(LEFT(VLOOKUP(D$1,Parameters,2,FALSE()),4)&amp;"*",OFFSET(Data,0,0,1),0)+MATCH($C770,OFFSET(Data,1,0,1),0)-2,FALSE()))</f>
        <v>—</v>
      </c>
      <c r="E770" s="25">
        <f t="shared" ref="E770:E833" ca="1" si="38">IF(OR(ISBLANK(VLOOKUP(DATEVALUE(LEFT($B770,4)&amp;"-"&amp;MID($B770,5,2)&amp;"-"&amp;RIGHT($B770,2)),Data,MATCH(LEFT(VLOOKUP(MID(E$1,2,LEN(E$1)-1),Parameters,2,FALSE()),4)&amp;"*",OFFSET(Data,0,0,1),0)+MATCH($C770,OFFSET(Data,1,0,1),0)-2,FALSE())),ISTEXT(VLOOKUP(DATEVALUE(LEFT($B770,4)&amp;"-"&amp;MID($B770,5,2)&amp;"-"&amp;RIGHT($B770,2)),Data,MATCH(LEFT(VLOOKUP(MID(E$1,2,LEN(E$1)-1),Parameters,2,FALSE()),4)&amp;"*",OFFSET(Data,0,0,1),0)+MATCH($C770,OFFSET(Data,1,0,1),0)-2,FALSE()))),Lacking,IF(ISNA(MATCH(DATEVALUE(LEFT($B770,4)&amp;"-"&amp;MID($B770,5,2)&amp;"-"&amp;RIGHT($B770,2)),OFFSET(Catalogus,0,0,,1),0)),Ok,VLOOKUP(DATEVALUE(LEFT($B770,4)&amp;"-"&amp;MID($B770,5,2)&amp;"-"&amp;RIGHT($B770,2)),Catalogus,MATCH(LEFT(VLOOKUP(MID(E$1,2,LEN(E$1)-1),Parameters,2,FALSE()),4)&amp;"*",OFFSET(Catalogus,0,0,1),0)+MATCH($C770,OFFSET(Catalogus,1,0,1),0)-2,FALSE())))</f>
        <v>7</v>
      </c>
    </row>
    <row r="771" spans="1:5" x14ac:dyDescent="0.25">
      <c r="A771" s="8">
        <f t="shared" si="36"/>
        <v>73</v>
      </c>
      <c r="B771" t="str">
        <f ca="1">TEXT(DATE(YEAR(Invoer!$A$5),1,1)+INT((ROWS(B$2:B771)-1)/3),"jjjjmmdd")</f>
        <v>19450914</v>
      </c>
      <c r="C771" s="20" t="str">
        <f>INDEX(Data,2,2+MOD(ROWS(C$2:C771)-1,3))</f>
        <v>12.00</v>
      </c>
      <c r="D771" s="14" t="str">
        <f t="shared" ca="1" si="37"/>
        <v>—</v>
      </c>
      <c r="E771" s="25">
        <f t="shared" ca="1" si="38"/>
        <v>7</v>
      </c>
    </row>
    <row r="772" spans="1:5" x14ac:dyDescent="0.25">
      <c r="A772" s="8">
        <f t="shared" si="36"/>
        <v>73</v>
      </c>
      <c r="B772" t="str">
        <f ca="1">TEXT(DATE(YEAR(Invoer!$A$5),1,1)+INT((ROWS(B$2:B772)-1)/3),"jjjjmmdd")</f>
        <v>19450914</v>
      </c>
      <c r="C772" s="20" t="str">
        <f>INDEX(Data,2,2+MOD(ROWS(C$2:C772)-1,3))</f>
        <v>16.00</v>
      </c>
      <c r="D772" s="14" t="str">
        <f t="shared" ca="1" si="37"/>
        <v>—</v>
      </c>
      <c r="E772" s="25">
        <f t="shared" ca="1" si="38"/>
        <v>7</v>
      </c>
    </row>
    <row r="773" spans="1:5" x14ac:dyDescent="0.25">
      <c r="A773" s="8">
        <f t="shared" si="36"/>
        <v>73</v>
      </c>
      <c r="B773" t="str">
        <f ca="1">TEXT(DATE(YEAR(Invoer!$A$5),1,1)+INT((ROWS(B$2:B773)-1)/3),"jjjjmmdd")</f>
        <v>19450915</v>
      </c>
      <c r="C773" s="20" t="str">
        <f>INDEX(Data,2,2+MOD(ROWS(C$2:C773)-1,3))</f>
        <v>08.00</v>
      </c>
      <c r="D773" s="14" t="str">
        <f t="shared" ca="1" si="37"/>
        <v>—</v>
      </c>
      <c r="E773" s="25">
        <f t="shared" ca="1" si="38"/>
        <v>7</v>
      </c>
    </row>
    <row r="774" spans="1:5" x14ac:dyDescent="0.25">
      <c r="A774" s="8">
        <f t="shared" si="36"/>
        <v>73</v>
      </c>
      <c r="B774" t="str">
        <f ca="1">TEXT(DATE(YEAR(Invoer!$A$5),1,1)+INT((ROWS(B$2:B774)-1)/3),"jjjjmmdd")</f>
        <v>19450915</v>
      </c>
      <c r="C774" s="20" t="str">
        <f>INDEX(Data,2,2+MOD(ROWS(C$2:C774)-1,3))</f>
        <v>12.00</v>
      </c>
      <c r="D774" s="14" t="str">
        <f t="shared" ca="1" si="37"/>
        <v>—</v>
      </c>
      <c r="E774" s="25">
        <f t="shared" ca="1" si="38"/>
        <v>7</v>
      </c>
    </row>
    <row r="775" spans="1:5" x14ac:dyDescent="0.25">
      <c r="A775" s="8">
        <f t="shared" si="36"/>
        <v>73</v>
      </c>
      <c r="B775" t="str">
        <f ca="1">TEXT(DATE(YEAR(Invoer!$A$5),1,1)+INT((ROWS(B$2:B775)-1)/3),"jjjjmmdd")</f>
        <v>19450915</v>
      </c>
      <c r="C775" s="20" t="str">
        <f>INDEX(Data,2,2+MOD(ROWS(C$2:C775)-1,3))</f>
        <v>16.00</v>
      </c>
      <c r="D775" s="14" t="str">
        <f t="shared" ca="1" si="37"/>
        <v>—</v>
      </c>
      <c r="E775" s="25">
        <f t="shared" ca="1" si="38"/>
        <v>7</v>
      </c>
    </row>
    <row r="776" spans="1:5" x14ac:dyDescent="0.25">
      <c r="A776" s="8">
        <f t="shared" si="36"/>
        <v>73</v>
      </c>
      <c r="B776" t="str">
        <f ca="1">TEXT(DATE(YEAR(Invoer!$A$5),1,1)+INT((ROWS(B$2:B776)-1)/3),"jjjjmmdd")</f>
        <v>19450916</v>
      </c>
      <c r="C776" s="20" t="str">
        <f>INDEX(Data,2,2+MOD(ROWS(C$2:C776)-1,3))</f>
        <v>08.00</v>
      </c>
      <c r="D776" s="14" t="str">
        <f t="shared" ca="1" si="37"/>
        <v>—</v>
      </c>
      <c r="E776" s="25">
        <f t="shared" ca="1" si="38"/>
        <v>7</v>
      </c>
    </row>
    <row r="777" spans="1:5" x14ac:dyDescent="0.25">
      <c r="A777" s="8">
        <f t="shared" si="36"/>
        <v>73</v>
      </c>
      <c r="B777" t="str">
        <f ca="1">TEXT(DATE(YEAR(Invoer!$A$5),1,1)+INT((ROWS(B$2:B777)-1)/3),"jjjjmmdd")</f>
        <v>19450916</v>
      </c>
      <c r="C777" s="20" t="str">
        <f>INDEX(Data,2,2+MOD(ROWS(C$2:C777)-1,3))</f>
        <v>12.00</v>
      </c>
      <c r="D777" s="14" t="str">
        <f t="shared" ca="1" si="37"/>
        <v>—</v>
      </c>
      <c r="E777" s="25">
        <f t="shared" ca="1" si="38"/>
        <v>7</v>
      </c>
    </row>
    <row r="778" spans="1:5" x14ac:dyDescent="0.25">
      <c r="A778" s="8">
        <f t="shared" si="36"/>
        <v>73</v>
      </c>
      <c r="B778" t="str">
        <f ca="1">TEXT(DATE(YEAR(Invoer!$A$5),1,1)+INT((ROWS(B$2:B778)-1)/3),"jjjjmmdd")</f>
        <v>19450916</v>
      </c>
      <c r="C778" s="20" t="str">
        <f>INDEX(Data,2,2+MOD(ROWS(C$2:C778)-1,3))</f>
        <v>16.00</v>
      </c>
      <c r="D778" s="14" t="str">
        <f t="shared" ca="1" si="37"/>
        <v>—</v>
      </c>
      <c r="E778" s="25">
        <f t="shared" ca="1" si="38"/>
        <v>7</v>
      </c>
    </row>
    <row r="779" spans="1:5" x14ac:dyDescent="0.25">
      <c r="A779" s="8">
        <f t="shared" si="36"/>
        <v>73</v>
      </c>
      <c r="B779" t="str">
        <f ca="1">TEXT(DATE(YEAR(Invoer!$A$5),1,1)+INT((ROWS(B$2:B779)-1)/3),"jjjjmmdd")</f>
        <v>19450917</v>
      </c>
      <c r="C779" s="20" t="str">
        <f>INDEX(Data,2,2+MOD(ROWS(C$2:C779)-1,3))</f>
        <v>08.00</v>
      </c>
      <c r="D779" s="14" t="str">
        <f t="shared" ca="1" si="37"/>
        <v>—</v>
      </c>
      <c r="E779" s="25">
        <f t="shared" ca="1" si="38"/>
        <v>7</v>
      </c>
    </row>
    <row r="780" spans="1:5" x14ac:dyDescent="0.25">
      <c r="A780" s="8">
        <f t="shared" si="36"/>
        <v>73</v>
      </c>
      <c r="B780" t="str">
        <f ca="1">TEXT(DATE(YEAR(Invoer!$A$5),1,1)+INT((ROWS(B$2:B780)-1)/3),"jjjjmmdd")</f>
        <v>19450917</v>
      </c>
      <c r="C780" s="20" t="str">
        <f>INDEX(Data,2,2+MOD(ROWS(C$2:C780)-1,3))</f>
        <v>12.00</v>
      </c>
      <c r="D780" s="14" t="str">
        <f t="shared" ca="1" si="37"/>
        <v>—</v>
      </c>
      <c r="E780" s="25">
        <f t="shared" ca="1" si="38"/>
        <v>7</v>
      </c>
    </row>
    <row r="781" spans="1:5" x14ac:dyDescent="0.25">
      <c r="A781" s="8">
        <f t="shared" si="36"/>
        <v>73</v>
      </c>
      <c r="B781" t="str">
        <f ca="1">TEXT(DATE(YEAR(Invoer!$A$5),1,1)+INT((ROWS(B$2:B781)-1)/3),"jjjjmmdd")</f>
        <v>19450917</v>
      </c>
      <c r="C781" s="20" t="str">
        <f>INDEX(Data,2,2+MOD(ROWS(C$2:C781)-1,3))</f>
        <v>16.00</v>
      </c>
      <c r="D781" s="14" t="str">
        <f t="shared" ca="1" si="37"/>
        <v>—</v>
      </c>
      <c r="E781" s="25">
        <f t="shared" ca="1" si="38"/>
        <v>7</v>
      </c>
    </row>
    <row r="782" spans="1:5" x14ac:dyDescent="0.25">
      <c r="A782" s="8">
        <f t="shared" si="36"/>
        <v>73</v>
      </c>
      <c r="B782" t="str">
        <f ca="1">TEXT(DATE(YEAR(Invoer!$A$5),1,1)+INT((ROWS(B$2:B782)-1)/3),"jjjjmmdd")</f>
        <v>19450918</v>
      </c>
      <c r="C782" s="20" t="str">
        <f>INDEX(Data,2,2+MOD(ROWS(C$2:C782)-1,3))</f>
        <v>08.00</v>
      </c>
      <c r="D782" s="14" t="str">
        <f t="shared" ca="1" si="37"/>
        <v>—</v>
      </c>
      <c r="E782" s="25">
        <f t="shared" ca="1" si="38"/>
        <v>7</v>
      </c>
    </row>
    <row r="783" spans="1:5" x14ac:dyDescent="0.25">
      <c r="A783" s="8">
        <f t="shared" si="36"/>
        <v>73</v>
      </c>
      <c r="B783" t="str">
        <f ca="1">TEXT(DATE(YEAR(Invoer!$A$5),1,1)+INT((ROWS(B$2:B783)-1)/3),"jjjjmmdd")</f>
        <v>19450918</v>
      </c>
      <c r="C783" s="20" t="str">
        <f>INDEX(Data,2,2+MOD(ROWS(C$2:C783)-1,3))</f>
        <v>12.00</v>
      </c>
      <c r="D783" s="14" t="str">
        <f t="shared" ca="1" si="37"/>
        <v>—</v>
      </c>
      <c r="E783" s="25">
        <f t="shared" ca="1" si="38"/>
        <v>7</v>
      </c>
    </row>
    <row r="784" spans="1:5" x14ac:dyDescent="0.25">
      <c r="A784" s="8">
        <f t="shared" si="36"/>
        <v>73</v>
      </c>
      <c r="B784" t="str">
        <f ca="1">TEXT(DATE(YEAR(Invoer!$A$5),1,1)+INT((ROWS(B$2:B784)-1)/3),"jjjjmmdd")</f>
        <v>19450918</v>
      </c>
      <c r="C784" s="20" t="str">
        <f>INDEX(Data,2,2+MOD(ROWS(C$2:C784)-1,3))</f>
        <v>16.00</v>
      </c>
      <c r="D784" s="14" t="str">
        <f t="shared" ca="1" si="37"/>
        <v>—</v>
      </c>
      <c r="E784" s="25">
        <f t="shared" ca="1" si="38"/>
        <v>7</v>
      </c>
    </row>
    <row r="785" spans="1:5" x14ac:dyDescent="0.25">
      <c r="A785" s="8">
        <f t="shared" si="36"/>
        <v>73</v>
      </c>
      <c r="B785" t="str">
        <f ca="1">TEXT(DATE(YEAR(Invoer!$A$5),1,1)+INT((ROWS(B$2:B785)-1)/3),"jjjjmmdd")</f>
        <v>19450919</v>
      </c>
      <c r="C785" s="20" t="str">
        <f>INDEX(Data,2,2+MOD(ROWS(C$2:C785)-1,3))</f>
        <v>08.00</v>
      </c>
      <c r="D785" s="14" t="str">
        <f t="shared" ca="1" si="37"/>
        <v>—</v>
      </c>
      <c r="E785" s="25">
        <f t="shared" ca="1" si="38"/>
        <v>7</v>
      </c>
    </row>
    <row r="786" spans="1:5" x14ac:dyDescent="0.25">
      <c r="A786" s="8">
        <f t="shared" si="36"/>
        <v>73</v>
      </c>
      <c r="B786" t="str">
        <f ca="1">TEXT(DATE(YEAR(Invoer!$A$5),1,1)+INT((ROWS(B$2:B786)-1)/3),"jjjjmmdd")</f>
        <v>19450919</v>
      </c>
      <c r="C786" s="20" t="str">
        <f>INDEX(Data,2,2+MOD(ROWS(C$2:C786)-1,3))</f>
        <v>12.00</v>
      </c>
      <c r="D786" s="14" t="str">
        <f t="shared" ca="1" si="37"/>
        <v>—</v>
      </c>
      <c r="E786" s="25">
        <f t="shared" ca="1" si="38"/>
        <v>7</v>
      </c>
    </row>
    <row r="787" spans="1:5" x14ac:dyDescent="0.25">
      <c r="A787" s="8">
        <f t="shared" si="36"/>
        <v>73</v>
      </c>
      <c r="B787" t="str">
        <f ca="1">TEXT(DATE(YEAR(Invoer!$A$5),1,1)+INT((ROWS(B$2:B787)-1)/3),"jjjjmmdd")</f>
        <v>19450919</v>
      </c>
      <c r="C787" s="20" t="str">
        <f>INDEX(Data,2,2+MOD(ROWS(C$2:C787)-1,3))</f>
        <v>16.00</v>
      </c>
      <c r="D787" s="14" t="str">
        <f t="shared" ca="1" si="37"/>
        <v>—</v>
      </c>
      <c r="E787" s="25">
        <f t="shared" ca="1" si="38"/>
        <v>7</v>
      </c>
    </row>
    <row r="788" spans="1:5" x14ac:dyDescent="0.25">
      <c r="A788" s="8">
        <f t="shared" si="36"/>
        <v>73</v>
      </c>
      <c r="B788" t="str">
        <f ca="1">TEXT(DATE(YEAR(Invoer!$A$5),1,1)+INT((ROWS(B$2:B788)-1)/3),"jjjjmmdd")</f>
        <v>19450920</v>
      </c>
      <c r="C788" s="20" t="str">
        <f>INDEX(Data,2,2+MOD(ROWS(C$2:C788)-1,3))</f>
        <v>08.00</v>
      </c>
      <c r="D788" s="14" t="str">
        <f t="shared" ca="1" si="37"/>
        <v>—</v>
      </c>
      <c r="E788" s="25">
        <f t="shared" ca="1" si="38"/>
        <v>7</v>
      </c>
    </row>
    <row r="789" spans="1:5" x14ac:dyDescent="0.25">
      <c r="A789" s="8">
        <f t="shared" si="36"/>
        <v>73</v>
      </c>
      <c r="B789" t="str">
        <f ca="1">TEXT(DATE(YEAR(Invoer!$A$5),1,1)+INT((ROWS(B$2:B789)-1)/3),"jjjjmmdd")</f>
        <v>19450920</v>
      </c>
      <c r="C789" s="20" t="str">
        <f>INDEX(Data,2,2+MOD(ROWS(C$2:C789)-1,3))</f>
        <v>12.00</v>
      </c>
      <c r="D789" s="14" t="str">
        <f t="shared" ca="1" si="37"/>
        <v>—</v>
      </c>
      <c r="E789" s="25">
        <f t="shared" ca="1" si="38"/>
        <v>7</v>
      </c>
    </row>
    <row r="790" spans="1:5" x14ac:dyDescent="0.25">
      <c r="A790" s="8">
        <f t="shared" si="36"/>
        <v>73</v>
      </c>
      <c r="B790" t="str">
        <f ca="1">TEXT(DATE(YEAR(Invoer!$A$5),1,1)+INT((ROWS(B$2:B790)-1)/3),"jjjjmmdd")</f>
        <v>19450920</v>
      </c>
      <c r="C790" s="20" t="str">
        <f>INDEX(Data,2,2+MOD(ROWS(C$2:C790)-1,3))</f>
        <v>16.00</v>
      </c>
      <c r="D790" s="14" t="str">
        <f t="shared" ca="1" si="37"/>
        <v>—</v>
      </c>
      <c r="E790" s="25">
        <f t="shared" ca="1" si="38"/>
        <v>7</v>
      </c>
    </row>
    <row r="791" spans="1:5" x14ac:dyDescent="0.25">
      <c r="A791" s="8">
        <f t="shared" si="36"/>
        <v>73</v>
      </c>
      <c r="B791" t="str">
        <f ca="1">TEXT(DATE(YEAR(Invoer!$A$5),1,1)+INT((ROWS(B$2:B791)-1)/3),"jjjjmmdd")</f>
        <v>19450921</v>
      </c>
      <c r="C791" s="20" t="str">
        <f>INDEX(Data,2,2+MOD(ROWS(C$2:C791)-1,3))</f>
        <v>08.00</v>
      </c>
      <c r="D791" s="14" t="str">
        <f t="shared" ca="1" si="37"/>
        <v>—</v>
      </c>
      <c r="E791" s="25">
        <f t="shared" ca="1" si="38"/>
        <v>7</v>
      </c>
    </row>
    <row r="792" spans="1:5" x14ac:dyDescent="0.25">
      <c r="A792" s="8">
        <f t="shared" si="36"/>
        <v>73</v>
      </c>
      <c r="B792" t="str">
        <f ca="1">TEXT(DATE(YEAR(Invoer!$A$5),1,1)+INT((ROWS(B$2:B792)-1)/3),"jjjjmmdd")</f>
        <v>19450921</v>
      </c>
      <c r="C792" s="20" t="str">
        <f>INDEX(Data,2,2+MOD(ROWS(C$2:C792)-1,3))</f>
        <v>12.00</v>
      </c>
      <c r="D792" s="14" t="str">
        <f t="shared" ca="1" si="37"/>
        <v>—</v>
      </c>
      <c r="E792" s="25">
        <f t="shared" ca="1" si="38"/>
        <v>7</v>
      </c>
    </row>
    <row r="793" spans="1:5" x14ac:dyDescent="0.25">
      <c r="A793" s="8">
        <f t="shared" si="36"/>
        <v>73</v>
      </c>
      <c r="B793" t="str">
        <f ca="1">TEXT(DATE(YEAR(Invoer!$A$5),1,1)+INT((ROWS(B$2:B793)-1)/3),"jjjjmmdd")</f>
        <v>19450921</v>
      </c>
      <c r="C793" s="20" t="str">
        <f>INDEX(Data,2,2+MOD(ROWS(C$2:C793)-1,3))</f>
        <v>16.00</v>
      </c>
      <c r="D793" s="14" t="str">
        <f t="shared" ca="1" si="37"/>
        <v>—</v>
      </c>
      <c r="E793" s="25">
        <f t="shared" ca="1" si="38"/>
        <v>7</v>
      </c>
    </row>
    <row r="794" spans="1:5" x14ac:dyDescent="0.25">
      <c r="A794" s="8">
        <f t="shared" si="36"/>
        <v>73</v>
      </c>
      <c r="B794" t="str">
        <f ca="1">TEXT(DATE(YEAR(Invoer!$A$5),1,1)+INT((ROWS(B$2:B794)-1)/3),"jjjjmmdd")</f>
        <v>19450922</v>
      </c>
      <c r="C794" s="20" t="str">
        <f>INDEX(Data,2,2+MOD(ROWS(C$2:C794)-1,3))</f>
        <v>08.00</v>
      </c>
      <c r="D794" s="14" t="str">
        <f t="shared" ca="1" si="37"/>
        <v>—</v>
      </c>
      <c r="E794" s="25">
        <f t="shared" ca="1" si="38"/>
        <v>7</v>
      </c>
    </row>
    <row r="795" spans="1:5" x14ac:dyDescent="0.25">
      <c r="A795" s="8">
        <f t="shared" si="36"/>
        <v>73</v>
      </c>
      <c r="B795" t="str">
        <f ca="1">TEXT(DATE(YEAR(Invoer!$A$5),1,1)+INT((ROWS(B$2:B795)-1)/3),"jjjjmmdd")</f>
        <v>19450922</v>
      </c>
      <c r="C795" s="20" t="str">
        <f>INDEX(Data,2,2+MOD(ROWS(C$2:C795)-1,3))</f>
        <v>12.00</v>
      </c>
      <c r="D795" s="14" t="str">
        <f t="shared" ca="1" si="37"/>
        <v>—</v>
      </c>
      <c r="E795" s="25">
        <f t="shared" ca="1" si="38"/>
        <v>7</v>
      </c>
    </row>
    <row r="796" spans="1:5" x14ac:dyDescent="0.25">
      <c r="A796" s="8">
        <f t="shared" si="36"/>
        <v>73</v>
      </c>
      <c r="B796" t="str">
        <f ca="1">TEXT(DATE(YEAR(Invoer!$A$5),1,1)+INT((ROWS(B$2:B796)-1)/3),"jjjjmmdd")</f>
        <v>19450922</v>
      </c>
      <c r="C796" s="20" t="str">
        <f>INDEX(Data,2,2+MOD(ROWS(C$2:C796)-1,3))</f>
        <v>16.00</v>
      </c>
      <c r="D796" s="14" t="str">
        <f t="shared" ca="1" si="37"/>
        <v>—</v>
      </c>
      <c r="E796" s="25">
        <f t="shared" ca="1" si="38"/>
        <v>7</v>
      </c>
    </row>
    <row r="797" spans="1:5" x14ac:dyDescent="0.25">
      <c r="A797" s="8">
        <f t="shared" si="36"/>
        <v>73</v>
      </c>
      <c r="B797" t="str">
        <f ca="1">TEXT(DATE(YEAR(Invoer!$A$5),1,1)+INT((ROWS(B$2:B797)-1)/3),"jjjjmmdd")</f>
        <v>19450923</v>
      </c>
      <c r="C797" s="20" t="str">
        <f>INDEX(Data,2,2+MOD(ROWS(C$2:C797)-1,3))</f>
        <v>08.00</v>
      </c>
      <c r="D797" s="14" t="str">
        <f t="shared" ca="1" si="37"/>
        <v>—</v>
      </c>
      <c r="E797" s="25">
        <f t="shared" ca="1" si="38"/>
        <v>7</v>
      </c>
    </row>
    <row r="798" spans="1:5" x14ac:dyDescent="0.25">
      <c r="A798" s="8">
        <f t="shared" si="36"/>
        <v>73</v>
      </c>
      <c r="B798" t="str">
        <f ca="1">TEXT(DATE(YEAR(Invoer!$A$5),1,1)+INT((ROWS(B$2:B798)-1)/3),"jjjjmmdd")</f>
        <v>19450923</v>
      </c>
      <c r="C798" s="20" t="str">
        <f>INDEX(Data,2,2+MOD(ROWS(C$2:C798)-1,3))</f>
        <v>12.00</v>
      </c>
      <c r="D798" s="14" t="str">
        <f t="shared" ca="1" si="37"/>
        <v>—</v>
      </c>
      <c r="E798" s="25">
        <f t="shared" ca="1" si="38"/>
        <v>7</v>
      </c>
    </row>
    <row r="799" spans="1:5" x14ac:dyDescent="0.25">
      <c r="A799" s="8">
        <f t="shared" si="36"/>
        <v>73</v>
      </c>
      <c r="B799" t="str">
        <f ca="1">TEXT(DATE(YEAR(Invoer!$A$5),1,1)+INT((ROWS(B$2:B799)-1)/3),"jjjjmmdd")</f>
        <v>19450923</v>
      </c>
      <c r="C799" s="20" t="str">
        <f>INDEX(Data,2,2+MOD(ROWS(C$2:C799)-1,3))</f>
        <v>16.00</v>
      </c>
      <c r="D799" s="14" t="str">
        <f t="shared" ca="1" si="37"/>
        <v>—</v>
      </c>
      <c r="E799" s="25">
        <f t="shared" ca="1" si="38"/>
        <v>7</v>
      </c>
    </row>
    <row r="800" spans="1:5" x14ac:dyDescent="0.25">
      <c r="A800" s="8">
        <f t="shared" si="36"/>
        <v>73</v>
      </c>
      <c r="B800" t="str">
        <f ca="1">TEXT(DATE(YEAR(Invoer!$A$5),1,1)+INT((ROWS(B$2:B800)-1)/3),"jjjjmmdd")</f>
        <v>19450924</v>
      </c>
      <c r="C800" s="20" t="str">
        <f>INDEX(Data,2,2+MOD(ROWS(C$2:C800)-1,3))</f>
        <v>08.00</v>
      </c>
      <c r="D800" s="14" t="str">
        <f t="shared" ca="1" si="37"/>
        <v>—</v>
      </c>
      <c r="E800" s="25">
        <f t="shared" ca="1" si="38"/>
        <v>7</v>
      </c>
    </row>
    <row r="801" spans="1:5" x14ac:dyDescent="0.25">
      <c r="A801" s="8">
        <f t="shared" si="36"/>
        <v>73</v>
      </c>
      <c r="B801" t="str">
        <f ca="1">TEXT(DATE(YEAR(Invoer!$A$5),1,1)+INT((ROWS(B$2:B801)-1)/3),"jjjjmmdd")</f>
        <v>19450924</v>
      </c>
      <c r="C801" s="20" t="str">
        <f>INDEX(Data,2,2+MOD(ROWS(C$2:C801)-1,3))</f>
        <v>12.00</v>
      </c>
      <c r="D801" s="14" t="str">
        <f t="shared" ca="1" si="37"/>
        <v>—</v>
      </c>
      <c r="E801" s="25">
        <f t="shared" ca="1" si="38"/>
        <v>7</v>
      </c>
    </row>
    <row r="802" spans="1:5" x14ac:dyDescent="0.25">
      <c r="A802" s="8">
        <f t="shared" si="36"/>
        <v>73</v>
      </c>
      <c r="B802" t="str">
        <f ca="1">TEXT(DATE(YEAR(Invoer!$A$5),1,1)+INT((ROWS(B$2:B802)-1)/3),"jjjjmmdd")</f>
        <v>19450924</v>
      </c>
      <c r="C802" s="20" t="str">
        <f>INDEX(Data,2,2+MOD(ROWS(C$2:C802)-1,3))</f>
        <v>16.00</v>
      </c>
      <c r="D802" s="14" t="str">
        <f t="shared" ca="1" si="37"/>
        <v>—</v>
      </c>
      <c r="E802" s="25">
        <f t="shared" ca="1" si="38"/>
        <v>7</v>
      </c>
    </row>
    <row r="803" spans="1:5" x14ac:dyDescent="0.25">
      <c r="A803" s="8">
        <f t="shared" si="36"/>
        <v>73</v>
      </c>
      <c r="B803" t="str">
        <f ca="1">TEXT(DATE(YEAR(Invoer!$A$5),1,1)+INT((ROWS(B$2:B803)-1)/3),"jjjjmmdd")</f>
        <v>19450925</v>
      </c>
      <c r="C803" s="20" t="str">
        <f>INDEX(Data,2,2+MOD(ROWS(C$2:C803)-1,3))</f>
        <v>08.00</v>
      </c>
      <c r="D803" s="14" t="str">
        <f t="shared" ca="1" si="37"/>
        <v>—</v>
      </c>
      <c r="E803" s="25">
        <f t="shared" ca="1" si="38"/>
        <v>7</v>
      </c>
    </row>
    <row r="804" spans="1:5" x14ac:dyDescent="0.25">
      <c r="A804" s="8">
        <f t="shared" si="36"/>
        <v>73</v>
      </c>
      <c r="B804" t="str">
        <f ca="1">TEXT(DATE(YEAR(Invoer!$A$5),1,1)+INT((ROWS(B$2:B804)-1)/3),"jjjjmmdd")</f>
        <v>19450925</v>
      </c>
      <c r="C804" s="20" t="str">
        <f>INDEX(Data,2,2+MOD(ROWS(C$2:C804)-1,3))</f>
        <v>12.00</v>
      </c>
      <c r="D804" s="14" t="str">
        <f t="shared" ca="1" si="37"/>
        <v>—</v>
      </c>
      <c r="E804" s="25">
        <f t="shared" ca="1" si="38"/>
        <v>7</v>
      </c>
    </row>
    <row r="805" spans="1:5" x14ac:dyDescent="0.25">
      <c r="A805" s="8">
        <f t="shared" si="36"/>
        <v>73</v>
      </c>
      <c r="B805" t="str">
        <f ca="1">TEXT(DATE(YEAR(Invoer!$A$5),1,1)+INT((ROWS(B$2:B805)-1)/3),"jjjjmmdd")</f>
        <v>19450925</v>
      </c>
      <c r="C805" s="20" t="str">
        <f>INDEX(Data,2,2+MOD(ROWS(C$2:C805)-1,3))</f>
        <v>16.00</v>
      </c>
      <c r="D805" s="14" t="str">
        <f t="shared" ca="1" si="37"/>
        <v>—</v>
      </c>
      <c r="E805" s="25">
        <f t="shared" ca="1" si="38"/>
        <v>7</v>
      </c>
    </row>
    <row r="806" spans="1:5" x14ac:dyDescent="0.25">
      <c r="A806" s="8">
        <f t="shared" si="36"/>
        <v>73</v>
      </c>
      <c r="B806" t="str">
        <f ca="1">TEXT(DATE(YEAR(Invoer!$A$5),1,1)+INT((ROWS(B$2:B806)-1)/3),"jjjjmmdd")</f>
        <v>19450926</v>
      </c>
      <c r="C806" s="20" t="str">
        <f>INDEX(Data,2,2+MOD(ROWS(C$2:C806)-1,3))</f>
        <v>08.00</v>
      </c>
      <c r="D806" s="14" t="str">
        <f t="shared" ca="1" si="37"/>
        <v>—</v>
      </c>
      <c r="E806" s="25">
        <f t="shared" ca="1" si="38"/>
        <v>7</v>
      </c>
    </row>
    <row r="807" spans="1:5" x14ac:dyDescent="0.25">
      <c r="A807" s="8">
        <f t="shared" si="36"/>
        <v>73</v>
      </c>
      <c r="B807" t="str">
        <f ca="1">TEXT(DATE(YEAR(Invoer!$A$5),1,1)+INT((ROWS(B$2:B807)-1)/3),"jjjjmmdd")</f>
        <v>19450926</v>
      </c>
      <c r="C807" s="20" t="str">
        <f>INDEX(Data,2,2+MOD(ROWS(C$2:C807)-1,3))</f>
        <v>12.00</v>
      </c>
      <c r="D807" s="14" t="str">
        <f t="shared" ca="1" si="37"/>
        <v>—</v>
      </c>
      <c r="E807" s="25">
        <f t="shared" ca="1" si="38"/>
        <v>7</v>
      </c>
    </row>
    <row r="808" spans="1:5" x14ac:dyDescent="0.25">
      <c r="A808" s="8">
        <f t="shared" si="36"/>
        <v>73</v>
      </c>
      <c r="B808" t="str">
        <f ca="1">TEXT(DATE(YEAR(Invoer!$A$5),1,1)+INT((ROWS(B$2:B808)-1)/3),"jjjjmmdd")</f>
        <v>19450926</v>
      </c>
      <c r="C808" s="20" t="str">
        <f>INDEX(Data,2,2+MOD(ROWS(C$2:C808)-1,3))</f>
        <v>16.00</v>
      </c>
      <c r="D808" s="14" t="str">
        <f t="shared" ca="1" si="37"/>
        <v>—</v>
      </c>
      <c r="E808" s="25">
        <f t="shared" ca="1" si="38"/>
        <v>7</v>
      </c>
    </row>
    <row r="809" spans="1:5" x14ac:dyDescent="0.25">
      <c r="A809" s="8">
        <f t="shared" si="36"/>
        <v>73</v>
      </c>
      <c r="B809" t="str">
        <f ca="1">TEXT(DATE(YEAR(Invoer!$A$5),1,1)+INT((ROWS(B$2:B809)-1)/3),"jjjjmmdd")</f>
        <v>19450927</v>
      </c>
      <c r="C809" s="20" t="str">
        <f>INDEX(Data,2,2+MOD(ROWS(C$2:C809)-1,3))</f>
        <v>08.00</v>
      </c>
      <c r="D809" s="14" t="str">
        <f t="shared" ca="1" si="37"/>
        <v>—</v>
      </c>
      <c r="E809" s="25">
        <f t="shared" ca="1" si="38"/>
        <v>7</v>
      </c>
    </row>
    <row r="810" spans="1:5" x14ac:dyDescent="0.25">
      <c r="A810" s="8">
        <f t="shared" si="36"/>
        <v>73</v>
      </c>
      <c r="B810" t="str">
        <f ca="1">TEXT(DATE(YEAR(Invoer!$A$5),1,1)+INT((ROWS(B$2:B810)-1)/3),"jjjjmmdd")</f>
        <v>19450927</v>
      </c>
      <c r="C810" s="20" t="str">
        <f>INDEX(Data,2,2+MOD(ROWS(C$2:C810)-1,3))</f>
        <v>12.00</v>
      </c>
      <c r="D810" s="14" t="str">
        <f t="shared" ca="1" si="37"/>
        <v>—</v>
      </c>
      <c r="E810" s="25">
        <f t="shared" ca="1" si="38"/>
        <v>7</v>
      </c>
    </row>
    <row r="811" spans="1:5" x14ac:dyDescent="0.25">
      <c r="A811" s="8">
        <f t="shared" si="36"/>
        <v>73</v>
      </c>
      <c r="B811" t="str">
        <f ca="1">TEXT(DATE(YEAR(Invoer!$A$5),1,1)+INT((ROWS(B$2:B811)-1)/3),"jjjjmmdd")</f>
        <v>19450927</v>
      </c>
      <c r="C811" s="20" t="str">
        <f>INDEX(Data,2,2+MOD(ROWS(C$2:C811)-1,3))</f>
        <v>16.00</v>
      </c>
      <c r="D811" s="14" t="str">
        <f t="shared" ca="1" si="37"/>
        <v>—</v>
      </c>
      <c r="E811" s="25">
        <f t="shared" ca="1" si="38"/>
        <v>7</v>
      </c>
    </row>
    <row r="812" spans="1:5" x14ac:dyDescent="0.25">
      <c r="A812" s="8">
        <f t="shared" si="36"/>
        <v>73</v>
      </c>
      <c r="B812" t="str">
        <f ca="1">TEXT(DATE(YEAR(Invoer!$A$5),1,1)+INT((ROWS(B$2:B812)-1)/3),"jjjjmmdd")</f>
        <v>19450928</v>
      </c>
      <c r="C812" s="20" t="str">
        <f>INDEX(Data,2,2+MOD(ROWS(C$2:C812)-1,3))</f>
        <v>08.00</v>
      </c>
      <c r="D812" s="14" t="str">
        <f t="shared" ca="1" si="37"/>
        <v>—</v>
      </c>
      <c r="E812" s="25">
        <f t="shared" ca="1" si="38"/>
        <v>7</v>
      </c>
    </row>
    <row r="813" spans="1:5" x14ac:dyDescent="0.25">
      <c r="A813" s="8">
        <f t="shared" si="36"/>
        <v>73</v>
      </c>
      <c r="B813" t="str">
        <f ca="1">TEXT(DATE(YEAR(Invoer!$A$5),1,1)+INT((ROWS(B$2:B813)-1)/3),"jjjjmmdd")</f>
        <v>19450928</v>
      </c>
      <c r="C813" s="20" t="str">
        <f>INDEX(Data,2,2+MOD(ROWS(C$2:C813)-1,3))</f>
        <v>12.00</v>
      </c>
      <c r="D813" s="14" t="str">
        <f t="shared" ca="1" si="37"/>
        <v>—</v>
      </c>
      <c r="E813" s="25">
        <f t="shared" ca="1" si="38"/>
        <v>7</v>
      </c>
    </row>
    <row r="814" spans="1:5" x14ac:dyDescent="0.25">
      <c r="A814" s="8">
        <f t="shared" si="36"/>
        <v>73</v>
      </c>
      <c r="B814" t="str">
        <f ca="1">TEXT(DATE(YEAR(Invoer!$A$5),1,1)+INT((ROWS(B$2:B814)-1)/3),"jjjjmmdd")</f>
        <v>19450928</v>
      </c>
      <c r="C814" s="20" t="str">
        <f>INDEX(Data,2,2+MOD(ROWS(C$2:C814)-1,3))</f>
        <v>16.00</v>
      </c>
      <c r="D814" s="14" t="str">
        <f t="shared" ca="1" si="37"/>
        <v>—</v>
      </c>
      <c r="E814" s="25">
        <f t="shared" ca="1" si="38"/>
        <v>7</v>
      </c>
    </row>
    <row r="815" spans="1:5" x14ac:dyDescent="0.25">
      <c r="A815" s="8">
        <f t="shared" si="36"/>
        <v>73</v>
      </c>
      <c r="B815" t="str">
        <f ca="1">TEXT(DATE(YEAR(Invoer!$A$5),1,1)+INT((ROWS(B$2:B815)-1)/3),"jjjjmmdd")</f>
        <v>19450929</v>
      </c>
      <c r="C815" s="20" t="str">
        <f>INDEX(Data,2,2+MOD(ROWS(C$2:C815)-1,3))</f>
        <v>08.00</v>
      </c>
      <c r="D815" s="14" t="str">
        <f t="shared" ca="1" si="37"/>
        <v>—</v>
      </c>
      <c r="E815" s="25">
        <f t="shared" ca="1" si="38"/>
        <v>7</v>
      </c>
    </row>
    <row r="816" spans="1:5" x14ac:dyDescent="0.25">
      <c r="A816" s="8">
        <f t="shared" si="36"/>
        <v>73</v>
      </c>
      <c r="B816" t="str">
        <f ca="1">TEXT(DATE(YEAR(Invoer!$A$5),1,1)+INT((ROWS(B$2:B816)-1)/3),"jjjjmmdd")</f>
        <v>19450929</v>
      </c>
      <c r="C816" s="20" t="str">
        <f>INDEX(Data,2,2+MOD(ROWS(C$2:C816)-1,3))</f>
        <v>12.00</v>
      </c>
      <c r="D816" s="14" t="str">
        <f t="shared" ca="1" si="37"/>
        <v>—</v>
      </c>
      <c r="E816" s="25">
        <f t="shared" ca="1" si="38"/>
        <v>7</v>
      </c>
    </row>
    <row r="817" spans="1:5" x14ac:dyDescent="0.25">
      <c r="A817" s="8">
        <f t="shared" si="36"/>
        <v>73</v>
      </c>
      <c r="B817" t="str">
        <f ca="1">TEXT(DATE(YEAR(Invoer!$A$5),1,1)+INT((ROWS(B$2:B817)-1)/3),"jjjjmmdd")</f>
        <v>19450929</v>
      </c>
      <c r="C817" s="20" t="str">
        <f>INDEX(Data,2,2+MOD(ROWS(C$2:C817)-1,3))</f>
        <v>16.00</v>
      </c>
      <c r="D817" s="14" t="str">
        <f t="shared" ca="1" si="37"/>
        <v>—</v>
      </c>
      <c r="E817" s="25">
        <f t="shared" ca="1" si="38"/>
        <v>7</v>
      </c>
    </row>
    <row r="818" spans="1:5" x14ac:dyDescent="0.25">
      <c r="A818" s="8">
        <f t="shared" si="36"/>
        <v>73</v>
      </c>
      <c r="B818" t="str">
        <f ca="1">TEXT(DATE(YEAR(Invoer!$A$5),1,1)+INT((ROWS(B$2:B818)-1)/3),"jjjjmmdd")</f>
        <v>19450930</v>
      </c>
      <c r="C818" s="20" t="str">
        <f>INDEX(Data,2,2+MOD(ROWS(C$2:C818)-1,3))</f>
        <v>08.00</v>
      </c>
      <c r="D818" s="14" t="str">
        <f t="shared" ca="1" si="37"/>
        <v>—</v>
      </c>
      <c r="E818" s="25">
        <f t="shared" ca="1" si="38"/>
        <v>7</v>
      </c>
    </row>
    <row r="819" spans="1:5" x14ac:dyDescent="0.25">
      <c r="A819" s="8">
        <f t="shared" si="36"/>
        <v>73</v>
      </c>
      <c r="B819" t="str">
        <f ca="1">TEXT(DATE(YEAR(Invoer!$A$5),1,1)+INT((ROWS(B$2:B819)-1)/3),"jjjjmmdd")</f>
        <v>19450930</v>
      </c>
      <c r="C819" s="20" t="str">
        <f>INDEX(Data,2,2+MOD(ROWS(C$2:C819)-1,3))</f>
        <v>12.00</v>
      </c>
      <c r="D819" s="14" t="str">
        <f t="shared" ca="1" si="37"/>
        <v>—</v>
      </c>
      <c r="E819" s="25">
        <f t="shared" ca="1" si="38"/>
        <v>7</v>
      </c>
    </row>
    <row r="820" spans="1:5" x14ac:dyDescent="0.25">
      <c r="A820" s="8">
        <f t="shared" si="36"/>
        <v>73</v>
      </c>
      <c r="B820" t="str">
        <f ca="1">TEXT(DATE(YEAR(Invoer!$A$5),1,1)+INT((ROWS(B$2:B820)-1)/3),"jjjjmmdd")</f>
        <v>19450930</v>
      </c>
      <c r="C820" s="20" t="str">
        <f>INDEX(Data,2,2+MOD(ROWS(C$2:C820)-1,3))</f>
        <v>16.00</v>
      </c>
      <c r="D820" s="14" t="str">
        <f t="shared" ca="1" si="37"/>
        <v>—</v>
      </c>
      <c r="E820" s="25">
        <f t="shared" ca="1" si="38"/>
        <v>7</v>
      </c>
    </row>
    <row r="821" spans="1:5" x14ac:dyDescent="0.25">
      <c r="A821" s="8">
        <f t="shared" si="36"/>
        <v>73</v>
      </c>
      <c r="B821" t="str">
        <f ca="1">TEXT(DATE(YEAR(Invoer!$A$5),1,1)+INT((ROWS(B$2:B821)-1)/3),"jjjjmmdd")</f>
        <v>19451001</v>
      </c>
      <c r="C821" s="20" t="str">
        <f>INDEX(Data,2,2+MOD(ROWS(C$2:C821)-1,3))</f>
        <v>08.00</v>
      </c>
      <c r="D821" s="14" t="str">
        <f t="shared" ca="1" si="37"/>
        <v>—</v>
      </c>
      <c r="E821" s="25">
        <f t="shared" ca="1" si="38"/>
        <v>7</v>
      </c>
    </row>
    <row r="822" spans="1:5" x14ac:dyDescent="0.25">
      <c r="A822" s="8">
        <f t="shared" si="36"/>
        <v>73</v>
      </c>
      <c r="B822" t="str">
        <f ca="1">TEXT(DATE(YEAR(Invoer!$A$5),1,1)+INT((ROWS(B$2:B822)-1)/3),"jjjjmmdd")</f>
        <v>19451001</v>
      </c>
      <c r="C822" s="20" t="str">
        <f>INDEX(Data,2,2+MOD(ROWS(C$2:C822)-1,3))</f>
        <v>12.00</v>
      </c>
      <c r="D822" s="14" t="str">
        <f t="shared" ca="1" si="37"/>
        <v>—</v>
      </c>
      <c r="E822" s="25">
        <f t="shared" ca="1" si="38"/>
        <v>7</v>
      </c>
    </row>
    <row r="823" spans="1:5" x14ac:dyDescent="0.25">
      <c r="A823" s="8">
        <f t="shared" si="36"/>
        <v>73</v>
      </c>
      <c r="B823" t="str">
        <f ca="1">TEXT(DATE(YEAR(Invoer!$A$5),1,1)+INT((ROWS(B$2:B823)-1)/3),"jjjjmmdd")</f>
        <v>19451001</v>
      </c>
      <c r="C823" s="20" t="str">
        <f>INDEX(Data,2,2+MOD(ROWS(C$2:C823)-1,3))</f>
        <v>16.00</v>
      </c>
      <c r="D823" s="14" t="str">
        <f t="shared" ca="1" si="37"/>
        <v>—</v>
      </c>
      <c r="E823" s="25">
        <f t="shared" ca="1" si="38"/>
        <v>7</v>
      </c>
    </row>
    <row r="824" spans="1:5" x14ac:dyDescent="0.25">
      <c r="A824" s="8">
        <f t="shared" si="36"/>
        <v>73</v>
      </c>
      <c r="B824" t="str">
        <f ca="1">TEXT(DATE(YEAR(Invoer!$A$5),1,1)+INT((ROWS(B$2:B824)-1)/3),"jjjjmmdd")</f>
        <v>19451002</v>
      </c>
      <c r="C824" s="20" t="str">
        <f>INDEX(Data,2,2+MOD(ROWS(C$2:C824)-1,3))</f>
        <v>08.00</v>
      </c>
      <c r="D824" s="14" t="str">
        <f t="shared" ca="1" si="37"/>
        <v>—</v>
      </c>
      <c r="E824" s="25">
        <f t="shared" ca="1" si="38"/>
        <v>7</v>
      </c>
    </row>
    <row r="825" spans="1:5" x14ac:dyDescent="0.25">
      <c r="A825" s="8">
        <f t="shared" si="36"/>
        <v>73</v>
      </c>
      <c r="B825" t="str">
        <f ca="1">TEXT(DATE(YEAR(Invoer!$A$5),1,1)+INT((ROWS(B$2:B825)-1)/3),"jjjjmmdd")</f>
        <v>19451002</v>
      </c>
      <c r="C825" s="20" t="str">
        <f>INDEX(Data,2,2+MOD(ROWS(C$2:C825)-1,3))</f>
        <v>12.00</v>
      </c>
      <c r="D825" s="14" t="str">
        <f t="shared" ca="1" si="37"/>
        <v>—</v>
      </c>
      <c r="E825" s="25">
        <f t="shared" ca="1" si="38"/>
        <v>7</v>
      </c>
    </row>
    <row r="826" spans="1:5" x14ac:dyDescent="0.25">
      <c r="A826" s="8">
        <f t="shared" si="36"/>
        <v>73</v>
      </c>
      <c r="B826" t="str">
        <f ca="1">TEXT(DATE(YEAR(Invoer!$A$5),1,1)+INT((ROWS(B$2:B826)-1)/3),"jjjjmmdd")</f>
        <v>19451002</v>
      </c>
      <c r="C826" s="20" t="str">
        <f>INDEX(Data,2,2+MOD(ROWS(C$2:C826)-1,3))</f>
        <v>16.00</v>
      </c>
      <c r="D826" s="14" t="str">
        <f t="shared" ca="1" si="37"/>
        <v>—</v>
      </c>
      <c r="E826" s="25">
        <f t="shared" ca="1" si="38"/>
        <v>7</v>
      </c>
    </row>
    <row r="827" spans="1:5" x14ac:dyDescent="0.25">
      <c r="A827" s="8">
        <f t="shared" si="36"/>
        <v>73</v>
      </c>
      <c r="B827" t="str">
        <f ca="1">TEXT(DATE(YEAR(Invoer!$A$5),1,1)+INT((ROWS(B$2:B827)-1)/3),"jjjjmmdd")</f>
        <v>19451003</v>
      </c>
      <c r="C827" s="20" t="str">
        <f>INDEX(Data,2,2+MOD(ROWS(C$2:C827)-1,3))</f>
        <v>08.00</v>
      </c>
      <c r="D827" s="14" t="str">
        <f t="shared" ca="1" si="37"/>
        <v>—</v>
      </c>
      <c r="E827" s="25">
        <f t="shared" ca="1" si="38"/>
        <v>7</v>
      </c>
    </row>
    <row r="828" spans="1:5" x14ac:dyDescent="0.25">
      <c r="A828" s="8">
        <f t="shared" si="36"/>
        <v>73</v>
      </c>
      <c r="B828" t="str">
        <f ca="1">TEXT(DATE(YEAR(Invoer!$A$5),1,1)+INT((ROWS(B$2:B828)-1)/3),"jjjjmmdd")</f>
        <v>19451003</v>
      </c>
      <c r="C828" s="20" t="str">
        <f>INDEX(Data,2,2+MOD(ROWS(C$2:C828)-1,3))</f>
        <v>12.00</v>
      </c>
      <c r="D828" s="14" t="str">
        <f t="shared" ca="1" si="37"/>
        <v>—</v>
      </c>
      <c r="E828" s="25">
        <f t="shared" ca="1" si="38"/>
        <v>7</v>
      </c>
    </row>
    <row r="829" spans="1:5" x14ac:dyDescent="0.25">
      <c r="A829" s="8">
        <f t="shared" si="36"/>
        <v>73</v>
      </c>
      <c r="B829" t="str">
        <f ca="1">TEXT(DATE(YEAR(Invoer!$A$5),1,1)+INT((ROWS(B$2:B829)-1)/3),"jjjjmmdd")</f>
        <v>19451003</v>
      </c>
      <c r="C829" s="20" t="str">
        <f>INDEX(Data,2,2+MOD(ROWS(C$2:C829)-1,3))</f>
        <v>16.00</v>
      </c>
      <c r="D829" s="14" t="str">
        <f t="shared" ca="1" si="37"/>
        <v>—</v>
      </c>
      <c r="E829" s="25">
        <f t="shared" ca="1" si="38"/>
        <v>7</v>
      </c>
    </row>
    <row r="830" spans="1:5" x14ac:dyDescent="0.25">
      <c r="A830" s="8">
        <f t="shared" si="36"/>
        <v>73</v>
      </c>
      <c r="B830" t="str">
        <f ca="1">TEXT(DATE(YEAR(Invoer!$A$5),1,1)+INT((ROWS(B$2:B830)-1)/3),"jjjjmmdd")</f>
        <v>19451004</v>
      </c>
      <c r="C830" s="20" t="str">
        <f>INDEX(Data,2,2+MOD(ROWS(C$2:C830)-1,3))</f>
        <v>08.00</v>
      </c>
      <c r="D830" s="14" t="str">
        <f t="shared" ca="1" si="37"/>
        <v>—</v>
      </c>
      <c r="E830" s="25">
        <f t="shared" ca="1" si="38"/>
        <v>7</v>
      </c>
    </row>
    <row r="831" spans="1:5" x14ac:dyDescent="0.25">
      <c r="A831" s="8">
        <f t="shared" si="36"/>
        <v>73</v>
      </c>
      <c r="B831" t="str">
        <f ca="1">TEXT(DATE(YEAR(Invoer!$A$5),1,1)+INT((ROWS(B$2:B831)-1)/3),"jjjjmmdd")</f>
        <v>19451004</v>
      </c>
      <c r="C831" s="20" t="str">
        <f>INDEX(Data,2,2+MOD(ROWS(C$2:C831)-1,3))</f>
        <v>12.00</v>
      </c>
      <c r="D831" s="14" t="str">
        <f t="shared" ca="1" si="37"/>
        <v>—</v>
      </c>
      <c r="E831" s="25">
        <f t="shared" ca="1" si="38"/>
        <v>7</v>
      </c>
    </row>
    <row r="832" spans="1:5" x14ac:dyDescent="0.25">
      <c r="A832" s="8">
        <f t="shared" si="36"/>
        <v>73</v>
      </c>
      <c r="B832" t="str">
        <f ca="1">TEXT(DATE(YEAR(Invoer!$A$5),1,1)+INT((ROWS(B$2:B832)-1)/3),"jjjjmmdd")</f>
        <v>19451004</v>
      </c>
      <c r="C832" s="20" t="str">
        <f>INDEX(Data,2,2+MOD(ROWS(C$2:C832)-1,3))</f>
        <v>16.00</v>
      </c>
      <c r="D832" s="14" t="str">
        <f t="shared" ca="1" si="37"/>
        <v>—</v>
      </c>
      <c r="E832" s="25">
        <f t="shared" ca="1" si="38"/>
        <v>7</v>
      </c>
    </row>
    <row r="833" spans="1:5" x14ac:dyDescent="0.25">
      <c r="A833" s="8">
        <f t="shared" si="36"/>
        <v>73</v>
      </c>
      <c r="B833" t="str">
        <f ca="1">TEXT(DATE(YEAR(Invoer!$A$5),1,1)+INT((ROWS(B$2:B833)-1)/3),"jjjjmmdd")</f>
        <v>19451005</v>
      </c>
      <c r="C833" s="20" t="str">
        <f>INDEX(Data,2,2+MOD(ROWS(C$2:C833)-1,3))</f>
        <v>08.00</v>
      </c>
      <c r="D833" s="14" t="str">
        <f t="shared" ca="1" si="37"/>
        <v>—</v>
      </c>
      <c r="E833" s="25">
        <f t="shared" ca="1" si="38"/>
        <v>7</v>
      </c>
    </row>
    <row r="834" spans="1:5" x14ac:dyDescent="0.25">
      <c r="A834" s="8">
        <f t="shared" ref="A834:A897" si="39">INDEX(Stations,2,1)</f>
        <v>73</v>
      </c>
      <c r="B834" t="str">
        <f ca="1">TEXT(DATE(YEAR(Invoer!$A$5),1,1)+INT((ROWS(B$2:B834)-1)/3),"jjjjmmdd")</f>
        <v>19451005</v>
      </c>
      <c r="C834" s="20" t="str">
        <f>INDEX(Data,2,2+MOD(ROWS(C$2:C834)-1,3))</f>
        <v>12.00</v>
      </c>
      <c r="D834" s="14" t="str">
        <f t="shared" ref="D834:D897" ca="1" si="40">IF(OR(ISBLANK(VLOOKUP(DATEVALUE(LEFT($B834,4)&amp;"-"&amp;MID($B834,5,2)&amp;"-"&amp;RIGHT($B834,2)),Data,MATCH(LEFT(VLOOKUP(D$1,Parameters,2,FALSE()),4)&amp;"*",OFFSET(Data,0,0,1),0)+MATCH($C834,OFFSET(Data,1,0,1),0)-2,FALSE())),ISTEXT(VLOOKUP(DATEVALUE(LEFT($B834,4)&amp;"-"&amp;MID($B834,5,2)&amp;"-"&amp;RIGHT($B834,2)),Data,MATCH(LEFT(VLOOKUP(D$1,Parameters,2,FALSE()),4)&amp;"*",OFFSET(Data,0,0,1),0)+MATCH($C834,OFFSET(Data,1,0,1),0)-2,FALSE()))),"—",VLOOKUP(DATEVALUE(LEFT($B834,4)&amp;"-"&amp;MID($B834,5,2)&amp;"-"&amp;RIGHT($B834,2)),Data,MATCH(LEFT(VLOOKUP(D$1,Parameters,2,FALSE()),4)&amp;"*",OFFSET(Data,0,0,1),0)+MATCH($C834,OFFSET(Data,1,0,1),0)-2,FALSE()))</f>
        <v>—</v>
      </c>
      <c r="E834" s="25">
        <f t="shared" ref="E834:E897" ca="1" si="41">IF(OR(ISBLANK(VLOOKUP(DATEVALUE(LEFT($B834,4)&amp;"-"&amp;MID($B834,5,2)&amp;"-"&amp;RIGHT($B834,2)),Data,MATCH(LEFT(VLOOKUP(MID(E$1,2,LEN(E$1)-1),Parameters,2,FALSE()),4)&amp;"*",OFFSET(Data,0,0,1),0)+MATCH($C834,OFFSET(Data,1,0,1),0)-2,FALSE())),ISTEXT(VLOOKUP(DATEVALUE(LEFT($B834,4)&amp;"-"&amp;MID($B834,5,2)&amp;"-"&amp;RIGHT($B834,2)),Data,MATCH(LEFT(VLOOKUP(MID(E$1,2,LEN(E$1)-1),Parameters,2,FALSE()),4)&amp;"*",OFFSET(Data,0,0,1),0)+MATCH($C834,OFFSET(Data,1,0,1),0)-2,FALSE()))),Lacking,IF(ISNA(MATCH(DATEVALUE(LEFT($B834,4)&amp;"-"&amp;MID($B834,5,2)&amp;"-"&amp;RIGHT($B834,2)),OFFSET(Catalogus,0,0,,1),0)),Ok,VLOOKUP(DATEVALUE(LEFT($B834,4)&amp;"-"&amp;MID($B834,5,2)&amp;"-"&amp;RIGHT($B834,2)),Catalogus,MATCH(LEFT(VLOOKUP(MID(E$1,2,LEN(E$1)-1),Parameters,2,FALSE()),4)&amp;"*",OFFSET(Catalogus,0,0,1),0)+MATCH($C834,OFFSET(Catalogus,1,0,1),0)-2,FALSE())))</f>
        <v>7</v>
      </c>
    </row>
    <row r="835" spans="1:5" x14ac:dyDescent="0.25">
      <c r="A835" s="8">
        <f t="shared" si="39"/>
        <v>73</v>
      </c>
      <c r="B835" t="str">
        <f ca="1">TEXT(DATE(YEAR(Invoer!$A$5),1,1)+INT((ROWS(B$2:B835)-1)/3),"jjjjmmdd")</f>
        <v>19451005</v>
      </c>
      <c r="C835" s="20" t="str">
        <f>INDEX(Data,2,2+MOD(ROWS(C$2:C835)-1,3))</f>
        <v>16.00</v>
      </c>
      <c r="D835" s="14" t="str">
        <f t="shared" ca="1" si="40"/>
        <v>—</v>
      </c>
      <c r="E835" s="25">
        <f t="shared" ca="1" si="41"/>
        <v>7</v>
      </c>
    </row>
    <row r="836" spans="1:5" x14ac:dyDescent="0.25">
      <c r="A836" s="8">
        <f t="shared" si="39"/>
        <v>73</v>
      </c>
      <c r="B836" t="str">
        <f ca="1">TEXT(DATE(YEAR(Invoer!$A$5),1,1)+INT((ROWS(B$2:B836)-1)/3),"jjjjmmdd")</f>
        <v>19451006</v>
      </c>
      <c r="C836" s="20" t="str">
        <f>INDEX(Data,2,2+MOD(ROWS(C$2:C836)-1,3))</f>
        <v>08.00</v>
      </c>
      <c r="D836" s="14" t="str">
        <f t="shared" ca="1" si="40"/>
        <v>—</v>
      </c>
      <c r="E836" s="25">
        <f t="shared" ca="1" si="41"/>
        <v>7</v>
      </c>
    </row>
    <row r="837" spans="1:5" x14ac:dyDescent="0.25">
      <c r="A837" s="8">
        <f t="shared" si="39"/>
        <v>73</v>
      </c>
      <c r="B837" t="str">
        <f ca="1">TEXT(DATE(YEAR(Invoer!$A$5),1,1)+INT((ROWS(B$2:B837)-1)/3),"jjjjmmdd")</f>
        <v>19451006</v>
      </c>
      <c r="C837" s="20" t="str">
        <f>INDEX(Data,2,2+MOD(ROWS(C$2:C837)-1,3))</f>
        <v>12.00</v>
      </c>
      <c r="D837" s="14" t="str">
        <f t="shared" ca="1" si="40"/>
        <v>—</v>
      </c>
      <c r="E837" s="25">
        <f t="shared" ca="1" si="41"/>
        <v>7</v>
      </c>
    </row>
    <row r="838" spans="1:5" x14ac:dyDescent="0.25">
      <c r="A838" s="8">
        <f t="shared" si="39"/>
        <v>73</v>
      </c>
      <c r="B838" t="str">
        <f ca="1">TEXT(DATE(YEAR(Invoer!$A$5),1,1)+INT((ROWS(B$2:B838)-1)/3),"jjjjmmdd")</f>
        <v>19451006</v>
      </c>
      <c r="C838" s="20" t="str">
        <f>INDEX(Data,2,2+MOD(ROWS(C$2:C838)-1,3))</f>
        <v>16.00</v>
      </c>
      <c r="D838" s="14" t="str">
        <f t="shared" ca="1" si="40"/>
        <v>—</v>
      </c>
      <c r="E838" s="25">
        <f t="shared" ca="1" si="41"/>
        <v>7</v>
      </c>
    </row>
    <row r="839" spans="1:5" x14ac:dyDescent="0.25">
      <c r="A839" s="8">
        <f t="shared" si="39"/>
        <v>73</v>
      </c>
      <c r="B839" t="str">
        <f ca="1">TEXT(DATE(YEAR(Invoer!$A$5),1,1)+INT((ROWS(B$2:B839)-1)/3),"jjjjmmdd")</f>
        <v>19451007</v>
      </c>
      <c r="C839" s="20" t="str">
        <f>INDEX(Data,2,2+MOD(ROWS(C$2:C839)-1,3))</f>
        <v>08.00</v>
      </c>
      <c r="D839" s="14" t="str">
        <f t="shared" ca="1" si="40"/>
        <v>—</v>
      </c>
      <c r="E839" s="25">
        <f t="shared" ca="1" si="41"/>
        <v>7</v>
      </c>
    </row>
    <row r="840" spans="1:5" x14ac:dyDescent="0.25">
      <c r="A840" s="8">
        <f t="shared" si="39"/>
        <v>73</v>
      </c>
      <c r="B840" t="str">
        <f ca="1">TEXT(DATE(YEAR(Invoer!$A$5),1,1)+INT((ROWS(B$2:B840)-1)/3),"jjjjmmdd")</f>
        <v>19451007</v>
      </c>
      <c r="C840" s="20" t="str">
        <f>INDEX(Data,2,2+MOD(ROWS(C$2:C840)-1,3))</f>
        <v>12.00</v>
      </c>
      <c r="D840" s="14" t="str">
        <f t="shared" ca="1" si="40"/>
        <v>—</v>
      </c>
      <c r="E840" s="25">
        <f t="shared" ca="1" si="41"/>
        <v>7</v>
      </c>
    </row>
    <row r="841" spans="1:5" x14ac:dyDescent="0.25">
      <c r="A841" s="8">
        <f t="shared" si="39"/>
        <v>73</v>
      </c>
      <c r="B841" t="str">
        <f ca="1">TEXT(DATE(YEAR(Invoer!$A$5),1,1)+INT((ROWS(B$2:B841)-1)/3),"jjjjmmdd")</f>
        <v>19451007</v>
      </c>
      <c r="C841" s="20" t="str">
        <f>INDEX(Data,2,2+MOD(ROWS(C$2:C841)-1,3))</f>
        <v>16.00</v>
      </c>
      <c r="D841" s="14" t="str">
        <f t="shared" ca="1" si="40"/>
        <v>—</v>
      </c>
      <c r="E841" s="25">
        <f t="shared" ca="1" si="41"/>
        <v>7</v>
      </c>
    </row>
    <row r="842" spans="1:5" x14ac:dyDescent="0.25">
      <c r="A842" s="8">
        <f t="shared" si="39"/>
        <v>73</v>
      </c>
      <c r="B842" t="str">
        <f ca="1">TEXT(DATE(YEAR(Invoer!$A$5),1,1)+INT((ROWS(B$2:B842)-1)/3),"jjjjmmdd")</f>
        <v>19451008</v>
      </c>
      <c r="C842" s="20" t="str">
        <f>INDEX(Data,2,2+MOD(ROWS(C$2:C842)-1,3))</f>
        <v>08.00</v>
      </c>
      <c r="D842" s="14" t="str">
        <f t="shared" ca="1" si="40"/>
        <v>—</v>
      </c>
      <c r="E842" s="25">
        <f t="shared" ca="1" si="41"/>
        <v>7</v>
      </c>
    </row>
    <row r="843" spans="1:5" x14ac:dyDescent="0.25">
      <c r="A843" s="8">
        <f t="shared" si="39"/>
        <v>73</v>
      </c>
      <c r="B843" t="str">
        <f ca="1">TEXT(DATE(YEAR(Invoer!$A$5),1,1)+INT((ROWS(B$2:B843)-1)/3),"jjjjmmdd")</f>
        <v>19451008</v>
      </c>
      <c r="C843" s="20" t="str">
        <f>INDEX(Data,2,2+MOD(ROWS(C$2:C843)-1,3))</f>
        <v>12.00</v>
      </c>
      <c r="D843" s="14" t="str">
        <f t="shared" ca="1" si="40"/>
        <v>—</v>
      </c>
      <c r="E843" s="25">
        <f t="shared" ca="1" si="41"/>
        <v>7</v>
      </c>
    </row>
    <row r="844" spans="1:5" x14ac:dyDescent="0.25">
      <c r="A844" s="8">
        <f t="shared" si="39"/>
        <v>73</v>
      </c>
      <c r="B844" t="str">
        <f ca="1">TEXT(DATE(YEAR(Invoer!$A$5),1,1)+INT((ROWS(B$2:B844)-1)/3),"jjjjmmdd")</f>
        <v>19451008</v>
      </c>
      <c r="C844" s="20" t="str">
        <f>INDEX(Data,2,2+MOD(ROWS(C$2:C844)-1,3))</f>
        <v>16.00</v>
      </c>
      <c r="D844" s="14" t="str">
        <f t="shared" ca="1" si="40"/>
        <v>—</v>
      </c>
      <c r="E844" s="25">
        <f t="shared" ca="1" si="41"/>
        <v>7</v>
      </c>
    </row>
    <row r="845" spans="1:5" x14ac:dyDescent="0.25">
      <c r="A845" s="8">
        <f t="shared" si="39"/>
        <v>73</v>
      </c>
      <c r="B845" t="str">
        <f ca="1">TEXT(DATE(YEAR(Invoer!$A$5),1,1)+INT((ROWS(B$2:B845)-1)/3),"jjjjmmdd")</f>
        <v>19451009</v>
      </c>
      <c r="C845" s="20" t="str">
        <f>INDEX(Data,2,2+MOD(ROWS(C$2:C845)-1,3))</f>
        <v>08.00</v>
      </c>
      <c r="D845" s="14" t="str">
        <f t="shared" ca="1" si="40"/>
        <v>—</v>
      </c>
      <c r="E845" s="25">
        <f t="shared" ca="1" si="41"/>
        <v>7</v>
      </c>
    </row>
    <row r="846" spans="1:5" x14ac:dyDescent="0.25">
      <c r="A846" s="8">
        <f t="shared" si="39"/>
        <v>73</v>
      </c>
      <c r="B846" t="str">
        <f ca="1">TEXT(DATE(YEAR(Invoer!$A$5),1,1)+INT((ROWS(B$2:B846)-1)/3),"jjjjmmdd")</f>
        <v>19451009</v>
      </c>
      <c r="C846" s="20" t="str">
        <f>INDEX(Data,2,2+MOD(ROWS(C$2:C846)-1,3))</f>
        <v>12.00</v>
      </c>
      <c r="D846" s="14" t="str">
        <f t="shared" ca="1" si="40"/>
        <v>—</v>
      </c>
      <c r="E846" s="25">
        <f t="shared" ca="1" si="41"/>
        <v>7</v>
      </c>
    </row>
    <row r="847" spans="1:5" x14ac:dyDescent="0.25">
      <c r="A847" s="8">
        <f t="shared" si="39"/>
        <v>73</v>
      </c>
      <c r="B847" t="str">
        <f ca="1">TEXT(DATE(YEAR(Invoer!$A$5),1,1)+INT((ROWS(B$2:B847)-1)/3),"jjjjmmdd")</f>
        <v>19451009</v>
      </c>
      <c r="C847" s="20" t="str">
        <f>INDEX(Data,2,2+MOD(ROWS(C$2:C847)-1,3))</f>
        <v>16.00</v>
      </c>
      <c r="D847" s="14" t="str">
        <f t="shared" ca="1" si="40"/>
        <v>—</v>
      </c>
      <c r="E847" s="25">
        <f t="shared" ca="1" si="41"/>
        <v>7</v>
      </c>
    </row>
    <row r="848" spans="1:5" x14ac:dyDescent="0.25">
      <c r="A848" s="8">
        <f t="shared" si="39"/>
        <v>73</v>
      </c>
      <c r="B848" t="str">
        <f ca="1">TEXT(DATE(YEAR(Invoer!$A$5),1,1)+INT((ROWS(B$2:B848)-1)/3),"jjjjmmdd")</f>
        <v>19451010</v>
      </c>
      <c r="C848" s="20" t="str">
        <f>INDEX(Data,2,2+MOD(ROWS(C$2:C848)-1,3))</f>
        <v>08.00</v>
      </c>
      <c r="D848" s="14" t="str">
        <f t="shared" ca="1" si="40"/>
        <v>—</v>
      </c>
      <c r="E848" s="25">
        <f t="shared" ca="1" si="41"/>
        <v>7</v>
      </c>
    </row>
    <row r="849" spans="1:5" x14ac:dyDescent="0.25">
      <c r="A849" s="8">
        <f t="shared" si="39"/>
        <v>73</v>
      </c>
      <c r="B849" t="str">
        <f ca="1">TEXT(DATE(YEAR(Invoer!$A$5),1,1)+INT((ROWS(B$2:B849)-1)/3),"jjjjmmdd")</f>
        <v>19451010</v>
      </c>
      <c r="C849" s="20" t="str">
        <f>INDEX(Data,2,2+MOD(ROWS(C$2:C849)-1,3))</f>
        <v>12.00</v>
      </c>
      <c r="D849" s="14" t="str">
        <f t="shared" ca="1" si="40"/>
        <v>—</v>
      </c>
      <c r="E849" s="25">
        <f t="shared" ca="1" si="41"/>
        <v>7</v>
      </c>
    </row>
    <row r="850" spans="1:5" x14ac:dyDescent="0.25">
      <c r="A850" s="8">
        <f t="shared" si="39"/>
        <v>73</v>
      </c>
      <c r="B850" t="str">
        <f ca="1">TEXT(DATE(YEAR(Invoer!$A$5),1,1)+INT((ROWS(B$2:B850)-1)/3),"jjjjmmdd")</f>
        <v>19451010</v>
      </c>
      <c r="C850" s="20" t="str">
        <f>INDEX(Data,2,2+MOD(ROWS(C$2:C850)-1,3))</f>
        <v>16.00</v>
      </c>
      <c r="D850" s="14" t="str">
        <f t="shared" ca="1" si="40"/>
        <v>—</v>
      </c>
      <c r="E850" s="25">
        <f t="shared" ca="1" si="41"/>
        <v>7</v>
      </c>
    </row>
    <row r="851" spans="1:5" x14ac:dyDescent="0.25">
      <c r="A851" s="8">
        <f t="shared" si="39"/>
        <v>73</v>
      </c>
      <c r="B851" t="str">
        <f ca="1">TEXT(DATE(YEAR(Invoer!$A$5),1,1)+INT((ROWS(B$2:B851)-1)/3),"jjjjmmdd")</f>
        <v>19451011</v>
      </c>
      <c r="C851" s="20" t="str">
        <f>INDEX(Data,2,2+MOD(ROWS(C$2:C851)-1,3))</f>
        <v>08.00</v>
      </c>
      <c r="D851" s="14" t="str">
        <f t="shared" ca="1" si="40"/>
        <v>—</v>
      </c>
      <c r="E851" s="25">
        <f t="shared" ca="1" si="41"/>
        <v>7</v>
      </c>
    </row>
    <row r="852" spans="1:5" x14ac:dyDescent="0.25">
      <c r="A852" s="8">
        <f t="shared" si="39"/>
        <v>73</v>
      </c>
      <c r="B852" t="str">
        <f ca="1">TEXT(DATE(YEAR(Invoer!$A$5),1,1)+INT((ROWS(B$2:B852)-1)/3),"jjjjmmdd")</f>
        <v>19451011</v>
      </c>
      <c r="C852" s="20" t="str">
        <f>INDEX(Data,2,2+MOD(ROWS(C$2:C852)-1,3))</f>
        <v>12.00</v>
      </c>
      <c r="D852" s="14" t="str">
        <f t="shared" ca="1" si="40"/>
        <v>—</v>
      </c>
      <c r="E852" s="25">
        <f t="shared" ca="1" si="41"/>
        <v>7</v>
      </c>
    </row>
    <row r="853" spans="1:5" x14ac:dyDescent="0.25">
      <c r="A853" s="8">
        <f t="shared" si="39"/>
        <v>73</v>
      </c>
      <c r="B853" t="str">
        <f ca="1">TEXT(DATE(YEAR(Invoer!$A$5),1,1)+INT((ROWS(B$2:B853)-1)/3),"jjjjmmdd")</f>
        <v>19451011</v>
      </c>
      <c r="C853" s="20" t="str">
        <f>INDEX(Data,2,2+MOD(ROWS(C$2:C853)-1,3))</f>
        <v>16.00</v>
      </c>
      <c r="D853" s="14" t="str">
        <f t="shared" ca="1" si="40"/>
        <v>—</v>
      </c>
      <c r="E853" s="25">
        <f t="shared" ca="1" si="41"/>
        <v>7</v>
      </c>
    </row>
    <row r="854" spans="1:5" x14ac:dyDescent="0.25">
      <c r="A854" s="8">
        <f t="shared" si="39"/>
        <v>73</v>
      </c>
      <c r="B854" t="str">
        <f ca="1">TEXT(DATE(YEAR(Invoer!$A$5),1,1)+INT((ROWS(B$2:B854)-1)/3),"jjjjmmdd")</f>
        <v>19451012</v>
      </c>
      <c r="C854" s="20" t="str">
        <f>INDEX(Data,2,2+MOD(ROWS(C$2:C854)-1,3))</f>
        <v>08.00</v>
      </c>
      <c r="D854" s="14" t="str">
        <f t="shared" ca="1" si="40"/>
        <v>—</v>
      </c>
      <c r="E854" s="25">
        <f t="shared" ca="1" si="41"/>
        <v>7</v>
      </c>
    </row>
    <row r="855" spans="1:5" x14ac:dyDescent="0.25">
      <c r="A855" s="8">
        <f t="shared" si="39"/>
        <v>73</v>
      </c>
      <c r="B855" t="str">
        <f ca="1">TEXT(DATE(YEAR(Invoer!$A$5),1,1)+INT((ROWS(B$2:B855)-1)/3),"jjjjmmdd")</f>
        <v>19451012</v>
      </c>
      <c r="C855" s="20" t="str">
        <f>INDEX(Data,2,2+MOD(ROWS(C$2:C855)-1,3))</f>
        <v>12.00</v>
      </c>
      <c r="D855" s="14" t="str">
        <f t="shared" ca="1" si="40"/>
        <v>—</v>
      </c>
      <c r="E855" s="25">
        <f t="shared" ca="1" si="41"/>
        <v>7</v>
      </c>
    </row>
    <row r="856" spans="1:5" x14ac:dyDescent="0.25">
      <c r="A856" s="8">
        <f t="shared" si="39"/>
        <v>73</v>
      </c>
      <c r="B856" t="str">
        <f ca="1">TEXT(DATE(YEAR(Invoer!$A$5),1,1)+INT((ROWS(B$2:B856)-1)/3),"jjjjmmdd")</f>
        <v>19451012</v>
      </c>
      <c r="C856" s="20" t="str">
        <f>INDEX(Data,2,2+MOD(ROWS(C$2:C856)-1,3))</f>
        <v>16.00</v>
      </c>
      <c r="D856" s="14" t="str">
        <f t="shared" ca="1" si="40"/>
        <v>—</v>
      </c>
      <c r="E856" s="25">
        <f t="shared" ca="1" si="41"/>
        <v>7</v>
      </c>
    </row>
    <row r="857" spans="1:5" x14ac:dyDescent="0.25">
      <c r="A857" s="8">
        <f t="shared" si="39"/>
        <v>73</v>
      </c>
      <c r="B857" t="str">
        <f ca="1">TEXT(DATE(YEAR(Invoer!$A$5),1,1)+INT((ROWS(B$2:B857)-1)/3),"jjjjmmdd")</f>
        <v>19451013</v>
      </c>
      <c r="C857" s="20" t="str">
        <f>INDEX(Data,2,2+MOD(ROWS(C$2:C857)-1,3))</f>
        <v>08.00</v>
      </c>
      <c r="D857" s="14" t="str">
        <f t="shared" ca="1" si="40"/>
        <v>—</v>
      </c>
      <c r="E857" s="25">
        <f t="shared" ca="1" si="41"/>
        <v>7</v>
      </c>
    </row>
    <row r="858" spans="1:5" x14ac:dyDescent="0.25">
      <c r="A858" s="8">
        <f t="shared" si="39"/>
        <v>73</v>
      </c>
      <c r="B858" t="str">
        <f ca="1">TEXT(DATE(YEAR(Invoer!$A$5),1,1)+INT((ROWS(B$2:B858)-1)/3),"jjjjmmdd")</f>
        <v>19451013</v>
      </c>
      <c r="C858" s="20" t="str">
        <f>INDEX(Data,2,2+MOD(ROWS(C$2:C858)-1,3))</f>
        <v>12.00</v>
      </c>
      <c r="D858" s="14" t="str">
        <f t="shared" ca="1" si="40"/>
        <v>—</v>
      </c>
      <c r="E858" s="25">
        <f t="shared" ca="1" si="41"/>
        <v>7</v>
      </c>
    </row>
    <row r="859" spans="1:5" x14ac:dyDescent="0.25">
      <c r="A859" s="8">
        <f t="shared" si="39"/>
        <v>73</v>
      </c>
      <c r="B859" t="str">
        <f ca="1">TEXT(DATE(YEAR(Invoer!$A$5),1,1)+INT((ROWS(B$2:B859)-1)/3),"jjjjmmdd")</f>
        <v>19451013</v>
      </c>
      <c r="C859" s="20" t="str">
        <f>INDEX(Data,2,2+MOD(ROWS(C$2:C859)-1,3))</f>
        <v>16.00</v>
      </c>
      <c r="D859" s="14" t="str">
        <f t="shared" ca="1" si="40"/>
        <v>—</v>
      </c>
      <c r="E859" s="25">
        <f t="shared" ca="1" si="41"/>
        <v>7</v>
      </c>
    </row>
    <row r="860" spans="1:5" x14ac:dyDescent="0.25">
      <c r="A860" s="8">
        <f t="shared" si="39"/>
        <v>73</v>
      </c>
      <c r="B860" t="str">
        <f ca="1">TEXT(DATE(YEAR(Invoer!$A$5),1,1)+INT((ROWS(B$2:B860)-1)/3),"jjjjmmdd")</f>
        <v>19451014</v>
      </c>
      <c r="C860" s="20" t="str">
        <f>INDEX(Data,2,2+MOD(ROWS(C$2:C860)-1,3))</f>
        <v>08.00</v>
      </c>
      <c r="D860" s="14" t="str">
        <f t="shared" ca="1" si="40"/>
        <v>—</v>
      </c>
      <c r="E860" s="25">
        <f t="shared" ca="1" si="41"/>
        <v>7</v>
      </c>
    </row>
    <row r="861" spans="1:5" x14ac:dyDescent="0.25">
      <c r="A861" s="8">
        <f t="shared" si="39"/>
        <v>73</v>
      </c>
      <c r="B861" t="str">
        <f ca="1">TEXT(DATE(YEAR(Invoer!$A$5),1,1)+INT((ROWS(B$2:B861)-1)/3),"jjjjmmdd")</f>
        <v>19451014</v>
      </c>
      <c r="C861" s="20" t="str">
        <f>INDEX(Data,2,2+MOD(ROWS(C$2:C861)-1,3))</f>
        <v>12.00</v>
      </c>
      <c r="D861" s="14" t="str">
        <f t="shared" ca="1" si="40"/>
        <v>—</v>
      </c>
      <c r="E861" s="25">
        <f t="shared" ca="1" si="41"/>
        <v>7</v>
      </c>
    </row>
    <row r="862" spans="1:5" x14ac:dyDescent="0.25">
      <c r="A862" s="8">
        <f t="shared" si="39"/>
        <v>73</v>
      </c>
      <c r="B862" t="str">
        <f ca="1">TEXT(DATE(YEAR(Invoer!$A$5),1,1)+INT((ROWS(B$2:B862)-1)/3),"jjjjmmdd")</f>
        <v>19451014</v>
      </c>
      <c r="C862" s="20" t="str">
        <f>INDEX(Data,2,2+MOD(ROWS(C$2:C862)-1,3))</f>
        <v>16.00</v>
      </c>
      <c r="D862" s="14" t="str">
        <f t="shared" ca="1" si="40"/>
        <v>—</v>
      </c>
      <c r="E862" s="25">
        <f t="shared" ca="1" si="41"/>
        <v>7</v>
      </c>
    </row>
    <row r="863" spans="1:5" x14ac:dyDescent="0.25">
      <c r="A863" s="8">
        <f t="shared" si="39"/>
        <v>73</v>
      </c>
      <c r="B863" t="str">
        <f ca="1">TEXT(DATE(YEAR(Invoer!$A$5),1,1)+INT((ROWS(B$2:B863)-1)/3),"jjjjmmdd")</f>
        <v>19451015</v>
      </c>
      <c r="C863" s="20" t="str">
        <f>INDEX(Data,2,2+MOD(ROWS(C$2:C863)-1,3))</f>
        <v>08.00</v>
      </c>
      <c r="D863" s="14" t="str">
        <f t="shared" ca="1" si="40"/>
        <v>—</v>
      </c>
      <c r="E863" s="25">
        <f t="shared" ca="1" si="41"/>
        <v>7</v>
      </c>
    </row>
    <row r="864" spans="1:5" x14ac:dyDescent="0.25">
      <c r="A864" s="8">
        <f t="shared" si="39"/>
        <v>73</v>
      </c>
      <c r="B864" t="str">
        <f ca="1">TEXT(DATE(YEAR(Invoer!$A$5),1,1)+INT((ROWS(B$2:B864)-1)/3),"jjjjmmdd")</f>
        <v>19451015</v>
      </c>
      <c r="C864" s="20" t="str">
        <f>INDEX(Data,2,2+MOD(ROWS(C$2:C864)-1,3))</f>
        <v>12.00</v>
      </c>
      <c r="D864" s="14" t="str">
        <f t="shared" ca="1" si="40"/>
        <v>—</v>
      </c>
      <c r="E864" s="25">
        <f t="shared" ca="1" si="41"/>
        <v>7</v>
      </c>
    </row>
    <row r="865" spans="1:5" x14ac:dyDescent="0.25">
      <c r="A865" s="8">
        <f t="shared" si="39"/>
        <v>73</v>
      </c>
      <c r="B865" t="str">
        <f ca="1">TEXT(DATE(YEAR(Invoer!$A$5),1,1)+INT((ROWS(B$2:B865)-1)/3),"jjjjmmdd")</f>
        <v>19451015</v>
      </c>
      <c r="C865" s="20" t="str">
        <f>INDEX(Data,2,2+MOD(ROWS(C$2:C865)-1,3))</f>
        <v>16.00</v>
      </c>
      <c r="D865" s="14" t="str">
        <f t="shared" ca="1" si="40"/>
        <v>—</v>
      </c>
      <c r="E865" s="25">
        <f t="shared" ca="1" si="41"/>
        <v>7</v>
      </c>
    </row>
    <row r="866" spans="1:5" x14ac:dyDescent="0.25">
      <c r="A866" s="8">
        <f t="shared" si="39"/>
        <v>73</v>
      </c>
      <c r="B866" t="str">
        <f ca="1">TEXT(DATE(YEAR(Invoer!$A$5),1,1)+INT((ROWS(B$2:B866)-1)/3),"jjjjmmdd")</f>
        <v>19451016</v>
      </c>
      <c r="C866" s="20" t="str">
        <f>INDEX(Data,2,2+MOD(ROWS(C$2:C866)-1,3))</f>
        <v>08.00</v>
      </c>
      <c r="D866" s="14" t="str">
        <f t="shared" ca="1" si="40"/>
        <v>—</v>
      </c>
      <c r="E866" s="25">
        <f t="shared" ca="1" si="41"/>
        <v>7</v>
      </c>
    </row>
    <row r="867" spans="1:5" x14ac:dyDescent="0.25">
      <c r="A867" s="8">
        <f t="shared" si="39"/>
        <v>73</v>
      </c>
      <c r="B867" t="str">
        <f ca="1">TEXT(DATE(YEAR(Invoer!$A$5),1,1)+INT((ROWS(B$2:B867)-1)/3),"jjjjmmdd")</f>
        <v>19451016</v>
      </c>
      <c r="C867" s="20" t="str">
        <f>INDEX(Data,2,2+MOD(ROWS(C$2:C867)-1,3))</f>
        <v>12.00</v>
      </c>
      <c r="D867" s="14" t="str">
        <f t="shared" ca="1" si="40"/>
        <v>—</v>
      </c>
      <c r="E867" s="25">
        <f t="shared" ca="1" si="41"/>
        <v>7</v>
      </c>
    </row>
    <row r="868" spans="1:5" x14ac:dyDescent="0.25">
      <c r="A868" s="8">
        <f t="shared" si="39"/>
        <v>73</v>
      </c>
      <c r="B868" t="str">
        <f ca="1">TEXT(DATE(YEAR(Invoer!$A$5),1,1)+INT((ROWS(B$2:B868)-1)/3),"jjjjmmdd")</f>
        <v>19451016</v>
      </c>
      <c r="C868" s="20" t="str">
        <f>INDEX(Data,2,2+MOD(ROWS(C$2:C868)-1,3))</f>
        <v>16.00</v>
      </c>
      <c r="D868" s="14" t="str">
        <f t="shared" ca="1" si="40"/>
        <v>—</v>
      </c>
      <c r="E868" s="25">
        <f t="shared" ca="1" si="41"/>
        <v>7</v>
      </c>
    </row>
    <row r="869" spans="1:5" x14ac:dyDescent="0.25">
      <c r="A869" s="8">
        <f t="shared" si="39"/>
        <v>73</v>
      </c>
      <c r="B869" t="str">
        <f ca="1">TEXT(DATE(YEAR(Invoer!$A$5),1,1)+INT((ROWS(B$2:B869)-1)/3),"jjjjmmdd")</f>
        <v>19451017</v>
      </c>
      <c r="C869" s="20" t="str">
        <f>INDEX(Data,2,2+MOD(ROWS(C$2:C869)-1,3))</f>
        <v>08.00</v>
      </c>
      <c r="D869" s="14" t="str">
        <f t="shared" ca="1" si="40"/>
        <v>—</v>
      </c>
      <c r="E869" s="25">
        <f t="shared" ca="1" si="41"/>
        <v>7</v>
      </c>
    </row>
    <row r="870" spans="1:5" x14ac:dyDescent="0.25">
      <c r="A870" s="8">
        <f t="shared" si="39"/>
        <v>73</v>
      </c>
      <c r="B870" t="str">
        <f ca="1">TEXT(DATE(YEAR(Invoer!$A$5),1,1)+INT((ROWS(B$2:B870)-1)/3),"jjjjmmdd")</f>
        <v>19451017</v>
      </c>
      <c r="C870" s="20" t="str">
        <f>INDEX(Data,2,2+MOD(ROWS(C$2:C870)-1,3))</f>
        <v>12.00</v>
      </c>
      <c r="D870" s="14" t="str">
        <f t="shared" ca="1" si="40"/>
        <v>—</v>
      </c>
      <c r="E870" s="25">
        <f t="shared" ca="1" si="41"/>
        <v>7</v>
      </c>
    </row>
    <row r="871" spans="1:5" x14ac:dyDescent="0.25">
      <c r="A871" s="8">
        <f t="shared" si="39"/>
        <v>73</v>
      </c>
      <c r="B871" t="str">
        <f ca="1">TEXT(DATE(YEAR(Invoer!$A$5),1,1)+INT((ROWS(B$2:B871)-1)/3),"jjjjmmdd")</f>
        <v>19451017</v>
      </c>
      <c r="C871" s="20" t="str">
        <f>INDEX(Data,2,2+MOD(ROWS(C$2:C871)-1,3))</f>
        <v>16.00</v>
      </c>
      <c r="D871" s="14" t="str">
        <f t="shared" ca="1" si="40"/>
        <v>—</v>
      </c>
      <c r="E871" s="25">
        <f t="shared" ca="1" si="41"/>
        <v>7</v>
      </c>
    </row>
    <row r="872" spans="1:5" x14ac:dyDescent="0.25">
      <c r="A872" s="8">
        <f t="shared" si="39"/>
        <v>73</v>
      </c>
      <c r="B872" t="str">
        <f ca="1">TEXT(DATE(YEAR(Invoer!$A$5),1,1)+INT((ROWS(B$2:B872)-1)/3),"jjjjmmdd")</f>
        <v>19451018</v>
      </c>
      <c r="C872" s="20" t="str">
        <f>INDEX(Data,2,2+MOD(ROWS(C$2:C872)-1,3))</f>
        <v>08.00</v>
      </c>
      <c r="D872" s="14" t="str">
        <f t="shared" ca="1" si="40"/>
        <v>—</v>
      </c>
      <c r="E872" s="25">
        <f t="shared" ca="1" si="41"/>
        <v>7</v>
      </c>
    </row>
    <row r="873" spans="1:5" x14ac:dyDescent="0.25">
      <c r="A873" s="8">
        <f t="shared" si="39"/>
        <v>73</v>
      </c>
      <c r="B873" t="str">
        <f ca="1">TEXT(DATE(YEAR(Invoer!$A$5),1,1)+INT((ROWS(B$2:B873)-1)/3),"jjjjmmdd")</f>
        <v>19451018</v>
      </c>
      <c r="C873" s="20" t="str">
        <f>INDEX(Data,2,2+MOD(ROWS(C$2:C873)-1,3))</f>
        <v>12.00</v>
      </c>
      <c r="D873" s="14" t="str">
        <f t="shared" ca="1" si="40"/>
        <v>—</v>
      </c>
      <c r="E873" s="25">
        <f t="shared" ca="1" si="41"/>
        <v>7</v>
      </c>
    </row>
    <row r="874" spans="1:5" x14ac:dyDescent="0.25">
      <c r="A874" s="8">
        <f t="shared" si="39"/>
        <v>73</v>
      </c>
      <c r="B874" t="str">
        <f ca="1">TEXT(DATE(YEAR(Invoer!$A$5),1,1)+INT((ROWS(B$2:B874)-1)/3),"jjjjmmdd")</f>
        <v>19451018</v>
      </c>
      <c r="C874" s="20" t="str">
        <f>INDEX(Data,2,2+MOD(ROWS(C$2:C874)-1,3))</f>
        <v>16.00</v>
      </c>
      <c r="D874" s="14" t="str">
        <f t="shared" ca="1" si="40"/>
        <v>—</v>
      </c>
      <c r="E874" s="25">
        <f t="shared" ca="1" si="41"/>
        <v>7</v>
      </c>
    </row>
    <row r="875" spans="1:5" x14ac:dyDescent="0.25">
      <c r="A875" s="8">
        <f t="shared" si="39"/>
        <v>73</v>
      </c>
      <c r="B875" t="str">
        <f ca="1">TEXT(DATE(YEAR(Invoer!$A$5),1,1)+INT((ROWS(B$2:B875)-1)/3),"jjjjmmdd")</f>
        <v>19451019</v>
      </c>
      <c r="C875" s="20" t="str">
        <f>INDEX(Data,2,2+MOD(ROWS(C$2:C875)-1,3))</f>
        <v>08.00</v>
      </c>
      <c r="D875" s="14" t="str">
        <f t="shared" ca="1" si="40"/>
        <v>—</v>
      </c>
      <c r="E875" s="25">
        <f t="shared" ca="1" si="41"/>
        <v>7</v>
      </c>
    </row>
    <row r="876" spans="1:5" x14ac:dyDescent="0.25">
      <c r="A876" s="8">
        <f t="shared" si="39"/>
        <v>73</v>
      </c>
      <c r="B876" t="str">
        <f ca="1">TEXT(DATE(YEAR(Invoer!$A$5),1,1)+INT((ROWS(B$2:B876)-1)/3),"jjjjmmdd")</f>
        <v>19451019</v>
      </c>
      <c r="C876" s="20" t="str">
        <f>INDEX(Data,2,2+MOD(ROWS(C$2:C876)-1,3))</f>
        <v>12.00</v>
      </c>
      <c r="D876" s="14" t="str">
        <f t="shared" ca="1" si="40"/>
        <v>—</v>
      </c>
      <c r="E876" s="25">
        <f t="shared" ca="1" si="41"/>
        <v>7</v>
      </c>
    </row>
    <row r="877" spans="1:5" x14ac:dyDescent="0.25">
      <c r="A877" s="8">
        <f t="shared" si="39"/>
        <v>73</v>
      </c>
      <c r="B877" t="str">
        <f ca="1">TEXT(DATE(YEAR(Invoer!$A$5),1,1)+INT((ROWS(B$2:B877)-1)/3),"jjjjmmdd")</f>
        <v>19451019</v>
      </c>
      <c r="C877" s="20" t="str">
        <f>INDEX(Data,2,2+MOD(ROWS(C$2:C877)-1,3))</f>
        <v>16.00</v>
      </c>
      <c r="D877" s="14" t="str">
        <f t="shared" ca="1" si="40"/>
        <v>—</v>
      </c>
      <c r="E877" s="25">
        <f t="shared" ca="1" si="41"/>
        <v>7</v>
      </c>
    </row>
    <row r="878" spans="1:5" x14ac:dyDescent="0.25">
      <c r="A878" s="8">
        <f t="shared" si="39"/>
        <v>73</v>
      </c>
      <c r="B878" t="str">
        <f ca="1">TEXT(DATE(YEAR(Invoer!$A$5),1,1)+INT((ROWS(B$2:B878)-1)/3),"jjjjmmdd")</f>
        <v>19451020</v>
      </c>
      <c r="C878" s="20" t="str">
        <f>INDEX(Data,2,2+MOD(ROWS(C$2:C878)-1,3))</f>
        <v>08.00</v>
      </c>
      <c r="D878" s="14" t="str">
        <f t="shared" ca="1" si="40"/>
        <v>—</v>
      </c>
      <c r="E878" s="25">
        <f t="shared" ca="1" si="41"/>
        <v>7</v>
      </c>
    </row>
    <row r="879" spans="1:5" x14ac:dyDescent="0.25">
      <c r="A879" s="8">
        <f t="shared" si="39"/>
        <v>73</v>
      </c>
      <c r="B879" t="str">
        <f ca="1">TEXT(DATE(YEAR(Invoer!$A$5),1,1)+INT((ROWS(B$2:B879)-1)/3),"jjjjmmdd")</f>
        <v>19451020</v>
      </c>
      <c r="C879" s="20" t="str">
        <f>INDEX(Data,2,2+MOD(ROWS(C$2:C879)-1,3))</f>
        <v>12.00</v>
      </c>
      <c r="D879" s="14" t="str">
        <f t="shared" ca="1" si="40"/>
        <v>—</v>
      </c>
      <c r="E879" s="25">
        <f t="shared" ca="1" si="41"/>
        <v>7</v>
      </c>
    </row>
    <row r="880" spans="1:5" x14ac:dyDescent="0.25">
      <c r="A880" s="8">
        <f t="shared" si="39"/>
        <v>73</v>
      </c>
      <c r="B880" t="str">
        <f ca="1">TEXT(DATE(YEAR(Invoer!$A$5),1,1)+INT((ROWS(B$2:B880)-1)/3),"jjjjmmdd")</f>
        <v>19451020</v>
      </c>
      <c r="C880" s="20" t="str">
        <f>INDEX(Data,2,2+MOD(ROWS(C$2:C880)-1,3))</f>
        <v>16.00</v>
      </c>
      <c r="D880" s="14" t="str">
        <f t="shared" ca="1" si="40"/>
        <v>—</v>
      </c>
      <c r="E880" s="25">
        <f t="shared" ca="1" si="41"/>
        <v>7</v>
      </c>
    </row>
    <row r="881" spans="1:5" x14ac:dyDescent="0.25">
      <c r="A881" s="8">
        <f t="shared" si="39"/>
        <v>73</v>
      </c>
      <c r="B881" t="str">
        <f ca="1">TEXT(DATE(YEAR(Invoer!$A$5),1,1)+INT((ROWS(B$2:B881)-1)/3),"jjjjmmdd")</f>
        <v>19451021</v>
      </c>
      <c r="C881" s="20" t="str">
        <f>INDEX(Data,2,2+MOD(ROWS(C$2:C881)-1,3))</f>
        <v>08.00</v>
      </c>
      <c r="D881" s="14" t="str">
        <f t="shared" ca="1" si="40"/>
        <v>—</v>
      </c>
      <c r="E881" s="25">
        <f t="shared" ca="1" si="41"/>
        <v>7</v>
      </c>
    </row>
    <row r="882" spans="1:5" x14ac:dyDescent="0.25">
      <c r="A882" s="8">
        <f t="shared" si="39"/>
        <v>73</v>
      </c>
      <c r="B882" t="str">
        <f ca="1">TEXT(DATE(YEAR(Invoer!$A$5),1,1)+INT((ROWS(B$2:B882)-1)/3),"jjjjmmdd")</f>
        <v>19451021</v>
      </c>
      <c r="C882" s="20" t="str">
        <f>INDEX(Data,2,2+MOD(ROWS(C$2:C882)-1,3))</f>
        <v>12.00</v>
      </c>
      <c r="D882" s="14" t="str">
        <f t="shared" ca="1" si="40"/>
        <v>—</v>
      </c>
      <c r="E882" s="25">
        <f t="shared" ca="1" si="41"/>
        <v>7</v>
      </c>
    </row>
    <row r="883" spans="1:5" x14ac:dyDescent="0.25">
      <c r="A883" s="8">
        <f t="shared" si="39"/>
        <v>73</v>
      </c>
      <c r="B883" t="str">
        <f ca="1">TEXT(DATE(YEAR(Invoer!$A$5),1,1)+INT((ROWS(B$2:B883)-1)/3),"jjjjmmdd")</f>
        <v>19451021</v>
      </c>
      <c r="C883" s="20" t="str">
        <f>INDEX(Data,2,2+MOD(ROWS(C$2:C883)-1,3))</f>
        <v>16.00</v>
      </c>
      <c r="D883" s="14" t="str">
        <f t="shared" ca="1" si="40"/>
        <v>—</v>
      </c>
      <c r="E883" s="25">
        <f t="shared" ca="1" si="41"/>
        <v>7</v>
      </c>
    </row>
    <row r="884" spans="1:5" x14ac:dyDescent="0.25">
      <c r="A884" s="8">
        <f t="shared" si="39"/>
        <v>73</v>
      </c>
      <c r="B884" t="str">
        <f ca="1">TEXT(DATE(YEAR(Invoer!$A$5),1,1)+INT((ROWS(B$2:B884)-1)/3),"jjjjmmdd")</f>
        <v>19451022</v>
      </c>
      <c r="C884" s="20" t="str">
        <f>INDEX(Data,2,2+MOD(ROWS(C$2:C884)-1,3))</f>
        <v>08.00</v>
      </c>
      <c r="D884" s="14" t="str">
        <f t="shared" ca="1" si="40"/>
        <v>—</v>
      </c>
      <c r="E884" s="25">
        <f t="shared" ca="1" si="41"/>
        <v>7</v>
      </c>
    </row>
    <row r="885" spans="1:5" x14ac:dyDescent="0.25">
      <c r="A885" s="8">
        <f t="shared" si="39"/>
        <v>73</v>
      </c>
      <c r="B885" t="str">
        <f ca="1">TEXT(DATE(YEAR(Invoer!$A$5),1,1)+INT((ROWS(B$2:B885)-1)/3),"jjjjmmdd")</f>
        <v>19451022</v>
      </c>
      <c r="C885" s="20" t="str">
        <f>INDEX(Data,2,2+MOD(ROWS(C$2:C885)-1,3))</f>
        <v>12.00</v>
      </c>
      <c r="D885" s="14" t="str">
        <f t="shared" ca="1" si="40"/>
        <v>—</v>
      </c>
      <c r="E885" s="25">
        <f t="shared" ca="1" si="41"/>
        <v>7</v>
      </c>
    </row>
    <row r="886" spans="1:5" x14ac:dyDescent="0.25">
      <c r="A886" s="8">
        <f t="shared" si="39"/>
        <v>73</v>
      </c>
      <c r="B886" t="str">
        <f ca="1">TEXT(DATE(YEAR(Invoer!$A$5),1,1)+INT((ROWS(B$2:B886)-1)/3),"jjjjmmdd")</f>
        <v>19451022</v>
      </c>
      <c r="C886" s="20" t="str">
        <f>INDEX(Data,2,2+MOD(ROWS(C$2:C886)-1,3))</f>
        <v>16.00</v>
      </c>
      <c r="D886" s="14" t="str">
        <f t="shared" ca="1" si="40"/>
        <v>—</v>
      </c>
      <c r="E886" s="25">
        <f t="shared" ca="1" si="41"/>
        <v>7</v>
      </c>
    </row>
    <row r="887" spans="1:5" x14ac:dyDescent="0.25">
      <c r="A887" s="8">
        <f t="shared" si="39"/>
        <v>73</v>
      </c>
      <c r="B887" t="str">
        <f ca="1">TEXT(DATE(YEAR(Invoer!$A$5),1,1)+INT((ROWS(B$2:B887)-1)/3),"jjjjmmdd")</f>
        <v>19451023</v>
      </c>
      <c r="C887" s="20" t="str">
        <f>INDEX(Data,2,2+MOD(ROWS(C$2:C887)-1,3))</f>
        <v>08.00</v>
      </c>
      <c r="D887" s="14" t="str">
        <f t="shared" ca="1" si="40"/>
        <v>—</v>
      </c>
      <c r="E887" s="25">
        <f t="shared" ca="1" si="41"/>
        <v>7</v>
      </c>
    </row>
    <row r="888" spans="1:5" x14ac:dyDescent="0.25">
      <c r="A888" s="8">
        <f t="shared" si="39"/>
        <v>73</v>
      </c>
      <c r="B888" t="str">
        <f ca="1">TEXT(DATE(YEAR(Invoer!$A$5),1,1)+INT((ROWS(B$2:B888)-1)/3),"jjjjmmdd")</f>
        <v>19451023</v>
      </c>
      <c r="C888" s="20" t="str">
        <f>INDEX(Data,2,2+MOD(ROWS(C$2:C888)-1,3))</f>
        <v>12.00</v>
      </c>
      <c r="D888" s="14" t="str">
        <f t="shared" ca="1" si="40"/>
        <v>—</v>
      </c>
      <c r="E888" s="25">
        <f t="shared" ca="1" si="41"/>
        <v>7</v>
      </c>
    </row>
    <row r="889" spans="1:5" x14ac:dyDescent="0.25">
      <c r="A889" s="8">
        <f t="shared" si="39"/>
        <v>73</v>
      </c>
      <c r="B889" t="str">
        <f ca="1">TEXT(DATE(YEAR(Invoer!$A$5),1,1)+INT((ROWS(B$2:B889)-1)/3),"jjjjmmdd")</f>
        <v>19451023</v>
      </c>
      <c r="C889" s="20" t="str">
        <f>INDEX(Data,2,2+MOD(ROWS(C$2:C889)-1,3))</f>
        <v>16.00</v>
      </c>
      <c r="D889" s="14" t="str">
        <f t="shared" ca="1" si="40"/>
        <v>—</v>
      </c>
      <c r="E889" s="25">
        <f t="shared" ca="1" si="41"/>
        <v>7</v>
      </c>
    </row>
    <row r="890" spans="1:5" x14ac:dyDescent="0.25">
      <c r="A890" s="8">
        <f t="shared" si="39"/>
        <v>73</v>
      </c>
      <c r="B890" t="str">
        <f ca="1">TEXT(DATE(YEAR(Invoer!$A$5),1,1)+INT((ROWS(B$2:B890)-1)/3),"jjjjmmdd")</f>
        <v>19451024</v>
      </c>
      <c r="C890" s="20" t="str">
        <f>INDEX(Data,2,2+MOD(ROWS(C$2:C890)-1,3))</f>
        <v>08.00</v>
      </c>
      <c r="D890" s="14" t="str">
        <f t="shared" ca="1" si="40"/>
        <v>—</v>
      </c>
      <c r="E890" s="25">
        <f t="shared" ca="1" si="41"/>
        <v>7</v>
      </c>
    </row>
    <row r="891" spans="1:5" x14ac:dyDescent="0.25">
      <c r="A891" s="8">
        <f t="shared" si="39"/>
        <v>73</v>
      </c>
      <c r="B891" t="str">
        <f ca="1">TEXT(DATE(YEAR(Invoer!$A$5),1,1)+INT((ROWS(B$2:B891)-1)/3),"jjjjmmdd")</f>
        <v>19451024</v>
      </c>
      <c r="C891" s="20" t="str">
        <f>INDEX(Data,2,2+MOD(ROWS(C$2:C891)-1,3))</f>
        <v>12.00</v>
      </c>
      <c r="D891" s="14" t="str">
        <f t="shared" ca="1" si="40"/>
        <v>—</v>
      </c>
      <c r="E891" s="25">
        <f t="shared" ca="1" si="41"/>
        <v>7</v>
      </c>
    </row>
    <row r="892" spans="1:5" x14ac:dyDescent="0.25">
      <c r="A892" s="8">
        <f t="shared" si="39"/>
        <v>73</v>
      </c>
      <c r="B892" t="str">
        <f ca="1">TEXT(DATE(YEAR(Invoer!$A$5),1,1)+INT((ROWS(B$2:B892)-1)/3),"jjjjmmdd")</f>
        <v>19451024</v>
      </c>
      <c r="C892" s="20" t="str">
        <f>INDEX(Data,2,2+MOD(ROWS(C$2:C892)-1,3))</f>
        <v>16.00</v>
      </c>
      <c r="D892" s="14" t="str">
        <f t="shared" ca="1" si="40"/>
        <v>—</v>
      </c>
      <c r="E892" s="25">
        <f t="shared" ca="1" si="41"/>
        <v>7</v>
      </c>
    </row>
    <row r="893" spans="1:5" x14ac:dyDescent="0.25">
      <c r="A893" s="8">
        <f t="shared" si="39"/>
        <v>73</v>
      </c>
      <c r="B893" t="str">
        <f ca="1">TEXT(DATE(YEAR(Invoer!$A$5),1,1)+INT((ROWS(B$2:B893)-1)/3),"jjjjmmdd")</f>
        <v>19451025</v>
      </c>
      <c r="C893" s="20" t="str">
        <f>INDEX(Data,2,2+MOD(ROWS(C$2:C893)-1,3))</f>
        <v>08.00</v>
      </c>
      <c r="D893" s="14" t="str">
        <f t="shared" ca="1" si="40"/>
        <v>—</v>
      </c>
      <c r="E893" s="25">
        <f t="shared" ca="1" si="41"/>
        <v>7</v>
      </c>
    </row>
    <row r="894" spans="1:5" x14ac:dyDescent="0.25">
      <c r="A894" s="8">
        <f t="shared" si="39"/>
        <v>73</v>
      </c>
      <c r="B894" t="str">
        <f ca="1">TEXT(DATE(YEAR(Invoer!$A$5),1,1)+INT((ROWS(B$2:B894)-1)/3),"jjjjmmdd")</f>
        <v>19451025</v>
      </c>
      <c r="C894" s="20" t="str">
        <f>INDEX(Data,2,2+MOD(ROWS(C$2:C894)-1,3))</f>
        <v>12.00</v>
      </c>
      <c r="D894" s="14" t="str">
        <f t="shared" ca="1" si="40"/>
        <v>—</v>
      </c>
      <c r="E894" s="25">
        <f t="shared" ca="1" si="41"/>
        <v>7</v>
      </c>
    </row>
    <row r="895" spans="1:5" x14ac:dyDescent="0.25">
      <c r="A895" s="8">
        <f t="shared" si="39"/>
        <v>73</v>
      </c>
      <c r="B895" t="str">
        <f ca="1">TEXT(DATE(YEAR(Invoer!$A$5),1,1)+INT((ROWS(B$2:B895)-1)/3),"jjjjmmdd")</f>
        <v>19451025</v>
      </c>
      <c r="C895" s="20" t="str">
        <f>INDEX(Data,2,2+MOD(ROWS(C$2:C895)-1,3))</f>
        <v>16.00</v>
      </c>
      <c r="D895" s="14" t="str">
        <f t="shared" ca="1" si="40"/>
        <v>—</v>
      </c>
      <c r="E895" s="25">
        <f t="shared" ca="1" si="41"/>
        <v>7</v>
      </c>
    </row>
    <row r="896" spans="1:5" x14ac:dyDescent="0.25">
      <c r="A896" s="8">
        <f t="shared" si="39"/>
        <v>73</v>
      </c>
      <c r="B896" t="str">
        <f ca="1">TEXT(DATE(YEAR(Invoer!$A$5),1,1)+INT((ROWS(B$2:B896)-1)/3),"jjjjmmdd")</f>
        <v>19451026</v>
      </c>
      <c r="C896" s="20" t="str">
        <f>INDEX(Data,2,2+MOD(ROWS(C$2:C896)-1,3))</f>
        <v>08.00</v>
      </c>
      <c r="D896" s="14" t="str">
        <f t="shared" ca="1" si="40"/>
        <v>—</v>
      </c>
      <c r="E896" s="25">
        <f t="shared" ca="1" si="41"/>
        <v>7</v>
      </c>
    </row>
    <row r="897" spans="1:5" x14ac:dyDescent="0.25">
      <c r="A897" s="8">
        <f t="shared" si="39"/>
        <v>73</v>
      </c>
      <c r="B897" t="str">
        <f ca="1">TEXT(DATE(YEAR(Invoer!$A$5),1,1)+INT((ROWS(B$2:B897)-1)/3),"jjjjmmdd")</f>
        <v>19451026</v>
      </c>
      <c r="C897" s="20" t="str">
        <f>INDEX(Data,2,2+MOD(ROWS(C$2:C897)-1,3))</f>
        <v>12.00</v>
      </c>
      <c r="D897" s="14" t="str">
        <f t="shared" ca="1" si="40"/>
        <v>—</v>
      </c>
      <c r="E897" s="25">
        <f t="shared" ca="1" si="41"/>
        <v>7</v>
      </c>
    </row>
    <row r="898" spans="1:5" x14ac:dyDescent="0.25">
      <c r="A898" s="8">
        <f t="shared" ref="A898:A961" si="42">INDEX(Stations,2,1)</f>
        <v>73</v>
      </c>
      <c r="B898" t="str">
        <f ca="1">TEXT(DATE(YEAR(Invoer!$A$5),1,1)+INT((ROWS(B$2:B898)-1)/3),"jjjjmmdd")</f>
        <v>19451026</v>
      </c>
      <c r="C898" s="20" t="str">
        <f>INDEX(Data,2,2+MOD(ROWS(C$2:C898)-1,3))</f>
        <v>16.00</v>
      </c>
      <c r="D898" s="14" t="str">
        <f t="shared" ref="D898:D961" ca="1" si="43">IF(OR(ISBLANK(VLOOKUP(DATEVALUE(LEFT($B898,4)&amp;"-"&amp;MID($B898,5,2)&amp;"-"&amp;RIGHT($B898,2)),Data,MATCH(LEFT(VLOOKUP(D$1,Parameters,2,FALSE()),4)&amp;"*",OFFSET(Data,0,0,1),0)+MATCH($C898,OFFSET(Data,1,0,1),0)-2,FALSE())),ISTEXT(VLOOKUP(DATEVALUE(LEFT($B898,4)&amp;"-"&amp;MID($B898,5,2)&amp;"-"&amp;RIGHT($B898,2)),Data,MATCH(LEFT(VLOOKUP(D$1,Parameters,2,FALSE()),4)&amp;"*",OFFSET(Data,0,0,1),0)+MATCH($C898,OFFSET(Data,1,0,1),0)-2,FALSE()))),"—",VLOOKUP(DATEVALUE(LEFT($B898,4)&amp;"-"&amp;MID($B898,5,2)&amp;"-"&amp;RIGHT($B898,2)),Data,MATCH(LEFT(VLOOKUP(D$1,Parameters,2,FALSE()),4)&amp;"*",OFFSET(Data,0,0,1),0)+MATCH($C898,OFFSET(Data,1,0,1),0)-2,FALSE()))</f>
        <v>—</v>
      </c>
      <c r="E898" s="25">
        <f t="shared" ref="E898:E961" ca="1" si="44">IF(OR(ISBLANK(VLOOKUP(DATEVALUE(LEFT($B898,4)&amp;"-"&amp;MID($B898,5,2)&amp;"-"&amp;RIGHT($B898,2)),Data,MATCH(LEFT(VLOOKUP(MID(E$1,2,LEN(E$1)-1),Parameters,2,FALSE()),4)&amp;"*",OFFSET(Data,0,0,1),0)+MATCH($C898,OFFSET(Data,1,0,1),0)-2,FALSE())),ISTEXT(VLOOKUP(DATEVALUE(LEFT($B898,4)&amp;"-"&amp;MID($B898,5,2)&amp;"-"&amp;RIGHT($B898,2)),Data,MATCH(LEFT(VLOOKUP(MID(E$1,2,LEN(E$1)-1),Parameters,2,FALSE()),4)&amp;"*",OFFSET(Data,0,0,1),0)+MATCH($C898,OFFSET(Data,1,0,1),0)-2,FALSE()))),Lacking,IF(ISNA(MATCH(DATEVALUE(LEFT($B898,4)&amp;"-"&amp;MID($B898,5,2)&amp;"-"&amp;RIGHT($B898,2)),OFFSET(Catalogus,0,0,,1),0)),Ok,VLOOKUP(DATEVALUE(LEFT($B898,4)&amp;"-"&amp;MID($B898,5,2)&amp;"-"&amp;RIGHT($B898,2)),Catalogus,MATCH(LEFT(VLOOKUP(MID(E$1,2,LEN(E$1)-1),Parameters,2,FALSE()),4)&amp;"*",OFFSET(Catalogus,0,0,1),0)+MATCH($C898,OFFSET(Catalogus,1,0,1),0)-2,FALSE())))</f>
        <v>7</v>
      </c>
    </row>
    <row r="899" spans="1:5" x14ac:dyDescent="0.25">
      <c r="A899" s="8">
        <f t="shared" si="42"/>
        <v>73</v>
      </c>
      <c r="B899" t="str">
        <f ca="1">TEXT(DATE(YEAR(Invoer!$A$5),1,1)+INT((ROWS(B$2:B899)-1)/3),"jjjjmmdd")</f>
        <v>19451027</v>
      </c>
      <c r="C899" s="20" t="str">
        <f>INDEX(Data,2,2+MOD(ROWS(C$2:C899)-1,3))</f>
        <v>08.00</v>
      </c>
      <c r="D899" s="14" t="str">
        <f t="shared" ca="1" si="43"/>
        <v>—</v>
      </c>
      <c r="E899" s="25">
        <f t="shared" ca="1" si="44"/>
        <v>7</v>
      </c>
    </row>
    <row r="900" spans="1:5" x14ac:dyDescent="0.25">
      <c r="A900" s="8">
        <f t="shared" si="42"/>
        <v>73</v>
      </c>
      <c r="B900" t="str">
        <f ca="1">TEXT(DATE(YEAR(Invoer!$A$5),1,1)+INT((ROWS(B$2:B900)-1)/3),"jjjjmmdd")</f>
        <v>19451027</v>
      </c>
      <c r="C900" s="20" t="str">
        <f>INDEX(Data,2,2+MOD(ROWS(C$2:C900)-1,3))</f>
        <v>12.00</v>
      </c>
      <c r="D900" s="14" t="str">
        <f t="shared" ca="1" si="43"/>
        <v>—</v>
      </c>
      <c r="E900" s="25">
        <f t="shared" ca="1" si="44"/>
        <v>7</v>
      </c>
    </row>
    <row r="901" spans="1:5" x14ac:dyDescent="0.25">
      <c r="A901" s="8">
        <f t="shared" si="42"/>
        <v>73</v>
      </c>
      <c r="B901" t="str">
        <f ca="1">TEXT(DATE(YEAR(Invoer!$A$5),1,1)+INT((ROWS(B$2:B901)-1)/3),"jjjjmmdd")</f>
        <v>19451027</v>
      </c>
      <c r="C901" s="20" t="str">
        <f>INDEX(Data,2,2+MOD(ROWS(C$2:C901)-1,3))</f>
        <v>16.00</v>
      </c>
      <c r="D901" s="14" t="str">
        <f t="shared" ca="1" si="43"/>
        <v>—</v>
      </c>
      <c r="E901" s="25">
        <f t="shared" ca="1" si="44"/>
        <v>7</v>
      </c>
    </row>
    <row r="902" spans="1:5" x14ac:dyDescent="0.25">
      <c r="A902" s="8">
        <f t="shared" si="42"/>
        <v>73</v>
      </c>
      <c r="B902" t="str">
        <f ca="1">TEXT(DATE(YEAR(Invoer!$A$5),1,1)+INT((ROWS(B$2:B902)-1)/3),"jjjjmmdd")</f>
        <v>19451028</v>
      </c>
      <c r="C902" s="20" t="str">
        <f>INDEX(Data,2,2+MOD(ROWS(C$2:C902)-1,3))</f>
        <v>08.00</v>
      </c>
      <c r="D902" s="14" t="str">
        <f t="shared" ca="1" si="43"/>
        <v>—</v>
      </c>
      <c r="E902" s="25">
        <f t="shared" ca="1" si="44"/>
        <v>7</v>
      </c>
    </row>
    <row r="903" spans="1:5" x14ac:dyDescent="0.25">
      <c r="A903" s="8">
        <f t="shared" si="42"/>
        <v>73</v>
      </c>
      <c r="B903" t="str">
        <f ca="1">TEXT(DATE(YEAR(Invoer!$A$5),1,1)+INT((ROWS(B$2:B903)-1)/3),"jjjjmmdd")</f>
        <v>19451028</v>
      </c>
      <c r="C903" s="20" t="str">
        <f>INDEX(Data,2,2+MOD(ROWS(C$2:C903)-1,3))</f>
        <v>12.00</v>
      </c>
      <c r="D903" s="14" t="str">
        <f t="shared" ca="1" si="43"/>
        <v>—</v>
      </c>
      <c r="E903" s="25">
        <f t="shared" ca="1" si="44"/>
        <v>7</v>
      </c>
    </row>
    <row r="904" spans="1:5" x14ac:dyDescent="0.25">
      <c r="A904" s="8">
        <f t="shared" si="42"/>
        <v>73</v>
      </c>
      <c r="B904" t="str">
        <f ca="1">TEXT(DATE(YEAR(Invoer!$A$5),1,1)+INT((ROWS(B$2:B904)-1)/3),"jjjjmmdd")</f>
        <v>19451028</v>
      </c>
      <c r="C904" s="20" t="str">
        <f>INDEX(Data,2,2+MOD(ROWS(C$2:C904)-1,3))</f>
        <v>16.00</v>
      </c>
      <c r="D904" s="14" t="str">
        <f t="shared" ca="1" si="43"/>
        <v>—</v>
      </c>
      <c r="E904" s="25">
        <f t="shared" ca="1" si="44"/>
        <v>7</v>
      </c>
    </row>
    <row r="905" spans="1:5" x14ac:dyDescent="0.25">
      <c r="A905" s="8">
        <f t="shared" si="42"/>
        <v>73</v>
      </c>
      <c r="B905" t="str">
        <f ca="1">TEXT(DATE(YEAR(Invoer!$A$5),1,1)+INT((ROWS(B$2:B905)-1)/3),"jjjjmmdd")</f>
        <v>19451029</v>
      </c>
      <c r="C905" s="20" t="str">
        <f>INDEX(Data,2,2+MOD(ROWS(C$2:C905)-1,3))</f>
        <v>08.00</v>
      </c>
      <c r="D905" s="14" t="str">
        <f t="shared" ca="1" si="43"/>
        <v>—</v>
      </c>
      <c r="E905" s="25">
        <f t="shared" ca="1" si="44"/>
        <v>7</v>
      </c>
    </row>
    <row r="906" spans="1:5" x14ac:dyDescent="0.25">
      <c r="A906" s="8">
        <f t="shared" si="42"/>
        <v>73</v>
      </c>
      <c r="B906" t="str">
        <f ca="1">TEXT(DATE(YEAR(Invoer!$A$5),1,1)+INT((ROWS(B$2:B906)-1)/3),"jjjjmmdd")</f>
        <v>19451029</v>
      </c>
      <c r="C906" s="20" t="str">
        <f>INDEX(Data,2,2+MOD(ROWS(C$2:C906)-1,3))</f>
        <v>12.00</v>
      </c>
      <c r="D906" s="14" t="str">
        <f t="shared" ca="1" si="43"/>
        <v>—</v>
      </c>
      <c r="E906" s="25">
        <f t="shared" ca="1" si="44"/>
        <v>7</v>
      </c>
    </row>
    <row r="907" spans="1:5" x14ac:dyDescent="0.25">
      <c r="A907" s="8">
        <f t="shared" si="42"/>
        <v>73</v>
      </c>
      <c r="B907" t="str">
        <f ca="1">TEXT(DATE(YEAR(Invoer!$A$5),1,1)+INT((ROWS(B$2:B907)-1)/3),"jjjjmmdd")</f>
        <v>19451029</v>
      </c>
      <c r="C907" s="20" t="str">
        <f>INDEX(Data,2,2+MOD(ROWS(C$2:C907)-1,3))</f>
        <v>16.00</v>
      </c>
      <c r="D907" s="14" t="str">
        <f t="shared" ca="1" si="43"/>
        <v>—</v>
      </c>
      <c r="E907" s="25">
        <f t="shared" ca="1" si="44"/>
        <v>7</v>
      </c>
    </row>
    <row r="908" spans="1:5" x14ac:dyDescent="0.25">
      <c r="A908" s="8">
        <f t="shared" si="42"/>
        <v>73</v>
      </c>
      <c r="B908" t="str">
        <f ca="1">TEXT(DATE(YEAR(Invoer!$A$5),1,1)+INT((ROWS(B$2:B908)-1)/3),"jjjjmmdd")</f>
        <v>19451030</v>
      </c>
      <c r="C908" s="20" t="str">
        <f>INDEX(Data,2,2+MOD(ROWS(C$2:C908)-1,3))</f>
        <v>08.00</v>
      </c>
      <c r="D908" s="14" t="str">
        <f t="shared" ca="1" si="43"/>
        <v>—</v>
      </c>
      <c r="E908" s="25">
        <f t="shared" ca="1" si="44"/>
        <v>7</v>
      </c>
    </row>
    <row r="909" spans="1:5" x14ac:dyDescent="0.25">
      <c r="A909" s="8">
        <f t="shared" si="42"/>
        <v>73</v>
      </c>
      <c r="B909" t="str">
        <f ca="1">TEXT(DATE(YEAR(Invoer!$A$5),1,1)+INT((ROWS(B$2:B909)-1)/3),"jjjjmmdd")</f>
        <v>19451030</v>
      </c>
      <c r="C909" s="20" t="str">
        <f>INDEX(Data,2,2+MOD(ROWS(C$2:C909)-1,3))</f>
        <v>12.00</v>
      </c>
      <c r="D909" s="14" t="str">
        <f t="shared" ca="1" si="43"/>
        <v>—</v>
      </c>
      <c r="E909" s="25">
        <f t="shared" ca="1" si="44"/>
        <v>7</v>
      </c>
    </row>
    <row r="910" spans="1:5" x14ac:dyDescent="0.25">
      <c r="A910" s="8">
        <f t="shared" si="42"/>
        <v>73</v>
      </c>
      <c r="B910" t="str">
        <f ca="1">TEXT(DATE(YEAR(Invoer!$A$5),1,1)+INT((ROWS(B$2:B910)-1)/3),"jjjjmmdd")</f>
        <v>19451030</v>
      </c>
      <c r="C910" s="20" t="str">
        <f>INDEX(Data,2,2+MOD(ROWS(C$2:C910)-1,3))</f>
        <v>16.00</v>
      </c>
      <c r="D910" s="14" t="str">
        <f t="shared" ca="1" si="43"/>
        <v>—</v>
      </c>
      <c r="E910" s="25">
        <f t="shared" ca="1" si="44"/>
        <v>7</v>
      </c>
    </row>
    <row r="911" spans="1:5" x14ac:dyDescent="0.25">
      <c r="A911" s="8">
        <f t="shared" si="42"/>
        <v>73</v>
      </c>
      <c r="B911" t="str">
        <f ca="1">TEXT(DATE(YEAR(Invoer!$A$5),1,1)+INT((ROWS(B$2:B911)-1)/3),"jjjjmmdd")</f>
        <v>19451031</v>
      </c>
      <c r="C911" s="20" t="str">
        <f>INDEX(Data,2,2+MOD(ROWS(C$2:C911)-1,3))</f>
        <v>08.00</v>
      </c>
      <c r="D911" s="14" t="str">
        <f t="shared" ca="1" si="43"/>
        <v>—</v>
      </c>
      <c r="E911" s="25">
        <f t="shared" ca="1" si="44"/>
        <v>7</v>
      </c>
    </row>
    <row r="912" spans="1:5" x14ac:dyDescent="0.25">
      <c r="A912" s="8">
        <f t="shared" si="42"/>
        <v>73</v>
      </c>
      <c r="B912" t="str">
        <f ca="1">TEXT(DATE(YEAR(Invoer!$A$5),1,1)+INT((ROWS(B$2:B912)-1)/3),"jjjjmmdd")</f>
        <v>19451031</v>
      </c>
      <c r="C912" s="20" t="str">
        <f>INDEX(Data,2,2+MOD(ROWS(C$2:C912)-1,3))</f>
        <v>12.00</v>
      </c>
      <c r="D912" s="14" t="str">
        <f t="shared" ca="1" si="43"/>
        <v>—</v>
      </c>
      <c r="E912" s="25">
        <f t="shared" ca="1" si="44"/>
        <v>7</v>
      </c>
    </row>
    <row r="913" spans="1:5" x14ac:dyDescent="0.25">
      <c r="A913" s="8">
        <f t="shared" si="42"/>
        <v>73</v>
      </c>
      <c r="B913" t="str">
        <f ca="1">TEXT(DATE(YEAR(Invoer!$A$5),1,1)+INT((ROWS(B$2:B913)-1)/3),"jjjjmmdd")</f>
        <v>19451031</v>
      </c>
      <c r="C913" s="20" t="str">
        <f>INDEX(Data,2,2+MOD(ROWS(C$2:C913)-1,3))</f>
        <v>16.00</v>
      </c>
      <c r="D913" s="14" t="str">
        <f t="shared" ca="1" si="43"/>
        <v>—</v>
      </c>
      <c r="E913" s="25">
        <f t="shared" ca="1" si="44"/>
        <v>7</v>
      </c>
    </row>
    <row r="914" spans="1:5" x14ac:dyDescent="0.25">
      <c r="A914" s="8">
        <f t="shared" si="42"/>
        <v>73</v>
      </c>
      <c r="B914" t="str">
        <f ca="1">TEXT(DATE(YEAR(Invoer!$A$5),1,1)+INT((ROWS(B$2:B914)-1)/3),"jjjjmmdd")</f>
        <v>19451101</v>
      </c>
      <c r="C914" s="20" t="str">
        <f>INDEX(Data,2,2+MOD(ROWS(C$2:C914)-1,3))</f>
        <v>08.00</v>
      </c>
      <c r="D914" s="14" t="str">
        <f t="shared" ca="1" si="43"/>
        <v>—</v>
      </c>
      <c r="E914" s="25">
        <f t="shared" ca="1" si="44"/>
        <v>7</v>
      </c>
    </row>
    <row r="915" spans="1:5" x14ac:dyDescent="0.25">
      <c r="A915" s="8">
        <f t="shared" si="42"/>
        <v>73</v>
      </c>
      <c r="B915" t="str">
        <f ca="1">TEXT(DATE(YEAR(Invoer!$A$5),1,1)+INT((ROWS(B$2:B915)-1)/3),"jjjjmmdd")</f>
        <v>19451101</v>
      </c>
      <c r="C915" s="20" t="str">
        <f>INDEX(Data,2,2+MOD(ROWS(C$2:C915)-1,3))</f>
        <v>12.00</v>
      </c>
      <c r="D915" s="14" t="str">
        <f t="shared" ca="1" si="43"/>
        <v>—</v>
      </c>
      <c r="E915" s="25">
        <f t="shared" ca="1" si="44"/>
        <v>7</v>
      </c>
    </row>
    <row r="916" spans="1:5" x14ac:dyDescent="0.25">
      <c r="A916" s="8">
        <f t="shared" si="42"/>
        <v>73</v>
      </c>
      <c r="B916" t="str">
        <f ca="1">TEXT(DATE(YEAR(Invoer!$A$5),1,1)+INT((ROWS(B$2:B916)-1)/3),"jjjjmmdd")</f>
        <v>19451101</v>
      </c>
      <c r="C916" s="20" t="str">
        <f>INDEX(Data,2,2+MOD(ROWS(C$2:C916)-1,3))</f>
        <v>16.00</v>
      </c>
      <c r="D916" s="14" t="str">
        <f t="shared" ca="1" si="43"/>
        <v>—</v>
      </c>
      <c r="E916" s="25">
        <f t="shared" ca="1" si="44"/>
        <v>7</v>
      </c>
    </row>
    <row r="917" spans="1:5" x14ac:dyDescent="0.25">
      <c r="A917" s="8">
        <f t="shared" si="42"/>
        <v>73</v>
      </c>
      <c r="B917" t="str">
        <f ca="1">TEXT(DATE(YEAR(Invoer!$A$5),1,1)+INT((ROWS(B$2:B917)-1)/3),"jjjjmmdd")</f>
        <v>19451102</v>
      </c>
      <c r="C917" s="20" t="str">
        <f>INDEX(Data,2,2+MOD(ROWS(C$2:C917)-1,3))</f>
        <v>08.00</v>
      </c>
      <c r="D917" s="14" t="str">
        <f t="shared" ca="1" si="43"/>
        <v>—</v>
      </c>
      <c r="E917" s="25">
        <f t="shared" ca="1" si="44"/>
        <v>7</v>
      </c>
    </row>
    <row r="918" spans="1:5" x14ac:dyDescent="0.25">
      <c r="A918" s="8">
        <f t="shared" si="42"/>
        <v>73</v>
      </c>
      <c r="B918" t="str">
        <f ca="1">TEXT(DATE(YEAR(Invoer!$A$5),1,1)+INT((ROWS(B$2:B918)-1)/3),"jjjjmmdd")</f>
        <v>19451102</v>
      </c>
      <c r="C918" s="20" t="str">
        <f>INDEX(Data,2,2+MOD(ROWS(C$2:C918)-1,3))</f>
        <v>12.00</v>
      </c>
      <c r="D918" s="14" t="str">
        <f t="shared" ca="1" si="43"/>
        <v>—</v>
      </c>
      <c r="E918" s="25">
        <f t="shared" ca="1" si="44"/>
        <v>7</v>
      </c>
    </row>
    <row r="919" spans="1:5" x14ac:dyDescent="0.25">
      <c r="A919" s="8">
        <f t="shared" si="42"/>
        <v>73</v>
      </c>
      <c r="B919" t="str">
        <f ca="1">TEXT(DATE(YEAR(Invoer!$A$5),1,1)+INT((ROWS(B$2:B919)-1)/3),"jjjjmmdd")</f>
        <v>19451102</v>
      </c>
      <c r="C919" s="20" t="str">
        <f>INDEX(Data,2,2+MOD(ROWS(C$2:C919)-1,3))</f>
        <v>16.00</v>
      </c>
      <c r="D919" s="14" t="str">
        <f t="shared" ca="1" si="43"/>
        <v>—</v>
      </c>
      <c r="E919" s="25">
        <f t="shared" ca="1" si="44"/>
        <v>7</v>
      </c>
    </row>
    <row r="920" spans="1:5" x14ac:dyDescent="0.25">
      <c r="A920" s="8">
        <f t="shared" si="42"/>
        <v>73</v>
      </c>
      <c r="B920" t="str">
        <f ca="1">TEXT(DATE(YEAR(Invoer!$A$5),1,1)+INT((ROWS(B$2:B920)-1)/3),"jjjjmmdd")</f>
        <v>19451103</v>
      </c>
      <c r="C920" s="20" t="str">
        <f>INDEX(Data,2,2+MOD(ROWS(C$2:C920)-1,3))</f>
        <v>08.00</v>
      </c>
      <c r="D920" s="14" t="str">
        <f t="shared" ca="1" si="43"/>
        <v>—</v>
      </c>
      <c r="E920" s="25">
        <f t="shared" ca="1" si="44"/>
        <v>7</v>
      </c>
    </row>
    <row r="921" spans="1:5" x14ac:dyDescent="0.25">
      <c r="A921" s="8">
        <f t="shared" si="42"/>
        <v>73</v>
      </c>
      <c r="B921" t="str">
        <f ca="1">TEXT(DATE(YEAR(Invoer!$A$5),1,1)+INT((ROWS(B$2:B921)-1)/3),"jjjjmmdd")</f>
        <v>19451103</v>
      </c>
      <c r="C921" s="20" t="str">
        <f>INDEX(Data,2,2+MOD(ROWS(C$2:C921)-1,3))</f>
        <v>12.00</v>
      </c>
      <c r="D921" s="14" t="str">
        <f t="shared" ca="1" si="43"/>
        <v>—</v>
      </c>
      <c r="E921" s="25">
        <f t="shared" ca="1" si="44"/>
        <v>7</v>
      </c>
    </row>
    <row r="922" spans="1:5" x14ac:dyDescent="0.25">
      <c r="A922" s="8">
        <f t="shared" si="42"/>
        <v>73</v>
      </c>
      <c r="B922" t="str">
        <f ca="1">TEXT(DATE(YEAR(Invoer!$A$5),1,1)+INT((ROWS(B$2:B922)-1)/3),"jjjjmmdd")</f>
        <v>19451103</v>
      </c>
      <c r="C922" s="20" t="str">
        <f>INDEX(Data,2,2+MOD(ROWS(C$2:C922)-1,3))</f>
        <v>16.00</v>
      </c>
      <c r="D922" s="14" t="str">
        <f t="shared" ca="1" si="43"/>
        <v>—</v>
      </c>
      <c r="E922" s="25">
        <f t="shared" ca="1" si="44"/>
        <v>7</v>
      </c>
    </row>
    <row r="923" spans="1:5" x14ac:dyDescent="0.25">
      <c r="A923" s="8">
        <f t="shared" si="42"/>
        <v>73</v>
      </c>
      <c r="B923" t="str">
        <f ca="1">TEXT(DATE(YEAR(Invoer!$A$5),1,1)+INT((ROWS(B$2:B923)-1)/3),"jjjjmmdd")</f>
        <v>19451104</v>
      </c>
      <c r="C923" s="20" t="str">
        <f>INDEX(Data,2,2+MOD(ROWS(C$2:C923)-1,3))</f>
        <v>08.00</v>
      </c>
      <c r="D923" s="14" t="str">
        <f t="shared" ca="1" si="43"/>
        <v>—</v>
      </c>
      <c r="E923" s="25">
        <f t="shared" ca="1" si="44"/>
        <v>7</v>
      </c>
    </row>
    <row r="924" spans="1:5" x14ac:dyDescent="0.25">
      <c r="A924" s="8">
        <f t="shared" si="42"/>
        <v>73</v>
      </c>
      <c r="B924" t="str">
        <f ca="1">TEXT(DATE(YEAR(Invoer!$A$5),1,1)+INT((ROWS(B$2:B924)-1)/3),"jjjjmmdd")</f>
        <v>19451104</v>
      </c>
      <c r="C924" s="20" t="str">
        <f>INDEX(Data,2,2+MOD(ROWS(C$2:C924)-1,3))</f>
        <v>12.00</v>
      </c>
      <c r="D924" s="14" t="str">
        <f t="shared" ca="1" si="43"/>
        <v>—</v>
      </c>
      <c r="E924" s="25">
        <f t="shared" ca="1" si="44"/>
        <v>7</v>
      </c>
    </row>
    <row r="925" spans="1:5" x14ac:dyDescent="0.25">
      <c r="A925" s="8">
        <f t="shared" si="42"/>
        <v>73</v>
      </c>
      <c r="B925" t="str">
        <f ca="1">TEXT(DATE(YEAR(Invoer!$A$5),1,1)+INT((ROWS(B$2:B925)-1)/3),"jjjjmmdd")</f>
        <v>19451104</v>
      </c>
      <c r="C925" s="20" t="str">
        <f>INDEX(Data,2,2+MOD(ROWS(C$2:C925)-1,3))</f>
        <v>16.00</v>
      </c>
      <c r="D925" s="14" t="str">
        <f t="shared" ca="1" si="43"/>
        <v>—</v>
      </c>
      <c r="E925" s="25">
        <f t="shared" ca="1" si="44"/>
        <v>7</v>
      </c>
    </row>
    <row r="926" spans="1:5" x14ac:dyDescent="0.25">
      <c r="A926" s="8">
        <f t="shared" si="42"/>
        <v>73</v>
      </c>
      <c r="B926" t="str">
        <f ca="1">TEXT(DATE(YEAR(Invoer!$A$5),1,1)+INT((ROWS(B$2:B926)-1)/3),"jjjjmmdd")</f>
        <v>19451105</v>
      </c>
      <c r="C926" s="20" t="str">
        <f>INDEX(Data,2,2+MOD(ROWS(C$2:C926)-1,3))</f>
        <v>08.00</v>
      </c>
      <c r="D926" s="14" t="str">
        <f t="shared" ca="1" si="43"/>
        <v>—</v>
      </c>
      <c r="E926" s="25">
        <f t="shared" ca="1" si="44"/>
        <v>7</v>
      </c>
    </row>
    <row r="927" spans="1:5" x14ac:dyDescent="0.25">
      <c r="A927" s="8">
        <f t="shared" si="42"/>
        <v>73</v>
      </c>
      <c r="B927" t="str">
        <f ca="1">TEXT(DATE(YEAR(Invoer!$A$5),1,1)+INT((ROWS(B$2:B927)-1)/3),"jjjjmmdd")</f>
        <v>19451105</v>
      </c>
      <c r="C927" s="20" t="str">
        <f>INDEX(Data,2,2+MOD(ROWS(C$2:C927)-1,3))</f>
        <v>12.00</v>
      </c>
      <c r="D927" s="14" t="str">
        <f t="shared" ca="1" si="43"/>
        <v>—</v>
      </c>
      <c r="E927" s="25">
        <f t="shared" ca="1" si="44"/>
        <v>7</v>
      </c>
    </row>
    <row r="928" spans="1:5" x14ac:dyDescent="0.25">
      <c r="A928" s="8">
        <f t="shared" si="42"/>
        <v>73</v>
      </c>
      <c r="B928" t="str">
        <f ca="1">TEXT(DATE(YEAR(Invoer!$A$5),1,1)+INT((ROWS(B$2:B928)-1)/3),"jjjjmmdd")</f>
        <v>19451105</v>
      </c>
      <c r="C928" s="20" t="str">
        <f>INDEX(Data,2,2+MOD(ROWS(C$2:C928)-1,3))</f>
        <v>16.00</v>
      </c>
      <c r="D928" s="14" t="str">
        <f t="shared" ca="1" si="43"/>
        <v>—</v>
      </c>
      <c r="E928" s="25">
        <f t="shared" ca="1" si="44"/>
        <v>7</v>
      </c>
    </row>
    <row r="929" spans="1:5" x14ac:dyDescent="0.25">
      <c r="A929" s="8">
        <f t="shared" si="42"/>
        <v>73</v>
      </c>
      <c r="B929" t="str">
        <f ca="1">TEXT(DATE(YEAR(Invoer!$A$5),1,1)+INT((ROWS(B$2:B929)-1)/3),"jjjjmmdd")</f>
        <v>19451106</v>
      </c>
      <c r="C929" s="20" t="str">
        <f>INDEX(Data,2,2+MOD(ROWS(C$2:C929)-1,3))</f>
        <v>08.00</v>
      </c>
      <c r="D929" s="14" t="str">
        <f t="shared" ca="1" si="43"/>
        <v>—</v>
      </c>
      <c r="E929" s="25">
        <f t="shared" ca="1" si="44"/>
        <v>7</v>
      </c>
    </row>
    <row r="930" spans="1:5" x14ac:dyDescent="0.25">
      <c r="A930" s="8">
        <f t="shared" si="42"/>
        <v>73</v>
      </c>
      <c r="B930" t="str">
        <f ca="1">TEXT(DATE(YEAR(Invoer!$A$5),1,1)+INT((ROWS(B$2:B930)-1)/3),"jjjjmmdd")</f>
        <v>19451106</v>
      </c>
      <c r="C930" s="20" t="str">
        <f>INDEX(Data,2,2+MOD(ROWS(C$2:C930)-1,3))</f>
        <v>12.00</v>
      </c>
      <c r="D930" s="14" t="str">
        <f t="shared" ca="1" si="43"/>
        <v>—</v>
      </c>
      <c r="E930" s="25">
        <f t="shared" ca="1" si="44"/>
        <v>7</v>
      </c>
    </row>
    <row r="931" spans="1:5" x14ac:dyDescent="0.25">
      <c r="A931" s="8">
        <f t="shared" si="42"/>
        <v>73</v>
      </c>
      <c r="B931" t="str">
        <f ca="1">TEXT(DATE(YEAR(Invoer!$A$5),1,1)+INT((ROWS(B$2:B931)-1)/3),"jjjjmmdd")</f>
        <v>19451106</v>
      </c>
      <c r="C931" s="20" t="str">
        <f>INDEX(Data,2,2+MOD(ROWS(C$2:C931)-1,3))</f>
        <v>16.00</v>
      </c>
      <c r="D931" s="14" t="str">
        <f t="shared" ca="1" si="43"/>
        <v>—</v>
      </c>
      <c r="E931" s="25">
        <f t="shared" ca="1" si="44"/>
        <v>7</v>
      </c>
    </row>
    <row r="932" spans="1:5" x14ac:dyDescent="0.25">
      <c r="A932" s="8">
        <f t="shared" si="42"/>
        <v>73</v>
      </c>
      <c r="B932" t="str">
        <f ca="1">TEXT(DATE(YEAR(Invoer!$A$5),1,1)+INT((ROWS(B$2:B932)-1)/3),"jjjjmmdd")</f>
        <v>19451107</v>
      </c>
      <c r="C932" s="20" t="str">
        <f>INDEX(Data,2,2+MOD(ROWS(C$2:C932)-1,3))</f>
        <v>08.00</v>
      </c>
      <c r="D932" s="14" t="str">
        <f t="shared" ca="1" si="43"/>
        <v>—</v>
      </c>
      <c r="E932" s="25">
        <f t="shared" ca="1" si="44"/>
        <v>7</v>
      </c>
    </row>
    <row r="933" spans="1:5" x14ac:dyDescent="0.25">
      <c r="A933" s="8">
        <f t="shared" si="42"/>
        <v>73</v>
      </c>
      <c r="B933" t="str">
        <f ca="1">TEXT(DATE(YEAR(Invoer!$A$5),1,1)+INT((ROWS(B$2:B933)-1)/3),"jjjjmmdd")</f>
        <v>19451107</v>
      </c>
      <c r="C933" s="20" t="str">
        <f>INDEX(Data,2,2+MOD(ROWS(C$2:C933)-1,3))</f>
        <v>12.00</v>
      </c>
      <c r="D933" s="14" t="str">
        <f t="shared" ca="1" si="43"/>
        <v>—</v>
      </c>
      <c r="E933" s="25">
        <f t="shared" ca="1" si="44"/>
        <v>7</v>
      </c>
    </row>
    <row r="934" spans="1:5" x14ac:dyDescent="0.25">
      <c r="A934" s="8">
        <f t="shared" si="42"/>
        <v>73</v>
      </c>
      <c r="B934" t="str">
        <f ca="1">TEXT(DATE(YEAR(Invoer!$A$5),1,1)+INT((ROWS(B$2:B934)-1)/3),"jjjjmmdd")</f>
        <v>19451107</v>
      </c>
      <c r="C934" s="20" t="str">
        <f>INDEX(Data,2,2+MOD(ROWS(C$2:C934)-1,3))</f>
        <v>16.00</v>
      </c>
      <c r="D934" s="14" t="str">
        <f t="shared" ca="1" si="43"/>
        <v>—</v>
      </c>
      <c r="E934" s="25">
        <f t="shared" ca="1" si="44"/>
        <v>7</v>
      </c>
    </row>
    <row r="935" spans="1:5" x14ac:dyDescent="0.25">
      <c r="A935" s="8">
        <f t="shared" si="42"/>
        <v>73</v>
      </c>
      <c r="B935" t="str">
        <f ca="1">TEXT(DATE(YEAR(Invoer!$A$5),1,1)+INT((ROWS(B$2:B935)-1)/3),"jjjjmmdd")</f>
        <v>19451108</v>
      </c>
      <c r="C935" s="20" t="str">
        <f>INDEX(Data,2,2+MOD(ROWS(C$2:C935)-1,3))</f>
        <v>08.00</v>
      </c>
      <c r="D935" s="14" t="str">
        <f t="shared" ca="1" si="43"/>
        <v>—</v>
      </c>
      <c r="E935" s="25">
        <f t="shared" ca="1" si="44"/>
        <v>7</v>
      </c>
    </row>
    <row r="936" spans="1:5" x14ac:dyDescent="0.25">
      <c r="A936" s="8">
        <f t="shared" si="42"/>
        <v>73</v>
      </c>
      <c r="B936" t="str">
        <f ca="1">TEXT(DATE(YEAR(Invoer!$A$5),1,1)+INT((ROWS(B$2:B936)-1)/3),"jjjjmmdd")</f>
        <v>19451108</v>
      </c>
      <c r="C936" s="20" t="str">
        <f>INDEX(Data,2,2+MOD(ROWS(C$2:C936)-1,3))</f>
        <v>12.00</v>
      </c>
      <c r="D936" s="14" t="str">
        <f t="shared" ca="1" si="43"/>
        <v>—</v>
      </c>
      <c r="E936" s="25">
        <f t="shared" ca="1" si="44"/>
        <v>7</v>
      </c>
    </row>
    <row r="937" spans="1:5" x14ac:dyDescent="0.25">
      <c r="A937" s="8">
        <f t="shared" si="42"/>
        <v>73</v>
      </c>
      <c r="B937" t="str">
        <f ca="1">TEXT(DATE(YEAR(Invoer!$A$5),1,1)+INT((ROWS(B$2:B937)-1)/3),"jjjjmmdd")</f>
        <v>19451108</v>
      </c>
      <c r="C937" s="20" t="str">
        <f>INDEX(Data,2,2+MOD(ROWS(C$2:C937)-1,3))</f>
        <v>16.00</v>
      </c>
      <c r="D937" s="14" t="str">
        <f t="shared" ca="1" si="43"/>
        <v>—</v>
      </c>
      <c r="E937" s="25">
        <f t="shared" ca="1" si="44"/>
        <v>7</v>
      </c>
    </row>
    <row r="938" spans="1:5" x14ac:dyDescent="0.25">
      <c r="A938" s="8">
        <f t="shared" si="42"/>
        <v>73</v>
      </c>
      <c r="B938" t="str">
        <f ca="1">TEXT(DATE(YEAR(Invoer!$A$5),1,1)+INT((ROWS(B$2:B938)-1)/3),"jjjjmmdd")</f>
        <v>19451109</v>
      </c>
      <c r="C938" s="20" t="str">
        <f>INDEX(Data,2,2+MOD(ROWS(C$2:C938)-1,3))</f>
        <v>08.00</v>
      </c>
      <c r="D938" s="14" t="str">
        <f t="shared" ca="1" si="43"/>
        <v>—</v>
      </c>
      <c r="E938" s="25">
        <f t="shared" ca="1" si="44"/>
        <v>7</v>
      </c>
    </row>
    <row r="939" spans="1:5" x14ac:dyDescent="0.25">
      <c r="A939" s="8">
        <f t="shared" si="42"/>
        <v>73</v>
      </c>
      <c r="B939" t="str">
        <f ca="1">TEXT(DATE(YEAR(Invoer!$A$5),1,1)+INT((ROWS(B$2:B939)-1)/3),"jjjjmmdd")</f>
        <v>19451109</v>
      </c>
      <c r="C939" s="20" t="str">
        <f>INDEX(Data,2,2+MOD(ROWS(C$2:C939)-1,3))</f>
        <v>12.00</v>
      </c>
      <c r="D939" s="14" t="str">
        <f t="shared" ca="1" si="43"/>
        <v>—</v>
      </c>
      <c r="E939" s="25">
        <f t="shared" ca="1" si="44"/>
        <v>7</v>
      </c>
    </row>
    <row r="940" spans="1:5" x14ac:dyDescent="0.25">
      <c r="A940" s="8">
        <f t="shared" si="42"/>
        <v>73</v>
      </c>
      <c r="B940" t="str">
        <f ca="1">TEXT(DATE(YEAR(Invoer!$A$5),1,1)+INT((ROWS(B$2:B940)-1)/3),"jjjjmmdd")</f>
        <v>19451109</v>
      </c>
      <c r="C940" s="20" t="str">
        <f>INDEX(Data,2,2+MOD(ROWS(C$2:C940)-1,3))</f>
        <v>16.00</v>
      </c>
      <c r="D940" s="14" t="str">
        <f t="shared" ca="1" si="43"/>
        <v>—</v>
      </c>
      <c r="E940" s="25">
        <f t="shared" ca="1" si="44"/>
        <v>7</v>
      </c>
    </row>
    <row r="941" spans="1:5" x14ac:dyDescent="0.25">
      <c r="A941" s="8">
        <f t="shared" si="42"/>
        <v>73</v>
      </c>
      <c r="B941" t="str">
        <f ca="1">TEXT(DATE(YEAR(Invoer!$A$5),1,1)+INT((ROWS(B$2:B941)-1)/3),"jjjjmmdd")</f>
        <v>19451110</v>
      </c>
      <c r="C941" s="20" t="str">
        <f>INDEX(Data,2,2+MOD(ROWS(C$2:C941)-1,3))</f>
        <v>08.00</v>
      </c>
      <c r="D941" s="14" t="str">
        <f t="shared" ca="1" si="43"/>
        <v>—</v>
      </c>
      <c r="E941" s="25">
        <f t="shared" ca="1" si="44"/>
        <v>7</v>
      </c>
    </row>
    <row r="942" spans="1:5" x14ac:dyDescent="0.25">
      <c r="A942" s="8">
        <f t="shared" si="42"/>
        <v>73</v>
      </c>
      <c r="B942" t="str">
        <f ca="1">TEXT(DATE(YEAR(Invoer!$A$5),1,1)+INT((ROWS(B$2:B942)-1)/3),"jjjjmmdd")</f>
        <v>19451110</v>
      </c>
      <c r="C942" s="20" t="str">
        <f>INDEX(Data,2,2+MOD(ROWS(C$2:C942)-1,3))</f>
        <v>12.00</v>
      </c>
      <c r="D942" s="14" t="str">
        <f t="shared" ca="1" si="43"/>
        <v>—</v>
      </c>
      <c r="E942" s="25">
        <f t="shared" ca="1" si="44"/>
        <v>7</v>
      </c>
    </row>
    <row r="943" spans="1:5" x14ac:dyDescent="0.25">
      <c r="A943" s="8">
        <f t="shared" si="42"/>
        <v>73</v>
      </c>
      <c r="B943" t="str">
        <f ca="1">TEXT(DATE(YEAR(Invoer!$A$5),1,1)+INT((ROWS(B$2:B943)-1)/3),"jjjjmmdd")</f>
        <v>19451110</v>
      </c>
      <c r="C943" s="20" t="str">
        <f>INDEX(Data,2,2+MOD(ROWS(C$2:C943)-1,3))</f>
        <v>16.00</v>
      </c>
      <c r="D943" s="14" t="str">
        <f t="shared" ca="1" si="43"/>
        <v>—</v>
      </c>
      <c r="E943" s="25">
        <f t="shared" ca="1" si="44"/>
        <v>7</v>
      </c>
    </row>
    <row r="944" spans="1:5" x14ac:dyDescent="0.25">
      <c r="A944" s="8">
        <f t="shared" si="42"/>
        <v>73</v>
      </c>
      <c r="B944" t="str">
        <f ca="1">TEXT(DATE(YEAR(Invoer!$A$5),1,1)+INT((ROWS(B$2:B944)-1)/3),"jjjjmmdd")</f>
        <v>19451111</v>
      </c>
      <c r="C944" s="20" t="str">
        <f>INDEX(Data,2,2+MOD(ROWS(C$2:C944)-1,3))</f>
        <v>08.00</v>
      </c>
      <c r="D944" s="14" t="str">
        <f t="shared" ca="1" si="43"/>
        <v>—</v>
      </c>
      <c r="E944" s="25">
        <f t="shared" ca="1" si="44"/>
        <v>7</v>
      </c>
    </row>
    <row r="945" spans="1:5" x14ac:dyDescent="0.25">
      <c r="A945" s="8">
        <f t="shared" si="42"/>
        <v>73</v>
      </c>
      <c r="B945" t="str">
        <f ca="1">TEXT(DATE(YEAR(Invoer!$A$5),1,1)+INT((ROWS(B$2:B945)-1)/3),"jjjjmmdd")</f>
        <v>19451111</v>
      </c>
      <c r="C945" s="20" t="str">
        <f>INDEX(Data,2,2+MOD(ROWS(C$2:C945)-1,3))</f>
        <v>12.00</v>
      </c>
      <c r="D945" s="14" t="str">
        <f t="shared" ca="1" si="43"/>
        <v>—</v>
      </c>
      <c r="E945" s="25">
        <f t="shared" ca="1" si="44"/>
        <v>7</v>
      </c>
    </row>
    <row r="946" spans="1:5" x14ac:dyDescent="0.25">
      <c r="A946" s="8">
        <f t="shared" si="42"/>
        <v>73</v>
      </c>
      <c r="B946" t="str">
        <f ca="1">TEXT(DATE(YEAR(Invoer!$A$5),1,1)+INT((ROWS(B$2:B946)-1)/3),"jjjjmmdd")</f>
        <v>19451111</v>
      </c>
      <c r="C946" s="20" t="str">
        <f>INDEX(Data,2,2+MOD(ROWS(C$2:C946)-1,3))</f>
        <v>16.00</v>
      </c>
      <c r="D946" s="14" t="str">
        <f t="shared" ca="1" si="43"/>
        <v>—</v>
      </c>
      <c r="E946" s="25">
        <f t="shared" ca="1" si="44"/>
        <v>7</v>
      </c>
    </row>
    <row r="947" spans="1:5" x14ac:dyDescent="0.25">
      <c r="A947" s="8">
        <f t="shared" si="42"/>
        <v>73</v>
      </c>
      <c r="B947" t="str">
        <f ca="1">TEXT(DATE(YEAR(Invoer!$A$5),1,1)+INT((ROWS(B$2:B947)-1)/3),"jjjjmmdd")</f>
        <v>19451112</v>
      </c>
      <c r="C947" s="20" t="str">
        <f>INDEX(Data,2,2+MOD(ROWS(C$2:C947)-1,3))</f>
        <v>08.00</v>
      </c>
      <c r="D947" s="14" t="str">
        <f t="shared" ca="1" si="43"/>
        <v>—</v>
      </c>
      <c r="E947" s="25">
        <f t="shared" ca="1" si="44"/>
        <v>7</v>
      </c>
    </row>
    <row r="948" spans="1:5" x14ac:dyDescent="0.25">
      <c r="A948" s="8">
        <f t="shared" si="42"/>
        <v>73</v>
      </c>
      <c r="B948" t="str">
        <f ca="1">TEXT(DATE(YEAR(Invoer!$A$5),1,1)+INT((ROWS(B$2:B948)-1)/3),"jjjjmmdd")</f>
        <v>19451112</v>
      </c>
      <c r="C948" s="20" t="str">
        <f>INDEX(Data,2,2+MOD(ROWS(C$2:C948)-1,3))</f>
        <v>12.00</v>
      </c>
      <c r="D948" s="14" t="str">
        <f t="shared" ca="1" si="43"/>
        <v>—</v>
      </c>
      <c r="E948" s="25">
        <f t="shared" ca="1" si="44"/>
        <v>7</v>
      </c>
    </row>
    <row r="949" spans="1:5" x14ac:dyDescent="0.25">
      <c r="A949" s="8">
        <f t="shared" si="42"/>
        <v>73</v>
      </c>
      <c r="B949" t="str">
        <f ca="1">TEXT(DATE(YEAR(Invoer!$A$5),1,1)+INT((ROWS(B$2:B949)-1)/3),"jjjjmmdd")</f>
        <v>19451112</v>
      </c>
      <c r="C949" s="20" t="str">
        <f>INDEX(Data,2,2+MOD(ROWS(C$2:C949)-1,3))</f>
        <v>16.00</v>
      </c>
      <c r="D949" s="14" t="str">
        <f t="shared" ca="1" si="43"/>
        <v>—</v>
      </c>
      <c r="E949" s="25">
        <f t="shared" ca="1" si="44"/>
        <v>7</v>
      </c>
    </row>
    <row r="950" spans="1:5" x14ac:dyDescent="0.25">
      <c r="A950" s="8">
        <f t="shared" si="42"/>
        <v>73</v>
      </c>
      <c r="B950" t="str">
        <f ca="1">TEXT(DATE(YEAR(Invoer!$A$5),1,1)+INT((ROWS(B$2:B950)-1)/3),"jjjjmmdd")</f>
        <v>19451113</v>
      </c>
      <c r="C950" s="20" t="str">
        <f>INDEX(Data,2,2+MOD(ROWS(C$2:C950)-1,3))</f>
        <v>08.00</v>
      </c>
      <c r="D950" s="14" t="str">
        <f t="shared" ca="1" si="43"/>
        <v>—</v>
      </c>
      <c r="E950" s="25">
        <f t="shared" ca="1" si="44"/>
        <v>7</v>
      </c>
    </row>
    <row r="951" spans="1:5" x14ac:dyDescent="0.25">
      <c r="A951" s="8">
        <f t="shared" si="42"/>
        <v>73</v>
      </c>
      <c r="B951" t="str">
        <f ca="1">TEXT(DATE(YEAR(Invoer!$A$5),1,1)+INT((ROWS(B$2:B951)-1)/3),"jjjjmmdd")</f>
        <v>19451113</v>
      </c>
      <c r="C951" s="20" t="str">
        <f>INDEX(Data,2,2+MOD(ROWS(C$2:C951)-1,3))</f>
        <v>12.00</v>
      </c>
      <c r="D951" s="14" t="str">
        <f t="shared" ca="1" si="43"/>
        <v>—</v>
      </c>
      <c r="E951" s="25">
        <f t="shared" ca="1" si="44"/>
        <v>7</v>
      </c>
    </row>
    <row r="952" spans="1:5" x14ac:dyDescent="0.25">
      <c r="A952" s="8">
        <f t="shared" si="42"/>
        <v>73</v>
      </c>
      <c r="B952" t="str">
        <f ca="1">TEXT(DATE(YEAR(Invoer!$A$5),1,1)+INT((ROWS(B$2:B952)-1)/3),"jjjjmmdd")</f>
        <v>19451113</v>
      </c>
      <c r="C952" s="20" t="str">
        <f>INDEX(Data,2,2+MOD(ROWS(C$2:C952)-1,3))</f>
        <v>16.00</v>
      </c>
      <c r="D952" s="14" t="str">
        <f t="shared" ca="1" si="43"/>
        <v>—</v>
      </c>
      <c r="E952" s="25">
        <f t="shared" ca="1" si="44"/>
        <v>7</v>
      </c>
    </row>
    <row r="953" spans="1:5" x14ac:dyDescent="0.25">
      <c r="A953" s="8">
        <f t="shared" si="42"/>
        <v>73</v>
      </c>
      <c r="B953" t="str">
        <f ca="1">TEXT(DATE(YEAR(Invoer!$A$5),1,1)+INT((ROWS(B$2:B953)-1)/3),"jjjjmmdd")</f>
        <v>19451114</v>
      </c>
      <c r="C953" s="20" t="str">
        <f>INDEX(Data,2,2+MOD(ROWS(C$2:C953)-1,3))</f>
        <v>08.00</v>
      </c>
      <c r="D953" s="14" t="str">
        <f t="shared" ca="1" si="43"/>
        <v>—</v>
      </c>
      <c r="E953" s="25">
        <f t="shared" ca="1" si="44"/>
        <v>7</v>
      </c>
    </row>
    <row r="954" spans="1:5" x14ac:dyDescent="0.25">
      <c r="A954" s="8">
        <f t="shared" si="42"/>
        <v>73</v>
      </c>
      <c r="B954" t="str">
        <f ca="1">TEXT(DATE(YEAR(Invoer!$A$5),1,1)+INT((ROWS(B$2:B954)-1)/3),"jjjjmmdd")</f>
        <v>19451114</v>
      </c>
      <c r="C954" s="20" t="str">
        <f>INDEX(Data,2,2+MOD(ROWS(C$2:C954)-1,3))</f>
        <v>12.00</v>
      </c>
      <c r="D954" s="14" t="str">
        <f t="shared" ca="1" si="43"/>
        <v>—</v>
      </c>
      <c r="E954" s="25">
        <f t="shared" ca="1" si="44"/>
        <v>7</v>
      </c>
    </row>
    <row r="955" spans="1:5" x14ac:dyDescent="0.25">
      <c r="A955" s="8">
        <f t="shared" si="42"/>
        <v>73</v>
      </c>
      <c r="B955" t="str">
        <f ca="1">TEXT(DATE(YEAR(Invoer!$A$5),1,1)+INT((ROWS(B$2:B955)-1)/3),"jjjjmmdd")</f>
        <v>19451114</v>
      </c>
      <c r="C955" s="20" t="str">
        <f>INDEX(Data,2,2+MOD(ROWS(C$2:C955)-1,3))</f>
        <v>16.00</v>
      </c>
      <c r="D955" s="14" t="str">
        <f t="shared" ca="1" si="43"/>
        <v>—</v>
      </c>
      <c r="E955" s="25">
        <f t="shared" ca="1" si="44"/>
        <v>7</v>
      </c>
    </row>
    <row r="956" spans="1:5" x14ac:dyDescent="0.25">
      <c r="A956" s="8">
        <f t="shared" si="42"/>
        <v>73</v>
      </c>
      <c r="B956" t="str">
        <f ca="1">TEXT(DATE(YEAR(Invoer!$A$5),1,1)+INT((ROWS(B$2:B956)-1)/3),"jjjjmmdd")</f>
        <v>19451115</v>
      </c>
      <c r="C956" s="20" t="str">
        <f>INDEX(Data,2,2+MOD(ROWS(C$2:C956)-1,3))</f>
        <v>08.00</v>
      </c>
      <c r="D956" s="14" t="str">
        <f t="shared" ca="1" si="43"/>
        <v>—</v>
      </c>
      <c r="E956" s="25">
        <f t="shared" ca="1" si="44"/>
        <v>7</v>
      </c>
    </row>
    <row r="957" spans="1:5" x14ac:dyDescent="0.25">
      <c r="A957" s="8">
        <f t="shared" si="42"/>
        <v>73</v>
      </c>
      <c r="B957" t="str">
        <f ca="1">TEXT(DATE(YEAR(Invoer!$A$5),1,1)+INT((ROWS(B$2:B957)-1)/3),"jjjjmmdd")</f>
        <v>19451115</v>
      </c>
      <c r="C957" s="20" t="str">
        <f>INDEX(Data,2,2+MOD(ROWS(C$2:C957)-1,3))</f>
        <v>12.00</v>
      </c>
      <c r="D957" s="14" t="str">
        <f t="shared" ca="1" si="43"/>
        <v>—</v>
      </c>
      <c r="E957" s="25">
        <f t="shared" ca="1" si="44"/>
        <v>7</v>
      </c>
    </row>
    <row r="958" spans="1:5" x14ac:dyDescent="0.25">
      <c r="A958" s="8">
        <f t="shared" si="42"/>
        <v>73</v>
      </c>
      <c r="B958" t="str">
        <f ca="1">TEXT(DATE(YEAR(Invoer!$A$5),1,1)+INT((ROWS(B$2:B958)-1)/3),"jjjjmmdd")</f>
        <v>19451115</v>
      </c>
      <c r="C958" s="20" t="str">
        <f>INDEX(Data,2,2+MOD(ROWS(C$2:C958)-1,3))</f>
        <v>16.00</v>
      </c>
      <c r="D958" s="14" t="str">
        <f t="shared" ca="1" si="43"/>
        <v>—</v>
      </c>
      <c r="E958" s="25">
        <f t="shared" ca="1" si="44"/>
        <v>7</v>
      </c>
    </row>
    <row r="959" spans="1:5" x14ac:dyDescent="0.25">
      <c r="A959" s="8">
        <f t="shared" si="42"/>
        <v>73</v>
      </c>
      <c r="B959" t="str">
        <f ca="1">TEXT(DATE(YEAR(Invoer!$A$5),1,1)+INT((ROWS(B$2:B959)-1)/3),"jjjjmmdd")</f>
        <v>19451116</v>
      </c>
      <c r="C959" s="20" t="str">
        <f>INDEX(Data,2,2+MOD(ROWS(C$2:C959)-1,3))</f>
        <v>08.00</v>
      </c>
      <c r="D959" s="14" t="str">
        <f t="shared" ca="1" si="43"/>
        <v>—</v>
      </c>
      <c r="E959" s="25">
        <f t="shared" ca="1" si="44"/>
        <v>7</v>
      </c>
    </row>
    <row r="960" spans="1:5" x14ac:dyDescent="0.25">
      <c r="A960" s="8">
        <f t="shared" si="42"/>
        <v>73</v>
      </c>
      <c r="B960" t="str">
        <f ca="1">TEXT(DATE(YEAR(Invoer!$A$5),1,1)+INT((ROWS(B$2:B960)-1)/3),"jjjjmmdd")</f>
        <v>19451116</v>
      </c>
      <c r="C960" s="20" t="str">
        <f>INDEX(Data,2,2+MOD(ROWS(C$2:C960)-1,3))</f>
        <v>12.00</v>
      </c>
      <c r="D960" s="14" t="str">
        <f t="shared" ca="1" si="43"/>
        <v>—</v>
      </c>
      <c r="E960" s="25">
        <f t="shared" ca="1" si="44"/>
        <v>7</v>
      </c>
    </row>
    <row r="961" spans="1:5" x14ac:dyDescent="0.25">
      <c r="A961" s="8">
        <f t="shared" si="42"/>
        <v>73</v>
      </c>
      <c r="B961" t="str">
        <f ca="1">TEXT(DATE(YEAR(Invoer!$A$5),1,1)+INT((ROWS(B$2:B961)-1)/3),"jjjjmmdd")</f>
        <v>19451116</v>
      </c>
      <c r="C961" s="20" t="str">
        <f>INDEX(Data,2,2+MOD(ROWS(C$2:C961)-1,3))</f>
        <v>16.00</v>
      </c>
      <c r="D961" s="14" t="str">
        <f t="shared" ca="1" si="43"/>
        <v>—</v>
      </c>
      <c r="E961" s="25">
        <f t="shared" ca="1" si="44"/>
        <v>7</v>
      </c>
    </row>
    <row r="962" spans="1:5" x14ac:dyDescent="0.25">
      <c r="A962" s="8">
        <f t="shared" ref="A962:A1025" si="45">INDEX(Stations,2,1)</f>
        <v>73</v>
      </c>
      <c r="B962" t="str">
        <f ca="1">TEXT(DATE(YEAR(Invoer!$A$5),1,1)+INT((ROWS(B$2:B962)-1)/3),"jjjjmmdd")</f>
        <v>19451117</v>
      </c>
      <c r="C962" s="20" t="str">
        <f>INDEX(Data,2,2+MOD(ROWS(C$2:C962)-1,3))</f>
        <v>08.00</v>
      </c>
      <c r="D962" s="14" t="str">
        <f t="shared" ref="D962:D1025" ca="1" si="46">IF(OR(ISBLANK(VLOOKUP(DATEVALUE(LEFT($B962,4)&amp;"-"&amp;MID($B962,5,2)&amp;"-"&amp;RIGHT($B962,2)),Data,MATCH(LEFT(VLOOKUP(D$1,Parameters,2,FALSE()),4)&amp;"*",OFFSET(Data,0,0,1),0)+MATCH($C962,OFFSET(Data,1,0,1),0)-2,FALSE())),ISTEXT(VLOOKUP(DATEVALUE(LEFT($B962,4)&amp;"-"&amp;MID($B962,5,2)&amp;"-"&amp;RIGHT($B962,2)),Data,MATCH(LEFT(VLOOKUP(D$1,Parameters,2,FALSE()),4)&amp;"*",OFFSET(Data,0,0,1),0)+MATCH($C962,OFFSET(Data,1,0,1),0)-2,FALSE()))),"—",VLOOKUP(DATEVALUE(LEFT($B962,4)&amp;"-"&amp;MID($B962,5,2)&amp;"-"&amp;RIGHT($B962,2)),Data,MATCH(LEFT(VLOOKUP(D$1,Parameters,2,FALSE()),4)&amp;"*",OFFSET(Data,0,0,1),0)+MATCH($C962,OFFSET(Data,1,0,1),0)-2,FALSE()))</f>
        <v>—</v>
      </c>
      <c r="E962" s="25">
        <f t="shared" ref="E962:E1025" ca="1" si="47">IF(OR(ISBLANK(VLOOKUP(DATEVALUE(LEFT($B962,4)&amp;"-"&amp;MID($B962,5,2)&amp;"-"&amp;RIGHT($B962,2)),Data,MATCH(LEFT(VLOOKUP(MID(E$1,2,LEN(E$1)-1),Parameters,2,FALSE()),4)&amp;"*",OFFSET(Data,0,0,1),0)+MATCH($C962,OFFSET(Data,1,0,1),0)-2,FALSE())),ISTEXT(VLOOKUP(DATEVALUE(LEFT($B962,4)&amp;"-"&amp;MID($B962,5,2)&amp;"-"&amp;RIGHT($B962,2)),Data,MATCH(LEFT(VLOOKUP(MID(E$1,2,LEN(E$1)-1),Parameters,2,FALSE()),4)&amp;"*",OFFSET(Data,0,0,1),0)+MATCH($C962,OFFSET(Data,1,0,1),0)-2,FALSE()))),Lacking,IF(ISNA(MATCH(DATEVALUE(LEFT($B962,4)&amp;"-"&amp;MID($B962,5,2)&amp;"-"&amp;RIGHT($B962,2)),OFFSET(Catalogus,0,0,,1),0)),Ok,VLOOKUP(DATEVALUE(LEFT($B962,4)&amp;"-"&amp;MID($B962,5,2)&amp;"-"&amp;RIGHT($B962,2)),Catalogus,MATCH(LEFT(VLOOKUP(MID(E$1,2,LEN(E$1)-1),Parameters,2,FALSE()),4)&amp;"*",OFFSET(Catalogus,0,0,1),0)+MATCH($C962,OFFSET(Catalogus,1,0,1),0)-2,FALSE())))</f>
        <v>7</v>
      </c>
    </row>
    <row r="963" spans="1:5" x14ac:dyDescent="0.25">
      <c r="A963" s="8">
        <f t="shared" si="45"/>
        <v>73</v>
      </c>
      <c r="B963" t="str">
        <f ca="1">TEXT(DATE(YEAR(Invoer!$A$5),1,1)+INT((ROWS(B$2:B963)-1)/3),"jjjjmmdd")</f>
        <v>19451117</v>
      </c>
      <c r="C963" s="20" t="str">
        <f>INDEX(Data,2,2+MOD(ROWS(C$2:C963)-1,3))</f>
        <v>12.00</v>
      </c>
      <c r="D963" s="14" t="str">
        <f t="shared" ca="1" si="46"/>
        <v>—</v>
      </c>
      <c r="E963" s="25">
        <f t="shared" ca="1" si="47"/>
        <v>7</v>
      </c>
    </row>
    <row r="964" spans="1:5" x14ac:dyDescent="0.25">
      <c r="A964" s="8">
        <f t="shared" si="45"/>
        <v>73</v>
      </c>
      <c r="B964" t="str">
        <f ca="1">TEXT(DATE(YEAR(Invoer!$A$5),1,1)+INT((ROWS(B$2:B964)-1)/3),"jjjjmmdd")</f>
        <v>19451117</v>
      </c>
      <c r="C964" s="20" t="str">
        <f>INDEX(Data,2,2+MOD(ROWS(C$2:C964)-1,3))</f>
        <v>16.00</v>
      </c>
      <c r="D964" s="14" t="str">
        <f t="shared" ca="1" si="46"/>
        <v>—</v>
      </c>
      <c r="E964" s="25">
        <f t="shared" ca="1" si="47"/>
        <v>7</v>
      </c>
    </row>
    <row r="965" spans="1:5" x14ac:dyDescent="0.25">
      <c r="A965" s="8">
        <f t="shared" si="45"/>
        <v>73</v>
      </c>
      <c r="B965" t="str">
        <f ca="1">TEXT(DATE(YEAR(Invoer!$A$5),1,1)+INT((ROWS(B$2:B965)-1)/3),"jjjjmmdd")</f>
        <v>19451118</v>
      </c>
      <c r="C965" s="20" t="str">
        <f>INDEX(Data,2,2+MOD(ROWS(C$2:C965)-1,3))</f>
        <v>08.00</v>
      </c>
      <c r="D965" s="14" t="str">
        <f t="shared" ca="1" si="46"/>
        <v>—</v>
      </c>
      <c r="E965" s="25">
        <f t="shared" ca="1" si="47"/>
        <v>7</v>
      </c>
    </row>
    <row r="966" spans="1:5" x14ac:dyDescent="0.25">
      <c r="A966" s="8">
        <f t="shared" si="45"/>
        <v>73</v>
      </c>
      <c r="B966" t="str">
        <f ca="1">TEXT(DATE(YEAR(Invoer!$A$5),1,1)+INT((ROWS(B$2:B966)-1)/3),"jjjjmmdd")</f>
        <v>19451118</v>
      </c>
      <c r="C966" s="20" t="str">
        <f>INDEX(Data,2,2+MOD(ROWS(C$2:C966)-1,3))</f>
        <v>12.00</v>
      </c>
      <c r="D966" s="14" t="str">
        <f t="shared" ca="1" si="46"/>
        <v>—</v>
      </c>
      <c r="E966" s="25">
        <f t="shared" ca="1" si="47"/>
        <v>7</v>
      </c>
    </row>
    <row r="967" spans="1:5" x14ac:dyDescent="0.25">
      <c r="A967" s="8">
        <f t="shared" si="45"/>
        <v>73</v>
      </c>
      <c r="B967" t="str">
        <f ca="1">TEXT(DATE(YEAR(Invoer!$A$5),1,1)+INT((ROWS(B$2:B967)-1)/3),"jjjjmmdd")</f>
        <v>19451118</v>
      </c>
      <c r="C967" s="20" t="str">
        <f>INDEX(Data,2,2+MOD(ROWS(C$2:C967)-1,3))</f>
        <v>16.00</v>
      </c>
      <c r="D967" s="14" t="str">
        <f t="shared" ca="1" si="46"/>
        <v>—</v>
      </c>
      <c r="E967" s="25">
        <f t="shared" ca="1" si="47"/>
        <v>7</v>
      </c>
    </row>
    <row r="968" spans="1:5" x14ac:dyDescent="0.25">
      <c r="A968" s="8">
        <f t="shared" si="45"/>
        <v>73</v>
      </c>
      <c r="B968" t="str">
        <f ca="1">TEXT(DATE(YEAR(Invoer!$A$5),1,1)+INT((ROWS(B$2:B968)-1)/3),"jjjjmmdd")</f>
        <v>19451119</v>
      </c>
      <c r="C968" s="20" t="str">
        <f>INDEX(Data,2,2+MOD(ROWS(C$2:C968)-1,3))</f>
        <v>08.00</v>
      </c>
      <c r="D968" s="14" t="str">
        <f t="shared" ca="1" si="46"/>
        <v>—</v>
      </c>
      <c r="E968" s="25">
        <f t="shared" ca="1" si="47"/>
        <v>7</v>
      </c>
    </row>
    <row r="969" spans="1:5" x14ac:dyDescent="0.25">
      <c r="A969" s="8">
        <f t="shared" si="45"/>
        <v>73</v>
      </c>
      <c r="B969" t="str">
        <f ca="1">TEXT(DATE(YEAR(Invoer!$A$5),1,1)+INT((ROWS(B$2:B969)-1)/3),"jjjjmmdd")</f>
        <v>19451119</v>
      </c>
      <c r="C969" s="20" t="str">
        <f>INDEX(Data,2,2+MOD(ROWS(C$2:C969)-1,3))</f>
        <v>12.00</v>
      </c>
      <c r="D969" s="14" t="str">
        <f t="shared" ca="1" si="46"/>
        <v>—</v>
      </c>
      <c r="E969" s="25">
        <f t="shared" ca="1" si="47"/>
        <v>7</v>
      </c>
    </row>
    <row r="970" spans="1:5" x14ac:dyDescent="0.25">
      <c r="A970" s="8">
        <f t="shared" si="45"/>
        <v>73</v>
      </c>
      <c r="B970" t="str">
        <f ca="1">TEXT(DATE(YEAR(Invoer!$A$5),1,1)+INT((ROWS(B$2:B970)-1)/3),"jjjjmmdd")</f>
        <v>19451119</v>
      </c>
      <c r="C970" s="20" t="str">
        <f>INDEX(Data,2,2+MOD(ROWS(C$2:C970)-1,3))</f>
        <v>16.00</v>
      </c>
      <c r="D970" s="14" t="str">
        <f t="shared" ca="1" si="46"/>
        <v>—</v>
      </c>
      <c r="E970" s="25">
        <f t="shared" ca="1" si="47"/>
        <v>7</v>
      </c>
    </row>
    <row r="971" spans="1:5" x14ac:dyDescent="0.25">
      <c r="A971" s="8">
        <f t="shared" si="45"/>
        <v>73</v>
      </c>
      <c r="B971" t="str">
        <f ca="1">TEXT(DATE(YEAR(Invoer!$A$5),1,1)+INT((ROWS(B$2:B971)-1)/3),"jjjjmmdd")</f>
        <v>19451120</v>
      </c>
      <c r="C971" s="20" t="str">
        <f>INDEX(Data,2,2+MOD(ROWS(C$2:C971)-1,3))</f>
        <v>08.00</v>
      </c>
      <c r="D971" s="14" t="str">
        <f t="shared" ca="1" si="46"/>
        <v>—</v>
      </c>
      <c r="E971" s="25">
        <f t="shared" ca="1" si="47"/>
        <v>7</v>
      </c>
    </row>
    <row r="972" spans="1:5" x14ac:dyDescent="0.25">
      <c r="A972" s="8">
        <f t="shared" si="45"/>
        <v>73</v>
      </c>
      <c r="B972" t="str">
        <f ca="1">TEXT(DATE(YEAR(Invoer!$A$5),1,1)+INT((ROWS(B$2:B972)-1)/3),"jjjjmmdd")</f>
        <v>19451120</v>
      </c>
      <c r="C972" s="20" t="str">
        <f>INDEX(Data,2,2+MOD(ROWS(C$2:C972)-1,3))</f>
        <v>12.00</v>
      </c>
      <c r="D972" s="14" t="str">
        <f t="shared" ca="1" si="46"/>
        <v>—</v>
      </c>
      <c r="E972" s="25">
        <f t="shared" ca="1" si="47"/>
        <v>7</v>
      </c>
    </row>
    <row r="973" spans="1:5" x14ac:dyDescent="0.25">
      <c r="A973" s="8">
        <f t="shared" si="45"/>
        <v>73</v>
      </c>
      <c r="B973" t="str">
        <f ca="1">TEXT(DATE(YEAR(Invoer!$A$5),1,1)+INT((ROWS(B$2:B973)-1)/3),"jjjjmmdd")</f>
        <v>19451120</v>
      </c>
      <c r="C973" s="20" t="str">
        <f>INDEX(Data,2,2+MOD(ROWS(C$2:C973)-1,3))</f>
        <v>16.00</v>
      </c>
      <c r="D973" s="14" t="str">
        <f t="shared" ca="1" si="46"/>
        <v>—</v>
      </c>
      <c r="E973" s="25">
        <f t="shared" ca="1" si="47"/>
        <v>7</v>
      </c>
    </row>
    <row r="974" spans="1:5" x14ac:dyDescent="0.25">
      <c r="A974" s="8">
        <f t="shared" si="45"/>
        <v>73</v>
      </c>
      <c r="B974" t="str">
        <f ca="1">TEXT(DATE(YEAR(Invoer!$A$5),1,1)+INT((ROWS(B$2:B974)-1)/3),"jjjjmmdd")</f>
        <v>19451121</v>
      </c>
      <c r="C974" s="20" t="str">
        <f>INDEX(Data,2,2+MOD(ROWS(C$2:C974)-1,3))</f>
        <v>08.00</v>
      </c>
      <c r="D974" s="14" t="str">
        <f t="shared" ca="1" si="46"/>
        <v>—</v>
      </c>
      <c r="E974" s="25">
        <f t="shared" ca="1" si="47"/>
        <v>7</v>
      </c>
    </row>
    <row r="975" spans="1:5" x14ac:dyDescent="0.25">
      <c r="A975" s="8">
        <f t="shared" si="45"/>
        <v>73</v>
      </c>
      <c r="B975" t="str">
        <f ca="1">TEXT(DATE(YEAR(Invoer!$A$5),1,1)+INT((ROWS(B$2:B975)-1)/3),"jjjjmmdd")</f>
        <v>19451121</v>
      </c>
      <c r="C975" s="20" t="str">
        <f>INDEX(Data,2,2+MOD(ROWS(C$2:C975)-1,3))</f>
        <v>12.00</v>
      </c>
      <c r="D975" s="14" t="str">
        <f t="shared" ca="1" si="46"/>
        <v>—</v>
      </c>
      <c r="E975" s="25">
        <f t="shared" ca="1" si="47"/>
        <v>7</v>
      </c>
    </row>
    <row r="976" spans="1:5" x14ac:dyDescent="0.25">
      <c r="A976" s="8">
        <f t="shared" si="45"/>
        <v>73</v>
      </c>
      <c r="B976" t="str">
        <f ca="1">TEXT(DATE(YEAR(Invoer!$A$5),1,1)+INT((ROWS(B$2:B976)-1)/3),"jjjjmmdd")</f>
        <v>19451121</v>
      </c>
      <c r="C976" s="20" t="str">
        <f>INDEX(Data,2,2+MOD(ROWS(C$2:C976)-1,3))</f>
        <v>16.00</v>
      </c>
      <c r="D976" s="14" t="str">
        <f t="shared" ca="1" si="46"/>
        <v>—</v>
      </c>
      <c r="E976" s="25">
        <f t="shared" ca="1" si="47"/>
        <v>7</v>
      </c>
    </row>
    <row r="977" spans="1:5" x14ac:dyDescent="0.25">
      <c r="A977" s="8">
        <f t="shared" si="45"/>
        <v>73</v>
      </c>
      <c r="B977" t="str">
        <f ca="1">TEXT(DATE(YEAR(Invoer!$A$5),1,1)+INT((ROWS(B$2:B977)-1)/3),"jjjjmmdd")</f>
        <v>19451122</v>
      </c>
      <c r="C977" s="20" t="str">
        <f>INDEX(Data,2,2+MOD(ROWS(C$2:C977)-1,3))</f>
        <v>08.00</v>
      </c>
      <c r="D977" s="14" t="str">
        <f t="shared" ca="1" si="46"/>
        <v>—</v>
      </c>
      <c r="E977" s="25">
        <f t="shared" ca="1" si="47"/>
        <v>7</v>
      </c>
    </row>
    <row r="978" spans="1:5" x14ac:dyDescent="0.25">
      <c r="A978" s="8">
        <f t="shared" si="45"/>
        <v>73</v>
      </c>
      <c r="B978" t="str">
        <f ca="1">TEXT(DATE(YEAR(Invoer!$A$5),1,1)+INT((ROWS(B$2:B978)-1)/3),"jjjjmmdd")</f>
        <v>19451122</v>
      </c>
      <c r="C978" s="20" t="str">
        <f>INDEX(Data,2,2+MOD(ROWS(C$2:C978)-1,3))</f>
        <v>12.00</v>
      </c>
      <c r="D978" s="14" t="str">
        <f t="shared" ca="1" si="46"/>
        <v>—</v>
      </c>
      <c r="E978" s="25">
        <f t="shared" ca="1" si="47"/>
        <v>7</v>
      </c>
    </row>
    <row r="979" spans="1:5" x14ac:dyDescent="0.25">
      <c r="A979" s="8">
        <f t="shared" si="45"/>
        <v>73</v>
      </c>
      <c r="B979" t="str">
        <f ca="1">TEXT(DATE(YEAR(Invoer!$A$5),1,1)+INT((ROWS(B$2:B979)-1)/3),"jjjjmmdd")</f>
        <v>19451122</v>
      </c>
      <c r="C979" s="20" t="str">
        <f>INDEX(Data,2,2+MOD(ROWS(C$2:C979)-1,3))</f>
        <v>16.00</v>
      </c>
      <c r="D979" s="14" t="str">
        <f t="shared" ca="1" si="46"/>
        <v>—</v>
      </c>
      <c r="E979" s="25">
        <f t="shared" ca="1" si="47"/>
        <v>7</v>
      </c>
    </row>
    <row r="980" spans="1:5" x14ac:dyDescent="0.25">
      <c r="A980" s="8">
        <f t="shared" si="45"/>
        <v>73</v>
      </c>
      <c r="B980" t="str">
        <f ca="1">TEXT(DATE(YEAR(Invoer!$A$5),1,1)+INT((ROWS(B$2:B980)-1)/3),"jjjjmmdd")</f>
        <v>19451123</v>
      </c>
      <c r="C980" s="20" t="str">
        <f>INDEX(Data,2,2+MOD(ROWS(C$2:C980)-1,3))</f>
        <v>08.00</v>
      </c>
      <c r="D980" s="14" t="str">
        <f t="shared" ca="1" si="46"/>
        <v>—</v>
      </c>
      <c r="E980" s="25">
        <f t="shared" ca="1" si="47"/>
        <v>7</v>
      </c>
    </row>
    <row r="981" spans="1:5" x14ac:dyDescent="0.25">
      <c r="A981" s="8">
        <f t="shared" si="45"/>
        <v>73</v>
      </c>
      <c r="B981" t="str">
        <f ca="1">TEXT(DATE(YEAR(Invoer!$A$5),1,1)+INT((ROWS(B$2:B981)-1)/3),"jjjjmmdd")</f>
        <v>19451123</v>
      </c>
      <c r="C981" s="20" t="str">
        <f>INDEX(Data,2,2+MOD(ROWS(C$2:C981)-1,3))</f>
        <v>12.00</v>
      </c>
      <c r="D981" s="14" t="str">
        <f t="shared" ca="1" si="46"/>
        <v>—</v>
      </c>
      <c r="E981" s="25">
        <f t="shared" ca="1" si="47"/>
        <v>7</v>
      </c>
    </row>
    <row r="982" spans="1:5" x14ac:dyDescent="0.25">
      <c r="A982" s="8">
        <f t="shared" si="45"/>
        <v>73</v>
      </c>
      <c r="B982" t="str">
        <f ca="1">TEXT(DATE(YEAR(Invoer!$A$5),1,1)+INT((ROWS(B$2:B982)-1)/3),"jjjjmmdd")</f>
        <v>19451123</v>
      </c>
      <c r="C982" s="20" t="str">
        <f>INDEX(Data,2,2+MOD(ROWS(C$2:C982)-1,3))</f>
        <v>16.00</v>
      </c>
      <c r="D982" s="14" t="str">
        <f t="shared" ca="1" si="46"/>
        <v>—</v>
      </c>
      <c r="E982" s="25">
        <f t="shared" ca="1" si="47"/>
        <v>7</v>
      </c>
    </row>
    <row r="983" spans="1:5" x14ac:dyDescent="0.25">
      <c r="A983" s="8">
        <f t="shared" si="45"/>
        <v>73</v>
      </c>
      <c r="B983" t="str">
        <f ca="1">TEXT(DATE(YEAR(Invoer!$A$5),1,1)+INT((ROWS(B$2:B983)-1)/3),"jjjjmmdd")</f>
        <v>19451124</v>
      </c>
      <c r="C983" s="20" t="str">
        <f>INDEX(Data,2,2+MOD(ROWS(C$2:C983)-1,3))</f>
        <v>08.00</v>
      </c>
      <c r="D983" s="14" t="str">
        <f t="shared" ca="1" si="46"/>
        <v>—</v>
      </c>
      <c r="E983" s="25">
        <f t="shared" ca="1" si="47"/>
        <v>7</v>
      </c>
    </row>
    <row r="984" spans="1:5" x14ac:dyDescent="0.25">
      <c r="A984" s="8">
        <f t="shared" si="45"/>
        <v>73</v>
      </c>
      <c r="B984" t="str">
        <f ca="1">TEXT(DATE(YEAR(Invoer!$A$5),1,1)+INT((ROWS(B$2:B984)-1)/3),"jjjjmmdd")</f>
        <v>19451124</v>
      </c>
      <c r="C984" s="20" t="str">
        <f>INDEX(Data,2,2+MOD(ROWS(C$2:C984)-1,3))</f>
        <v>12.00</v>
      </c>
      <c r="D984" s="14" t="str">
        <f t="shared" ca="1" si="46"/>
        <v>—</v>
      </c>
      <c r="E984" s="25">
        <f t="shared" ca="1" si="47"/>
        <v>7</v>
      </c>
    </row>
    <row r="985" spans="1:5" x14ac:dyDescent="0.25">
      <c r="A985" s="8">
        <f t="shared" si="45"/>
        <v>73</v>
      </c>
      <c r="B985" t="str">
        <f ca="1">TEXT(DATE(YEAR(Invoer!$A$5),1,1)+INT((ROWS(B$2:B985)-1)/3),"jjjjmmdd")</f>
        <v>19451124</v>
      </c>
      <c r="C985" s="20" t="str">
        <f>INDEX(Data,2,2+MOD(ROWS(C$2:C985)-1,3))</f>
        <v>16.00</v>
      </c>
      <c r="D985" s="14" t="str">
        <f t="shared" ca="1" si="46"/>
        <v>—</v>
      </c>
      <c r="E985" s="25">
        <f t="shared" ca="1" si="47"/>
        <v>7</v>
      </c>
    </row>
    <row r="986" spans="1:5" x14ac:dyDescent="0.25">
      <c r="A986" s="8">
        <f t="shared" si="45"/>
        <v>73</v>
      </c>
      <c r="B986" t="str">
        <f ca="1">TEXT(DATE(YEAR(Invoer!$A$5),1,1)+INT((ROWS(B$2:B986)-1)/3),"jjjjmmdd")</f>
        <v>19451125</v>
      </c>
      <c r="C986" s="20" t="str">
        <f>INDEX(Data,2,2+MOD(ROWS(C$2:C986)-1,3))</f>
        <v>08.00</v>
      </c>
      <c r="D986" s="14" t="str">
        <f t="shared" ca="1" si="46"/>
        <v>—</v>
      </c>
      <c r="E986" s="25">
        <f t="shared" ca="1" si="47"/>
        <v>7</v>
      </c>
    </row>
    <row r="987" spans="1:5" x14ac:dyDescent="0.25">
      <c r="A987" s="8">
        <f t="shared" si="45"/>
        <v>73</v>
      </c>
      <c r="B987" t="str">
        <f ca="1">TEXT(DATE(YEAR(Invoer!$A$5),1,1)+INT((ROWS(B$2:B987)-1)/3),"jjjjmmdd")</f>
        <v>19451125</v>
      </c>
      <c r="C987" s="20" t="str">
        <f>INDEX(Data,2,2+MOD(ROWS(C$2:C987)-1,3))</f>
        <v>12.00</v>
      </c>
      <c r="D987" s="14" t="str">
        <f t="shared" ca="1" si="46"/>
        <v>—</v>
      </c>
      <c r="E987" s="25">
        <f t="shared" ca="1" si="47"/>
        <v>7</v>
      </c>
    </row>
    <row r="988" spans="1:5" x14ac:dyDescent="0.25">
      <c r="A988" s="8">
        <f t="shared" si="45"/>
        <v>73</v>
      </c>
      <c r="B988" t="str">
        <f ca="1">TEXT(DATE(YEAR(Invoer!$A$5),1,1)+INT((ROWS(B$2:B988)-1)/3),"jjjjmmdd")</f>
        <v>19451125</v>
      </c>
      <c r="C988" s="20" t="str">
        <f>INDEX(Data,2,2+MOD(ROWS(C$2:C988)-1,3))</f>
        <v>16.00</v>
      </c>
      <c r="D988" s="14" t="str">
        <f t="shared" ca="1" si="46"/>
        <v>—</v>
      </c>
      <c r="E988" s="25">
        <f t="shared" ca="1" si="47"/>
        <v>7</v>
      </c>
    </row>
    <row r="989" spans="1:5" x14ac:dyDescent="0.25">
      <c r="A989" s="8">
        <f t="shared" si="45"/>
        <v>73</v>
      </c>
      <c r="B989" t="str">
        <f ca="1">TEXT(DATE(YEAR(Invoer!$A$5),1,1)+INT((ROWS(B$2:B989)-1)/3),"jjjjmmdd")</f>
        <v>19451126</v>
      </c>
      <c r="C989" s="20" t="str">
        <f>INDEX(Data,2,2+MOD(ROWS(C$2:C989)-1,3))</f>
        <v>08.00</v>
      </c>
      <c r="D989" s="14" t="str">
        <f t="shared" ca="1" si="46"/>
        <v>—</v>
      </c>
      <c r="E989" s="25">
        <f t="shared" ca="1" si="47"/>
        <v>7</v>
      </c>
    </row>
    <row r="990" spans="1:5" x14ac:dyDescent="0.25">
      <c r="A990" s="8">
        <f t="shared" si="45"/>
        <v>73</v>
      </c>
      <c r="B990" t="str">
        <f ca="1">TEXT(DATE(YEAR(Invoer!$A$5),1,1)+INT((ROWS(B$2:B990)-1)/3),"jjjjmmdd")</f>
        <v>19451126</v>
      </c>
      <c r="C990" s="20" t="str">
        <f>INDEX(Data,2,2+MOD(ROWS(C$2:C990)-1,3))</f>
        <v>12.00</v>
      </c>
      <c r="D990" s="14" t="str">
        <f t="shared" ca="1" si="46"/>
        <v>—</v>
      </c>
      <c r="E990" s="25">
        <f t="shared" ca="1" si="47"/>
        <v>7</v>
      </c>
    </row>
    <row r="991" spans="1:5" x14ac:dyDescent="0.25">
      <c r="A991" s="8">
        <f t="shared" si="45"/>
        <v>73</v>
      </c>
      <c r="B991" t="str">
        <f ca="1">TEXT(DATE(YEAR(Invoer!$A$5),1,1)+INT((ROWS(B$2:B991)-1)/3),"jjjjmmdd")</f>
        <v>19451126</v>
      </c>
      <c r="C991" s="20" t="str">
        <f>INDEX(Data,2,2+MOD(ROWS(C$2:C991)-1,3))</f>
        <v>16.00</v>
      </c>
      <c r="D991" s="14" t="str">
        <f t="shared" ca="1" si="46"/>
        <v>—</v>
      </c>
      <c r="E991" s="25">
        <f t="shared" ca="1" si="47"/>
        <v>7</v>
      </c>
    </row>
    <row r="992" spans="1:5" x14ac:dyDescent="0.25">
      <c r="A992" s="8">
        <f t="shared" si="45"/>
        <v>73</v>
      </c>
      <c r="B992" t="str">
        <f ca="1">TEXT(DATE(YEAR(Invoer!$A$5),1,1)+INT((ROWS(B$2:B992)-1)/3),"jjjjmmdd")</f>
        <v>19451127</v>
      </c>
      <c r="C992" s="20" t="str">
        <f>INDEX(Data,2,2+MOD(ROWS(C$2:C992)-1,3))</f>
        <v>08.00</v>
      </c>
      <c r="D992" s="14" t="str">
        <f t="shared" ca="1" si="46"/>
        <v>—</v>
      </c>
      <c r="E992" s="25">
        <f t="shared" ca="1" si="47"/>
        <v>7</v>
      </c>
    </row>
    <row r="993" spans="1:5" x14ac:dyDescent="0.25">
      <c r="A993" s="8">
        <f t="shared" si="45"/>
        <v>73</v>
      </c>
      <c r="B993" t="str">
        <f ca="1">TEXT(DATE(YEAR(Invoer!$A$5),1,1)+INT((ROWS(B$2:B993)-1)/3),"jjjjmmdd")</f>
        <v>19451127</v>
      </c>
      <c r="C993" s="20" t="str">
        <f>INDEX(Data,2,2+MOD(ROWS(C$2:C993)-1,3))</f>
        <v>12.00</v>
      </c>
      <c r="D993" s="14" t="str">
        <f t="shared" ca="1" si="46"/>
        <v>—</v>
      </c>
      <c r="E993" s="25">
        <f t="shared" ca="1" si="47"/>
        <v>7</v>
      </c>
    </row>
    <row r="994" spans="1:5" x14ac:dyDescent="0.25">
      <c r="A994" s="8">
        <f t="shared" si="45"/>
        <v>73</v>
      </c>
      <c r="B994" t="str">
        <f ca="1">TEXT(DATE(YEAR(Invoer!$A$5),1,1)+INT((ROWS(B$2:B994)-1)/3),"jjjjmmdd")</f>
        <v>19451127</v>
      </c>
      <c r="C994" s="20" t="str">
        <f>INDEX(Data,2,2+MOD(ROWS(C$2:C994)-1,3))</f>
        <v>16.00</v>
      </c>
      <c r="D994" s="14" t="str">
        <f t="shared" ca="1" si="46"/>
        <v>—</v>
      </c>
      <c r="E994" s="25">
        <f t="shared" ca="1" si="47"/>
        <v>7</v>
      </c>
    </row>
    <row r="995" spans="1:5" x14ac:dyDescent="0.25">
      <c r="A995" s="8">
        <f t="shared" si="45"/>
        <v>73</v>
      </c>
      <c r="B995" t="str">
        <f ca="1">TEXT(DATE(YEAR(Invoer!$A$5),1,1)+INT((ROWS(B$2:B995)-1)/3),"jjjjmmdd")</f>
        <v>19451128</v>
      </c>
      <c r="C995" s="20" t="str">
        <f>INDEX(Data,2,2+MOD(ROWS(C$2:C995)-1,3))</f>
        <v>08.00</v>
      </c>
      <c r="D995" s="14" t="str">
        <f t="shared" ca="1" si="46"/>
        <v>—</v>
      </c>
      <c r="E995" s="25">
        <f t="shared" ca="1" si="47"/>
        <v>7</v>
      </c>
    </row>
    <row r="996" spans="1:5" x14ac:dyDescent="0.25">
      <c r="A996" s="8">
        <f t="shared" si="45"/>
        <v>73</v>
      </c>
      <c r="B996" t="str">
        <f ca="1">TEXT(DATE(YEAR(Invoer!$A$5),1,1)+INT((ROWS(B$2:B996)-1)/3),"jjjjmmdd")</f>
        <v>19451128</v>
      </c>
      <c r="C996" s="20" t="str">
        <f>INDEX(Data,2,2+MOD(ROWS(C$2:C996)-1,3))</f>
        <v>12.00</v>
      </c>
      <c r="D996" s="14" t="str">
        <f t="shared" ca="1" si="46"/>
        <v>—</v>
      </c>
      <c r="E996" s="25">
        <f t="shared" ca="1" si="47"/>
        <v>7</v>
      </c>
    </row>
    <row r="997" spans="1:5" x14ac:dyDescent="0.25">
      <c r="A997" s="8">
        <f t="shared" si="45"/>
        <v>73</v>
      </c>
      <c r="B997" t="str">
        <f ca="1">TEXT(DATE(YEAR(Invoer!$A$5),1,1)+INT((ROWS(B$2:B997)-1)/3),"jjjjmmdd")</f>
        <v>19451128</v>
      </c>
      <c r="C997" s="20" t="str">
        <f>INDEX(Data,2,2+MOD(ROWS(C$2:C997)-1,3))</f>
        <v>16.00</v>
      </c>
      <c r="D997" s="14" t="str">
        <f t="shared" ca="1" si="46"/>
        <v>—</v>
      </c>
      <c r="E997" s="25">
        <f t="shared" ca="1" si="47"/>
        <v>7</v>
      </c>
    </row>
    <row r="998" spans="1:5" x14ac:dyDescent="0.25">
      <c r="A998" s="8">
        <f t="shared" si="45"/>
        <v>73</v>
      </c>
      <c r="B998" t="str">
        <f ca="1">TEXT(DATE(YEAR(Invoer!$A$5),1,1)+INT((ROWS(B$2:B998)-1)/3),"jjjjmmdd")</f>
        <v>19451129</v>
      </c>
      <c r="C998" s="20" t="str">
        <f>INDEX(Data,2,2+MOD(ROWS(C$2:C998)-1,3))</f>
        <v>08.00</v>
      </c>
      <c r="D998" s="14" t="str">
        <f t="shared" ca="1" si="46"/>
        <v>—</v>
      </c>
      <c r="E998" s="25">
        <f t="shared" ca="1" si="47"/>
        <v>7</v>
      </c>
    </row>
    <row r="999" spans="1:5" x14ac:dyDescent="0.25">
      <c r="A999" s="8">
        <f t="shared" si="45"/>
        <v>73</v>
      </c>
      <c r="B999" t="str">
        <f ca="1">TEXT(DATE(YEAR(Invoer!$A$5),1,1)+INT((ROWS(B$2:B999)-1)/3),"jjjjmmdd")</f>
        <v>19451129</v>
      </c>
      <c r="C999" s="20" t="str">
        <f>INDEX(Data,2,2+MOD(ROWS(C$2:C999)-1,3))</f>
        <v>12.00</v>
      </c>
      <c r="D999" s="14" t="str">
        <f t="shared" ca="1" si="46"/>
        <v>—</v>
      </c>
      <c r="E999" s="25">
        <f t="shared" ca="1" si="47"/>
        <v>7</v>
      </c>
    </row>
    <row r="1000" spans="1:5" x14ac:dyDescent="0.25">
      <c r="A1000" s="8">
        <f t="shared" si="45"/>
        <v>73</v>
      </c>
      <c r="B1000" t="str">
        <f ca="1">TEXT(DATE(YEAR(Invoer!$A$5),1,1)+INT((ROWS(B$2:B1000)-1)/3),"jjjjmmdd")</f>
        <v>19451129</v>
      </c>
      <c r="C1000" s="20" t="str">
        <f>INDEX(Data,2,2+MOD(ROWS(C$2:C1000)-1,3))</f>
        <v>16.00</v>
      </c>
      <c r="D1000" s="14" t="str">
        <f t="shared" ca="1" si="46"/>
        <v>—</v>
      </c>
      <c r="E1000" s="25">
        <f t="shared" ca="1" si="47"/>
        <v>7</v>
      </c>
    </row>
    <row r="1001" spans="1:5" x14ac:dyDescent="0.25">
      <c r="A1001" s="8">
        <f t="shared" si="45"/>
        <v>73</v>
      </c>
      <c r="B1001" t="str">
        <f ca="1">TEXT(DATE(YEAR(Invoer!$A$5),1,1)+INT((ROWS(B$2:B1001)-1)/3),"jjjjmmdd")</f>
        <v>19451130</v>
      </c>
      <c r="C1001" s="20" t="str">
        <f>INDEX(Data,2,2+MOD(ROWS(C$2:C1001)-1,3))</f>
        <v>08.00</v>
      </c>
      <c r="D1001" s="14" t="str">
        <f t="shared" ca="1" si="46"/>
        <v>—</v>
      </c>
      <c r="E1001" s="25">
        <f t="shared" ca="1" si="47"/>
        <v>7</v>
      </c>
    </row>
    <row r="1002" spans="1:5" x14ac:dyDescent="0.25">
      <c r="A1002" s="8">
        <f t="shared" si="45"/>
        <v>73</v>
      </c>
      <c r="B1002" t="str">
        <f ca="1">TEXT(DATE(YEAR(Invoer!$A$5),1,1)+INT((ROWS(B$2:B1002)-1)/3),"jjjjmmdd")</f>
        <v>19451130</v>
      </c>
      <c r="C1002" s="20" t="str">
        <f>INDEX(Data,2,2+MOD(ROWS(C$2:C1002)-1,3))</f>
        <v>12.00</v>
      </c>
      <c r="D1002" s="14" t="str">
        <f t="shared" ca="1" si="46"/>
        <v>—</v>
      </c>
      <c r="E1002" s="25">
        <f t="shared" ca="1" si="47"/>
        <v>7</v>
      </c>
    </row>
    <row r="1003" spans="1:5" x14ac:dyDescent="0.25">
      <c r="A1003" s="8">
        <f t="shared" si="45"/>
        <v>73</v>
      </c>
      <c r="B1003" t="str">
        <f ca="1">TEXT(DATE(YEAR(Invoer!$A$5),1,1)+INT((ROWS(B$2:B1003)-1)/3),"jjjjmmdd")</f>
        <v>19451130</v>
      </c>
      <c r="C1003" s="20" t="str">
        <f>INDEX(Data,2,2+MOD(ROWS(C$2:C1003)-1,3))</f>
        <v>16.00</v>
      </c>
      <c r="D1003" s="14" t="str">
        <f t="shared" ca="1" si="46"/>
        <v>—</v>
      </c>
      <c r="E1003" s="25">
        <f t="shared" ca="1" si="47"/>
        <v>7</v>
      </c>
    </row>
    <row r="1004" spans="1:5" x14ac:dyDescent="0.25">
      <c r="A1004" s="8">
        <f t="shared" si="45"/>
        <v>73</v>
      </c>
      <c r="B1004" t="str">
        <f ca="1">TEXT(DATE(YEAR(Invoer!$A$5),1,1)+INT((ROWS(B$2:B1004)-1)/3),"jjjjmmdd")</f>
        <v>19451201</v>
      </c>
      <c r="C1004" s="20" t="str">
        <f>INDEX(Data,2,2+MOD(ROWS(C$2:C1004)-1,3))</f>
        <v>08.00</v>
      </c>
      <c r="D1004" s="14" t="str">
        <f t="shared" ca="1" si="46"/>
        <v>—</v>
      </c>
      <c r="E1004" s="25">
        <f t="shared" ca="1" si="47"/>
        <v>7</v>
      </c>
    </row>
    <row r="1005" spans="1:5" x14ac:dyDescent="0.25">
      <c r="A1005" s="8">
        <f t="shared" si="45"/>
        <v>73</v>
      </c>
      <c r="B1005" t="str">
        <f ca="1">TEXT(DATE(YEAR(Invoer!$A$5),1,1)+INT((ROWS(B$2:B1005)-1)/3),"jjjjmmdd")</f>
        <v>19451201</v>
      </c>
      <c r="C1005" s="20" t="str">
        <f>INDEX(Data,2,2+MOD(ROWS(C$2:C1005)-1,3))</f>
        <v>12.00</v>
      </c>
      <c r="D1005" s="14" t="str">
        <f t="shared" ca="1" si="46"/>
        <v>—</v>
      </c>
      <c r="E1005" s="25">
        <f t="shared" ca="1" si="47"/>
        <v>7</v>
      </c>
    </row>
    <row r="1006" spans="1:5" x14ac:dyDescent="0.25">
      <c r="A1006" s="8">
        <f t="shared" si="45"/>
        <v>73</v>
      </c>
      <c r="B1006" t="str">
        <f ca="1">TEXT(DATE(YEAR(Invoer!$A$5),1,1)+INT((ROWS(B$2:B1006)-1)/3),"jjjjmmdd")</f>
        <v>19451201</v>
      </c>
      <c r="C1006" s="20" t="str">
        <f>INDEX(Data,2,2+MOD(ROWS(C$2:C1006)-1,3))</f>
        <v>16.00</v>
      </c>
      <c r="D1006" s="14" t="str">
        <f t="shared" ca="1" si="46"/>
        <v>—</v>
      </c>
      <c r="E1006" s="25">
        <f t="shared" ca="1" si="47"/>
        <v>7</v>
      </c>
    </row>
    <row r="1007" spans="1:5" x14ac:dyDescent="0.25">
      <c r="A1007" s="8">
        <f t="shared" si="45"/>
        <v>73</v>
      </c>
      <c r="B1007" t="str">
        <f ca="1">TEXT(DATE(YEAR(Invoer!$A$5),1,1)+INT((ROWS(B$2:B1007)-1)/3),"jjjjmmdd")</f>
        <v>19451202</v>
      </c>
      <c r="C1007" s="20" t="str">
        <f>INDEX(Data,2,2+MOD(ROWS(C$2:C1007)-1,3))</f>
        <v>08.00</v>
      </c>
      <c r="D1007" s="14" t="str">
        <f t="shared" ca="1" si="46"/>
        <v>—</v>
      </c>
      <c r="E1007" s="25">
        <f t="shared" ca="1" si="47"/>
        <v>7</v>
      </c>
    </row>
    <row r="1008" spans="1:5" x14ac:dyDescent="0.25">
      <c r="A1008" s="8">
        <f t="shared" si="45"/>
        <v>73</v>
      </c>
      <c r="B1008" t="str">
        <f ca="1">TEXT(DATE(YEAR(Invoer!$A$5),1,1)+INT((ROWS(B$2:B1008)-1)/3),"jjjjmmdd")</f>
        <v>19451202</v>
      </c>
      <c r="C1008" s="20" t="str">
        <f>INDEX(Data,2,2+MOD(ROWS(C$2:C1008)-1,3))</f>
        <v>12.00</v>
      </c>
      <c r="D1008" s="14" t="str">
        <f t="shared" ca="1" si="46"/>
        <v>—</v>
      </c>
      <c r="E1008" s="25">
        <f t="shared" ca="1" si="47"/>
        <v>7</v>
      </c>
    </row>
    <row r="1009" spans="1:5" x14ac:dyDescent="0.25">
      <c r="A1009" s="8">
        <f t="shared" si="45"/>
        <v>73</v>
      </c>
      <c r="B1009" t="str">
        <f ca="1">TEXT(DATE(YEAR(Invoer!$A$5),1,1)+INT((ROWS(B$2:B1009)-1)/3),"jjjjmmdd")</f>
        <v>19451202</v>
      </c>
      <c r="C1009" s="20" t="str">
        <f>INDEX(Data,2,2+MOD(ROWS(C$2:C1009)-1,3))</f>
        <v>16.00</v>
      </c>
      <c r="D1009" s="14" t="str">
        <f t="shared" ca="1" si="46"/>
        <v>—</v>
      </c>
      <c r="E1009" s="25">
        <f t="shared" ca="1" si="47"/>
        <v>7</v>
      </c>
    </row>
    <row r="1010" spans="1:5" x14ac:dyDescent="0.25">
      <c r="A1010" s="8">
        <f t="shared" si="45"/>
        <v>73</v>
      </c>
      <c r="B1010" t="str">
        <f ca="1">TEXT(DATE(YEAR(Invoer!$A$5),1,1)+INT((ROWS(B$2:B1010)-1)/3),"jjjjmmdd")</f>
        <v>19451203</v>
      </c>
      <c r="C1010" s="20" t="str">
        <f>INDEX(Data,2,2+MOD(ROWS(C$2:C1010)-1,3))</f>
        <v>08.00</v>
      </c>
      <c r="D1010" s="14" t="str">
        <f t="shared" ca="1" si="46"/>
        <v>—</v>
      </c>
      <c r="E1010" s="25">
        <f t="shared" ca="1" si="47"/>
        <v>7</v>
      </c>
    </row>
    <row r="1011" spans="1:5" x14ac:dyDescent="0.25">
      <c r="A1011" s="8">
        <f t="shared" si="45"/>
        <v>73</v>
      </c>
      <c r="B1011" t="str">
        <f ca="1">TEXT(DATE(YEAR(Invoer!$A$5),1,1)+INT((ROWS(B$2:B1011)-1)/3),"jjjjmmdd")</f>
        <v>19451203</v>
      </c>
      <c r="C1011" s="20" t="str">
        <f>INDEX(Data,2,2+MOD(ROWS(C$2:C1011)-1,3))</f>
        <v>12.00</v>
      </c>
      <c r="D1011" s="14" t="str">
        <f t="shared" ca="1" si="46"/>
        <v>—</v>
      </c>
      <c r="E1011" s="25">
        <f t="shared" ca="1" si="47"/>
        <v>7</v>
      </c>
    </row>
    <row r="1012" spans="1:5" x14ac:dyDescent="0.25">
      <c r="A1012" s="8">
        <f t="shared" si="45"/>
        <v>73</v>
      </c>
      <c r="B1012" t="str">
        <f ca="1">TEXT(DATE(YEAR(Invoer!$A$5),1,1)+INT((ROWS(B$2:B1012)-1)/3),"jjjjmmdd")</f>
        <v>19451203</v>
      </c>
      <c r="C1012" s="20" t="str">
        <f>INDEX(Data,2,2+MOD(ROWS(C$2:C1012)-1,3))</f>
        <v>16.00</v>
      </c>
      <c r="D1012" s="14" t="str">
        <f t="shared" ca="1" si="46"/>
        <v>—</v>
      </c>
      <c r="E1012" s="25">
        <f t="shared" ca="1" si="47"/>
        <v>7</v>
      </c>
    </row>
    <row r="1013" spans="1:5" x14ac:dyDescent="0.25">
      <c r="A1013" s="8">
        <f t="shared" si="45"/>
        <v>73</v>
      </c>
      <c r="B1013" t="str">
        <f ca="1">TEXT(DATE(YEAR(Invoer!$A$5),1,1)+INT((ROWS(B$2:B1013)-1)/3),"jjjjmmdd")</f>
        <v>19451204</v>
      </c>
      <c r="C1013" s="20" t="str">
        <f>INDEX(Data,2,2+MOD(ROWS(C$2:C1013)-1,3))</f>
        <v>08.00</v>
      </c>
      <c r="D1013" s="14" t="str">
        <f t="shared" ca="1" si="46"/>
        <v>—</v>
      </c>
      <c r="E1013" s="25">
        <f t="shared" ca="1" si="47"/>
        <v>7</v>
      </c>
    </row>
    <row r="1014" spans="1:5" x14ac:dyDescent="0.25">
      <c r="A1014" s="8">
        <f t="shared" si="45"/>
        <v>73</v>
      </c>
      <c r="B1014" t="str">
        <f ca="1">TEXT(DATE(YEAR(Invoer!$A$5),1,1)+INT((ROWS(B$2:B1014)-1)/3),"jjjjmmdd")</f>
        <v>19451204</v>
      </c>
      <c r="C1014" s="20" t="str">
        <f>INDEX(Data,2,2+MOD(ROWS(C$2:C1014)-1,3))</f>
        <v>12.00</v>
      </c>
      <c r="D1014" s="14" t="str">
        <f t="shared" ca="1" si="46"/>
        <v>—</v>
      </c>
      <c r="E1014" s="25">
        <f t="shared" ca="1" si="47"/>
        <v>7</v>
      </c>
    </row>
    <row r="1015" spans="1:5" x14ac:dyDescent="0.25">
      <c r="A1015" s="8">
        <f t="shared" si="45"/>
        <v>73</v>
      </c>
      <c r="B1015" t="str">
        <f ca="1">TEXT(DATE(YEAR(Invoer!$A$5),1,1)+INT((ROWS(B$2:B1015)-1)/3),"jjjjmmdd")</f>
        <v>19451204</v>
      </c>
      <c r="C1015" s="20" t="str">
        <f>INDEX(Data,2,2+MOD(ROWS(C$2:C1015)-1,3))</f>
        <v>16.00</v>
      </c>
      <c r="D1015" s="14" t="str">
        <f t="shared" ca="1" si="46"/>
        <v>—</v>
      </c>
      <c r="E1015" s="25">
        <f t="shared" ca="1" si="47"/>
        <v>7</v>
      </c>
    </row>
    <row r="1016" spans="1:5" x14ac:dyDescent="0.25">
      <c r="A1016" s="8">
        <f t="shared" si="45"/>
        <v>73</v>
      </c>
      <c r="B1016" t="str">
        <f ca="1">TEXT(DATE(YEAR(Invoer!$A$5),1,1)+INT((ROWS(B$2:B1016)-1)/3),"jjjjmmdd")</f>
        <v>19451205</v>
      </c>
      <c r="C1016" s="20" t="str">
        <f>INDEX(Data,2,2+MOD(ROWS(C$2:C1016)-1,3))</f>
        <v>08.00</v>
      </c>
      <c r="D1016" s="14" t="str">
        <f t="shared" ca="1" si="46"/>
        <v>—</v>
      </c>
      <c r="E1016" s="25">
        <f t="shared" ca="1" si="47"/>
        <v>7</v>
      </c>
    </row>
    <row r="1017" spans="1:5" x14ac:dyDescent="0.25">
      <c r="A1017" s="8">
        <f t="shared" si="45"/>
        <v>73</v>
      </c>
      <c r="B1017" t="str">
        <f ca="1">TEXT(DATE(YEAR(Invoer!$A$5),1,1)+INT((ROWS(B$2:B1017)-1)/3),"jjjjmmdd")</f>
        <v>19451205</v>
      </c>
      <c r="C1017" s="20" t="str">
        <f>INDEX(Data,2,2+MOD(ROWS(C$2:C1017)-1,3))</f>
        <v>12.00</v>
      </c>
      <c r="D1017" s="14" t="str">
        <f t="shared" ca="1" si="46"/>
        <v>—</v>
      </c>
      <c r="E1017" s="25">
        <f t="shared" ca="1" si="47"/>
        <v>7</v>
      </c>
    </row>
    <row r="1018" spans="1:5" x14ac:dyDescent="0.25">
      <c r="A1018" s="8">
        <f t="shared" si="45"/>
        <v>73</v>
      </c>
      <c r="B1018" t="str">
        <f ca="1">TEXT(DATE(YEAR(Invoer!$A$5),1,1)+INT((ROWS(B$2:B1018)-1)/3),"jjjjmmdd")</f>
        <v>19451205</v>
      </c>
      <c r="C1018" s="20" t="str">
        <f>INDEX(Data,2,2+MOD(ROWS(C$2:C1018)-1,3))</f>
        <v>16.00</v>
      </c>
      <c r="D1018" s="14" t="str">
        <f t="shared" ca="1" si="46"/>
        <v>—</v>
      </c>
      <c r="E1018" s="25">
        <f t="shared" ca="1" si="47"/>
        <v>7</v>
      </c>
    </row>
    <row r="1019" spans="1:5" x14ac:dyDescent="0.25">
      <c r="A1019" s="8">
        <f t="shared" si="45"/>
        <v>73</v>
      </c>
      <c r="B1019" t="str">
        <f ca="1">TEXT(DATE(YEAR(Invoer!$A$5),1,1)+INT((ROWS(B$2:B1019)-1)/3),"jjjjmmdd")</f>
        <v>19451206</v>
      </c>
      <c r="C1019" s="20" t="str">
        <f>INDEX(Data,2,2+MOD(ROWS(C$2:C1019)-1,3))</f>
        <v>08.00</v>
      </c>
      <c r="D1019" s="14" t="str">
        <f t="shared" ca="1" si="46"/>
        <v>—</v>
      </c>
      <c r="E1019" s="25">
        <f t="shared" ca="1" si="47"/>
        <v>7</v>
      </c>
    </row>
    <row r="1020" spans="1:5" x14ac:dyDescent="0.25">
      <c r="A1020" s="8">
        <f t="shared" si="45"/>
        <v>73</v>
      </c>
      <c r="B1020" t="str">
        <f ca="1">TEXT(DATE(YEAR(Invoer!$A$5),1,1)+INT((ROWS(B$2:B1020)-1)/3),"jjjjmmdd")</f>
        <v>19451206</v>
      </c>
      <c r="C1020" s="20" t="str">
        <f>INDEX(Data,2,2+MOD(ROWS(C$2:C1020)-1,3))</f>
        <v>12.00</v>
      </c>
      <c r="D1020" s="14" t="str">
        <f t="shared" ca="1" si="46"/>
        <v>—</v>
      </c>
      <c r="E1020" s="25">
        <f t="shared" ca="1" si="47"/>
        <v>7</v>
      </c>
    </row>
    <row r="1021" spans="1:5" x14ac:dyDescent="0.25">
      <c r="A1021" s="8">
        <f t="shared" si="45"/>
        <v>73</v>
      </c>
      <c r="B1021" t="str">
        <f ca="1">TEXT(DATE(YEAR(Invoer!$A$5),1,1)+INT((ROWS(B$2:B1021)-1)/3),"jjjjmmdd")</f>
        <v>19451206</v>
      </c>
      <c r="C1021" s="20" t="str">
        <f>INDEX(Data,2,2+MOD(ROWS(C$2:C1021)-1,3))</f>
        <v>16.00</v>
      </c>
      <c r="D1021" s="14" t="str">
        <f t="shared" ca="1" si="46"/>
        <v>—</v>
      </c>
      <c r="E1021" s="25">
        <f t="shared" ca="1" si="47"/>
        <v>7</v>
      </c>
    </row>
    <row r="1022" spans="1:5" x14ac:dyDescent="0.25">
      <c r="A1022" s="8">
        <f t="shared" si="45"/>
        <v>73</v>
      </c>
      <c r="B1022" t="str">
        <f ca="1">TEXT(DATE(YEAR(Invoer!$A$5),1,1)+INT((ROWS(B$2:B1022)-1)/3),"jjjjmmdd")</f>
        <v>19451207</v>
      </c>
      <c r="C1022" s="20" t="str">
        <f>INDEX(Data,2,2+MOD(ROWS(C$2:C1022)-1,3))</f>
        <v>08.00</v>
      </c>
      <c r="D1022" s="14" t="str">
        <f t="shared" ca="1" si="46"/>
        <v>—</v>
      </c>
      <c r="E1022" s="25">
        <f t="shared" ca="1" si="47"/>
        <v>7</v>
      </c>
    </row>
    <row r="1023" spans="1:5" x14ac:dyDescent="0.25">
      <c r="A1023" s="8">
        <f t="shared" si="45"/>
        <v>73</v>
      </c>
      <c r="B1023" t="str">
        <f ca="1">TEXT(DATE(YEAR(Invoer!$A$5),1,1)+INT((ROWS(B$2:B1023)-1)/3),"jjjjmmdd")</f>
        <v>19451207</v>
      </c>
      <c r="C1023" s="20" t="str">
        <f>INDEX(Data,2,2+MOD(ROWS(C$2:C1023)-1,3))</f>
        <v>12.00</v>
      </c>
      <c r="D1023" s="14" t="str">
        <f t="shared" ca="1" si="46"/>
        <v>—</v>
      </c>
      <c r="E1023" s="25">
        <f t="shared" ca="1" si="47"/>
        <v>7</v>
      </c>
    </row>
    <row r="1024" spans="1:5" x14ac:dyDescent="0.25">
      <c r="A1024" s="8">
        <f t="shared" si="45"/>
        <v>73</v>
      </c>
      <c r="B1024" t="str">
        <f ca="1">TEXT(DATE(YEAR(Invoer!$A$5),1,1)+INT((ROWS(B$2:B1024)-1)/3),"jjjjmmdd")</f>
        <v>19451207</v>
      </c>
      <c r="C1024" s="20" t="str">
        <f>INDEX(Data,2,2+MOD(ROWS(C$2:C1024)-1,3))</f>
        <v>16.00</v>
      </c>
      <c r="D1024" s="14" t="str">
        <f t="shared" ca="1" si="46"/>
        <v>—</v>
      </c>
      <c r="E1024" s="25">
        <f t="shared" ca="1" si="47"/>
        <v>7</v>
      </c>
    </row>
    <row r="1025" spans="1:5" x14ac:dyDescent="0.25">
      <c r="A1025" s="8">
        <f t="shared" si="45"/>
        <v>73</v>
      </c>
      <c r="B1025" t="str">
        <f ca="1">TEXT(DATE(YEAR(Invoer!$A$5),1,1)+INT((ROWS(B$2:B1025)-1)/3),"jjjjmmdd")</f>
        <v>19451208</v>
      </c>
      <c r="C1025" s="20" t="str">
        <f>INDEX(Data,2,2+MOD(ROWS(C$2:C1025)-1,3))</f>
        <v>08.00</v>
      </c>
      <c r="D1025" s="14" t="str">
        <f t="shared" ca="1" si="46"/>
        <v>—</v>
      </c>
      <c r="E1025" s="25">
        <f t="shared" ca="1" si="47"/>
        <v>7</v>
      </c>
    </row>
    <row r="1026" spans="1:5" x14ac:dyDescent="0.25">
      <c r="A1026" s="8">
        <f t="shared" ref="A1026:A1089" si="48">INDEX(Stations,2,1)</f>
        <v>73</v>
      </c>
      <c r="B1026" t="str">
        <f ca="1">TEXT(DATE(YEAR(Invoer!$A$5),1,1)+INT((ROWS(B$2:B1026)-1)/3),"jjjjmmdd")</f>
        <v>19451208</v>
      </c>
      <c r="C1026" s="20" t="str">
        <f>INDEX(Data,2,2+MOD(ROWS(C$2:C1026)-1,3))</f>
        <v>12.00</v>
      </c>
      <c r="D1026" s="14" t="str">
        <f t="shared" ref="D1026:D1089" ca="1" si="49">IF(OR(ISBLANK(VLOOKUP(DATEVALUE(LEFT($B1026,4)&amp;"-"&amp;MID($B1026,5,2)&amp;"-"&amp;RIGHT($B1026,2)),Data,MATCH(LEFT(VLOOKUP(D$1,Parameters,2,FALSE()),4)&amp;"*",OFFSET(Data,0,0,1),0)+MATCH($C1026,OFFSET(Data,1,0,1),0)-2,FALSE())),ISTEXT(VLOOKUP(DATEVALUE(LEFT($B1026,4)&amp;"-"&amp;MID($B1026,5,2)&amp;"-"&amp;RIGHT($B1026,2)),Data,MATCH(LEFT(VLOOKUP(D$1,Parameters,2,FALSE()),4)&amp;"*",OFFSET(Data,0,0,1),0)+MATCH($C1026,OFFSET(Data,1,0,1),0)-2,FALSE()))),"—",VLOOKUP(DATEVALUE(LEFT($B1026,4)&amp;"-"&amp;MID($B1026,5,2)&amp;"-"&amp;RIGHT($B1026,2)),Data,MATCH(LEFT(VLOOKUP(D$1,Parameters,2,FALSE()),4)&amp;"*",OFFSET(Data,0,0,1),0)+MATCH($C1026,OFFSET(Data,1,0,1),0)-2,FALSE()))</f>
        <v>—</v>
      </c>
      <c r="E1026" s="25">
        <f t="shared" ref="E1026:E1089" ca="1" si="50">IF(OR(ISBLANK(VLOOKUP(DATEVALUE(LEFT($B1026,4)&amp;"-"&amp;MID($B1026,5,2)&amp;"-"&amp;RIGHT($B1026,2)),Data,MATCH(LEFT(VLOOKUP(MID(E$1,2,LEN(E$1)-1),Parameters,2,FALSE()),4)&amp;"*",OFFSET(Data,0,0,1),0)+MATCH($C1026,OFFSET(Data,1,0,1),0)-2,FALSE())),ISTEXT(VLOOKUP(DATEVALUE(LEFT($B1026,4)&amp;"-"&amp;MID($B1026,5,2)&amp;"-"&amp;RIGHT($B1026,2)),Data,MATCH(LEFT(VLOOKUP(MID(E$1,2,LEN(E$1)-1),Parameters,2,FALSE()),4)&amp;"*",OFFSET(Data,0,0,1),0)+MATCH($C1026,OFFSET(Data,1,0,1),0)-2,FALSE()))),Lacking,IF(ISNA(MATCH(DATEVALUE(LEFT($B1026,4)&amp;"-"&amp;MID($B1026,5,2)&amp;"-"&amp;RIGHT($B1026,2)),OFFSET(Catalogus,0,0,,1),0)),Ok,VLOOKUP(DATEVALUE(LEFT($B1026,4)&amp;"-"&amp;MID($B1026,5,2)&amp;"-"&amp;RIGHT($B1026,2)),Catalogus,MATCH(LEFT(VLOOKUP(MID(E$1,2,LEN(E$1)-1),Parameters,2,FALSE()),4)&amp;"*",OFFSET(Catalogus,0,0,1),0)+MATCH($C1026,OFFSET(Catalogus,1,0,1),0)-2,FALSE())))</f>
        <v>7</v>
      </c>
    </row>
    <row r="1027" spans="1:5" x14ac:dyDescent="0.25">
      <c r="A1027" s="8">
        <f t="shared" si="48"/>
        <v>73</v>
      </c>
      <c r="B1027" t="str">
        <f ca="1">TEXT(DATE(YEAR(Invoer!$A$5),1,1)+INT((ROWS(B$2:B1027)-1)/3),"jjjjmmdd")</f>
        <v>19451208</v>
      </c>
      <c r="C1027" s="20" t="str">
        <f>INDEX(Data,2,2+MOD(ROWS(C$2:C1027)-1,3))</f>
        <v>16.00</v>
      </c>
      <c r="D1027" s="14" t="str">
        <f t="shared" ca="1" si="49"/>
        <v>—</v>
      </c>
      <c r="E1027" s="25">
        <f t="shared" ca="1" si="50"/>
        <v>7</v>
      </c>
    </row>
    <row r="1028" spans="1:5" x14ac:dyDescent="0.25">
      <c r="A1028" s="8">
        <f t="shared" si="48"/>
        <v>73</v>
      </c>
      <c r="B1028" t="str">
        <f ca="1">TEXT(DATE(YEAR(Invoer!$A$5),1,1)+INT((ROWS(B$2:B1028)-1)/3),"jjjjmmdd")</f>
        <v>19451209</v>
      </c>
      <c r="C1028" s="20" t="str">
        <f>INDEX(Data,2,2+MOD(ROWS(C$2:C1028)-1,3))</f>
        <v>08.00</v>
      </c>
      <c r="D1028" s="14" t="str">
        <f t="shared" ca="1" si="49"/>
        <v>—</v>
      </c>
      <c r="E1028" s="25">
        <f t="shared" ca="1" si="50"/>
        <v>7</v>
      </c>
    </row>
    <row r="1029" spans="1:5" x14ac:dyDescent="0.25">
      <c r="A1029" s="8">
        <f t="shared" si="48"/>
        <v>73</v>
      </c>
      <c r="B1029" t="str">
        <f ca="1">TEXT(DATE(YEAR(Invoer!$A$5),1,1)+INT((ROWS(B$2:B1029)-1)/3),"jjjjmmdd")</f>
        <v>19451209</v>
      </c>
      <c r="C1029" s="20" t="str">
        <f>INDEX(Data,2,2+MOD(ROWS(C$2:C1029)-1,3))</f>
        <v>12.00</v>
      </c>
      <c r="D1029" s="14" t="str">
        <f t="shared" ca="1" si="49"/>
        <v>—</v>
      </c>
      <c r="E1029" s="25">
        <f t="shared" ca="1" si="50"/>
        <v>7</v>
      </c>
    </row>
    <row r="1030" spans="1:5" x14ac:dyDescent="0.25">
      <c r="A1030" s="8">
        <f t="shared" si="48"/>
        <v>73</v>
      </c>
      <c r="B1030" t="str">
        <f ca="1">TEXT(DATE(YEAR(Invoer!$A$5),1,1)+INT((ROWS(B$2:B1030)-1)/3),"jjjjmmdd")</f>
        <v>19451209</v>
      </c>
      <c r="C1030" s="20" t="str">
        <f>INDEX(Data,2,2+MOD(ROWS(C$2:C1030)-1,3))</f>
        <v>16.00</v>
      </c>
      <c r="D1030" s="14" t="str">
        <f t="shared" ca="1" si="49"/>
        <v>—</v>
      </c>
      <c r="E1030" s="25">
        <f t="shared" ca="1" si="50"/>
        <v>7</v>
      </c>
    </row>
    <row r="1031" spans="1:5" x14ac:dyDescent="0.25">
      <c r="A1031" s="8">
        <f t="shared" si="48"/>
        <v>73</v>
      </c>
      <c r="B1031" t="str">
        <f ca="1">TEXT(DATE(YEAR(Invoer!$A$5),1,1)+INT((ROWS(B$2:B1031)-1)/3),"jjjjmmdd")</f>
        <v>19451210</v>
      </c>
      <c r="C1031" s="20" t="str">
        <f>INDEX(Data,2,2+MOD(ROWS(C$2:C1031)-1,3))</f>
        <v>08.00</v>
      </c>
      <c r="D1031" s="14" t="str">
        <f t="shared" ca="1" si="49"/>
        <v>—</v>
      </c>
      <c r="E1031" s="25">
        <f t="shared" ca="1" si="50"/>
        <v>7</v>
      </c>
    </row>
    <row r="1032" spans="1:5" x14ac:dyDescent="0.25">
      <c r="A1032" s="8">
        <f t="shared" si="48"/>
        <v>73</v>
      </c>
      <c r="B1032" t="str">
        <f ca="1">TEXT(DATE(YEAR(Invoer!$A$5),1,1)+INT((ROWS(B$2:B1032)-1)/3),"jjjjmmdd")</f>
        <v>19451210</v>
      </c>
      <c r="C1032" s="20" t="str">
        <f>INDEX(Data,2,2+MOD(ROWS(C$2:C1032)-1,3))</f>
        <v>12.00</v>
      </c>
      <c r="D1032" s="14" t="str">
        <f t="shared" ca="1" si="49"/>
        <v>—</v>
      </c>
      <c r="E1032" s="25">
        <f t="shared" ca="1" si="50"/>
        <v>7</v>
      </c>
    </row>
    <row r="1033" spans="1:5" x14ac:dyDescent="0.25">
      <c r="A1033" s="8">
        <f t="shared" si="48"/>
        <v>73</v>
      </c>
      <c r="B1033" t="str">
        <f ca="1">TEXT(DATE(YEAR(Invoer!$A$5),1,1)+INT((ROWS(B$2:B1033)-1)/3),"jjjjmmdd")</f>
        <v>19451210</v>
      </c>
      <c r="C1033" s="20" t="str">
        <f>INDEX(Data,2,2+MOD(ROWS(C$2:C1033)-1,3))</f>
        <v>16.00</v>
      </c>
      <c r="D1033" s="14" t="str">
        <f t="shared" ca="1" si="49"/>
        <v>—</v>
      </c>
      <c r="E1033" s="25">
        <f t="shared" ca="1" si="50"/>
        <v>7</v>
      </c>
    </row>
    <row r="1034" spans="1:5" x14ac:dyDescent="0.25">
      <c r="A1034" s="8">
        <f t="shared" si="48"/>
        <v>73</v>
      </c>
      <c r="B1034" t="str">
        <f ca="1">TEXT(DATE(YEAR(Invoer!$A$5),1,1)+INT((ROWS(B$2:B1034)-1)/3),"jjjjmmdd")</f>
        <v>19451211</v>
      </c>
      <c r="C1034" s="20" t="str">
        <f>INDEX(Data,2,2+MOD(ROWS(C$2:C1034)-1,3))</f>
        <v>08.00</v>
      </c>
      <c r="D1034" s="14" t="str">
        <f t="shared" ca="1" si="49"/>
        <v>—</v>
      </c>
      <c r="E1034" s="25">
        <f t="shared" ca="1" si="50"/>
        <v>7</v>
      </c>
    </row>
    <row r="1035" spans="1:5" x14ac:dyDescent="0.25">
      <c r="A1035" s="8">
        <f t="shared" si="48"/>
        <v>73</v>
      </c>
      <c r="B1035" t="str">
        <f ca="1">TEXT(DATE(YEAR(Invoer!$A$5),1,1)+INT((ROWS(B$2:B1035)-1)/3),"jjjjmmdd")</f>
        <v>19451211</v>
      </c>
      <c r="C1035" s="20" t="str">
        <f>INDEX(Data,2,2+MOD(ROWS(C$2:C1035)-1,3))</f>
        <v>12.00</v>
      </c>
      <c r="D1035" s="14" t="str">
        <f t="shared" ca="1" si="49"/>
        <v>—</v>
      </c>
      <c r="E1035" s="25">
        <f t="shared" ca="1" si="50"/>
        <v>7</v>
      </c>
    </row>
    <row r="1036" spans="1:5" x14ac:dyDescent="0.25">
      <c r="A1036" s="8">
        <f t="shared" si="48"/>
        <v>73</v>
      </c>
      <c r="B1036" t="str">
        <f ca="1">TEXT(DATE(YEAR(Invoer!$A$5),1,1)+INT((ROWS(B$2:B1036)-1)/3),"jjjjmmdd")</f>
        <v>19451211</v>
      </c>
      <c r="C1036" s="20" t="str">
        <f>INDEX(Data,2,2+MOD(ROWS(C$2:C1036)-1,3))</f>
        <v>16.00</v>
      </c>
      <c r="D1036" s="14" t="str">
        <f t="shared" ca="1" si="49"/>
        <v>—</v>
      </c>
      <c r="E1036" s="25">
        <f t="shared" ca="1" si="50"/>
        <v>7</v>
      </c>
    </row>
    <row r="1037" spans="1:5" x14ac:dyDescent="0.25">
      <c r="A1037" s="8">
        <f t="shared" si="48"/>
        <v>73</v>
      </c>
      <c r="B1037" t="str">
        <f ca="1">TEXT(DATE(YEAR(Invoer!$A$5),1,1)+INT((ROWS(B$2:B1037)-1)/3),"jjjjmmdd")</f>
        <v>19451212</v>
      </c>
      <c r="C1037" s="20" t="str">
        <f>INDEX(Data,2,2+MOD(ROWS(C$2:C1037)-1,3))</f>
        <v>08.00</v>
      </c>
      <c r="D1037" s="14" t="str">
        <f t="shared" ca="1" si="49"/>
        <v>—</v>
      </c>
      <c r="E1037" s="25">
        <f t="shared" ca="1" si="50"/>
        <v>7</v>
      </c>
    </row>
    <row r="1038" spans="1:5" x14ac:dyDescent="0.25">
      <c r="A1038" s="8">
        <f t="shared" si="48"/>
        <v>73</v>
      </c>
      <c r="B1038" t="str">
        <f ca="1">TEXT(DATE(YEAR(Invoer!$A$5),1,1)+INT((ROWS(B$2:B1038)-1)/3),"jjjjmmdd")</f>
        <v>19451212</v>
      </c>
      <c r="C1038" s="20" t="str">
        <f>INDEX(Data,2,2+MOD(ROWS(C$2:C1038)-1,3))</f>
        <v>12.00</v>
      </c>
      <c r="D1038" s="14" t="str">
        <f t="shared" ca="1" si="49"/>
        <v>—</v>
      </c>
      <c r="E1038" s="25">
        <f t="shared" ca="1" si="50"/>
        <v>7</v>
      </c>
    </row>
    <row r="1039" spans="1:5" x14ac:dyDescent="0.25">
      <c r="A1039" s="8">
        <f t="shared" si="48"/>
        <v>73</v>
      </c>
      <c r="B1039" t="str">
        <f ca="1">TEXT(DATE(YEAR(Invoer!$A$5),1,1)+INT((ROWS(B$2:B1039)-1)/3),"jjjjmmdd")</f>
        <v>19451212</v>
      </c>
      <c r="C1039" s="20" t="str">
        <f>INDEX(Data,2,2+MOD(ROWS(C$2:C1039)-1,3))</f>
        <v>16.00</v>
      </c>
      <c r="D1039" s="14" t="str">
        <f t="shared" ca="1" si="49"/>
        <v>—</v>
      </c>
      <c r="E1039" s="25">
        <f t="shared" ca="1" si="50"/>
        <v>7</v>
      </c>
    </row>
    <row r="1040" spans="1:5" x14ac:dyDescent="0.25">
      <c r="A1040" s="8">
        <f t="shared" si="48"/>
        <v>73</v>
      </c>
      <c r="B1040" t="str">
        <f ca="1">TEXT(DATE(YEAR(Invoer!$A$5),1,1)+INT((ROWS(B$2:B1040)-1)/3),"jjjjmmdd")</f>
        <v>19451213</v>
      </c>
      <c r="C1040" s="20" t="str">
        <f>INDEX(Data,2,2+MOD(ROWS(C$2:C1040)-1,3))</f>
        <v>08.00</v>
      </c>
      <c r="D1040" s="14" t="str">
        <f t="shared" ca="1" si="49"/>
        <v>—</v>
      </c>
      <c r="E1040" s="25">
        <f t="shared" ca="1" si="50"/>
        <v>7</v>
      </c>
    </row>
    <row r="1041" spans="1:5" x14ac:dyDescent="0.25">
      <c r="A1041" s="8">
        <f t="shared" si="48"/>
        <v>73</v>
      </c>
      <c r="B1041" t="str">
        <f ca="1">TEXT(DATE(YEAR(Invoer!$A$5),1,1)+INT((ROWS(B$2:B1041)-1)/3),"jjjjmmdd")</f>
        <v>19451213</v>
      </c>
      <c r="C1041" s="20" t="str">
        <f>INDEX(Data,2,2+MOD(ROWS(C$2:C1041)-1,3))</f>
        <v>12.00</v>
      </c>
      <c r="D1041" s="14" t="str">
        <f t="shared" ca="1" si="49"/>
        <v>—</v>
      </c>
      <c r="E1041" s="25">
        <f t="shared" ca="1" si="50"/>
        <v>7</v>
      </c>
    </row>
    <row r="1042" spans="1:5" x14ac:dyDescent="0.25">
      <c r="A1042" s="8">
        <f t="shared" si="48"/>
        <v>73</v>
      </c>
      <c r="B1042" t="str">
        <f ca="1">TEXT(DATE(YEAR(Invoer!$A$5),1,1)+INT((ROWS(B$2:B1042)-1)/3),"jjjjmmdd")</f>
        <v>19451213</v>
      </c>
      <c r="C1042" s="20" t="str">
        <f>INDEX(Data,2,2+MOD(ROWS(C$2:C1042)-1,3))</f>
        <v>16.00</v>
      </c>
      <c r="D1042" s="14" t="str">
        <f t="shared" ca="1" si="49"/>
        <v>—</v>
      </c>
      <c r="E1042" s="25">
        <f t="shared" ca="1" si="50"/>
        <v>7</v>
      </c>
    </row>
    <row r="1043" spans="1:5" x14ac:dyDescent="0.25">
      <c r="A1043" s="8">
        <f t="shared" si="48"/>
        <v>73</v>
      </c>
      <c r="B1043" t="str">
        <f ca="1">TEXT(DATE(YEAR(Invoer!$A$5),1,1)+INT((ROWS(B$2:B1043)-1)/3),"jjjjmmdd")</f>
        <v>19451214</v>
      </c>
      <c r="C1043" s="20" t="str">
        <f>INDEX(Data,2,2+MOD(ROWS(C$2:C1043)-1,3))</f>
        <v>08.00</v>
      </c>
      <c r="D1043" s="14" t="str">
        <f t="shared" ca="1" si="49"/>
        <v>—</v>
      </c>
      <c r="E1043" s="25">
        <f t="shared" ca="1" si="50"/>
        <v>7</v>
      </c>
    </row>
    <row r="1044" spans="1:5" x14ac:dyDescent="0.25">
      <c r="A1044" s="8">
        <f t="shared" si="48"/>
        <v>73</v>
      </c>
      <c r="B1044" t="str">
        <f ca="1">TEXT(DATE(YEAR(Invoer!$A$5),1,1)+INT((ROWS(B$2:B1044)-1)/3),"jjjjmmdd")</f>
        <v>19451214</v>
      </c>
      <c r="C1044" s="20" t="str">
        <f>INDEX(Data,2,2+MOD(ROWS(C$2:C1044)-1,3))</f>
        <v>12.00</v>
      </c>
      <c r="D1044" s="14" t="str">
        <f t="shared" ca="1" si="49"/>
        <v>—</v>
      </c>
      <c r="E1044" s="25">
        <f t="shared" ca="1" si="50"/>
        <v>7</v>
      </c>
    </row>
    <row r="1045" spans="1:5" x14ac:dyDescent="0.25">
      <c r="A1045" s="8">
        <f t="shared" si="48"/>
        <v>73</v>
      </c>
      <c r="B1045" t="str">
        <f ca="1">TEXT(DATE(YEAR(Invoer!$A$5),1,1)+INT((ROWS(B$2:B1045)-1)/3),"jjjjmmdd")</f>
        <v>19451214</v>
      </c>
      <c r="C1045" s="20" t="str">
        <f>INDEX(Data,2,2+MOD(ROWS(C$2:C1045)-1,3))</f>
        <v>16.00</v>
      </c>
      <c r="D1045" s="14" t="str">
        <f t="shared" ca="1" si="49"/>
        <v>—</v>
      </c>
      <c r="E1045" s="25">
        <f t="shared" ca="1" si="50"/>
        <v>7</v>
      </c>
    </row>
    <row r="1046" spans="1:5" x14ac:dyDescent="0.25">
      <c r="A1046" s="8">
        <f t="shared" si="48"/>
        <v>73</v>
      </c>
      <c r="B1046" t="str">
        <f ca="1">TEXT(DATE(YEAR(Invoer!$A$5),1,1)+INT((ROWS(B$2:B1046)-1)/3),"jjjjmmdd")</f>
        <v>19451215</v>
      </c>
      <c r="C1046" s="20" t="str">
        <f>INDEX(Data,2,2+MOD(ROWS(C$2:C1046)-1,3))</f>
        <v>08.00</v>
      </c>
      <c r="D1046" s="14" t="str">
        <f t="shared" ca="1" si="49"/>
        <v>—</v>
      </c>
      <c r="E1046" s="25">
        <f t="shared" ca="1" si="50"/>
        <v>7</v>
      </c>
    </row>
    <row r="1047" spans="1:5" x14ac:dyDescent="0.25">
      <c r="A1047" s="8">
        <f t="shared" si="48"/>
        <v>73</v>
      </c>
      <c r="B1047" t="str">
        <f ca="1">TEXT(DATE(YEAR(Invoer!$A$5),1,1)+INT((ROWS(B$2:B1047)-1)/3),"jjjjmmdd")</f>
        <v>19451215</v>
      </c>
      <c r="C1047" s="20" t="str">
        <f>INDEX(Data,2,2+MOD(ROWS(C$2:C1047)-1,3))</f>
        <v>12.00</v>
      </c>
      <c r="D1047" s="14" t="str">
        <f t="shared" ca="1" si="49"/>
        <v>—</v>
      </c>
      <c r="E1047" s="25">
        <f t="shared" ca="1" si="50"/>
        <v>7</v>
      </c>
    </row>
    <row r="1048" spans="1:5" x14ac:dyDescent="0.25">
      <c r="A1048" s="8">
        <f t="shared" si="48"/>
        <v>73</v>
      </c>
      <c r="B1048" t="str">
        <f ca="1">TEXT(DATE(YEAR(Invoer!$A$5),1,1)+INT((ROWS(B$2:B1048)-1)/3),"jjjjmmdd")</f>
        <v>19451215</v>
      </c>
      <c r="C1048" s="20" t="str">
        <f>INDEX(Data,2,2+MOD(ROWS(C$2:C1048)-1,3))</f>
        <v>16.00</v>
      </c>
      <c r="D1048" s="14" t="str">
        <f t="shared" ca="1" si="49"/>
        <v>—</v>
      </c>
      <c r="E1048" s="25">
        <f t="shared" ca="1" si="50"/>
        <v>7</v>
      </c>
    </row>
    <row r="1049" spans="1:5" x14ac:dyDescent="0.25">
      <c r="A1049" s="8">
        <f t="shared" si="48"/>
        <v>73</v>
      </c>
      <c r="B1049" t="str">
        <f ca="1">TEXT(DATE(YEAR(Invoer!$A$5),1,1)+INT((ROWS(B$2:B1049)-1)/3),"jjjjmmdd")</f>
        <v>19451216</v>
      </c>
      <c r="C1049" s="20" t="str">
        <f>INDEX(Data,2,2+MOD(ROWS(C$2:C1049)-1,3))</f>
        <v>08.00</v>
      </c>
      <c r="D1049" s="14" t="str">
        <f t="shared" ca="1" si="49"/>
        <v>—</v>
      </c>
      <c r="E1049" s="25">
        <f t="shared" ca="1" si="50"/>
        <v>7</v>
      </c>
    </row>
    <row r="1050" spans="1:5" x14ac:dyDescent="0.25">
      <c r="A1050" s="8">
        <f t="shared" si="48"/>
        <v>73</v>
      </c>
      <c r="B1050" t="str">
        <f ca="1">TEXT(DATE(YEAR(Invoer!$A$5),1,1)+INT((ROWS(B$2:B1050)-1)/3),"jjjjmmdd")</f>
        <v>19451216</v>
      </c>
      <c r="C1050" s="20" t="str">
        <f>INDEX(Data,2,2+MOD(ROWS(C$2:C1050)-1,3))</f>
        <v>12.00</v>
      </c>
      <c r="D1050" s="14" t="str">
        <f t="shared" ca="1" si="49"/>
        <v>—</v>
      </c>
      <c r="E1050" s="25">
        <f t="shared" ca="1" si="50"/>
        <v>7</v>
      </c>
    </row>
    <row r="1051" spans="1:5" x14ac:dyDescent="0.25">
      <c r="A1051" s="8">
        <f t="shared" si="48"/>
        <v>73</v>
      </c>
      <c r="B1051" t="str">
        <f ca="1">TEXT(DATE(YEAR(Invoer!$A$5),1,1)+INT((ROWS(B$2:B1051)-1)/3),"jjjjmmdd")</f>
        <v>19451216</v>
      </c>
      <c r="C1051" s="20" t="str">
        <f>INDEX(Data,2,2+MOD(ROWS(C$2:C1051)-1,3))</f>
        <v>16.00</v>
      </c>
      <c r="D1051" s="14" t="str">
        <f t="shared" ca="1" si="49"/>
        <v>—</v>
      </c>
      <c r="E1051" s="25">
        <f t="shared" ca="1" si="50"/>
        <v>7</v>
      </c>
    </row>
    <row r="1052" spans="1:5" x14ac:dyDescent="0.25">
      <c r="A1052" s="8">
        <f t="shared" si="48"/>
        <v>73</v>
      </c>
      <c r="B1052" t="str">
        <f ca="1">TEXT(DATE(YEAR(Invoer!$A$5),1,1)+INT((ROWS(B$2:B1052)-1)/3),"jjjjmmdd")</f>
        <v>19451217</v>
      </c>
      <c r="C1052" s="20" t="str">
        <f>INDEX(Data,2,2+MOD(ROWS(C$2:C1052)-1,3))</f>
        <v>08.00</v>
      </c>
      <c r="D1052" s="14" t="str">
        <f t="shared" ca="1" si="49"/>
        <v>—</v>
      </c>
      <c r="E1052" s="25">
        <f t="shared" ca="1" si="50"/>
        <v>7</v>
      </c>
    </row>
    <row r="1053" spans="1:5" x14ac:dyDescent="0.25">
      <c r="A1053" s="8">
        <f t="shared" si="48"/>
        <v>73</v>
      </c>
      <c r="B1053" t="str">
        <f ca="1">TEXT(DATE(YEAR(Invoer!$A$5),1,1)+INT((ROWS(B$2:B1053)-1)/3),"jjjjmmdd")</f>
        <v>19451217</v>
      </c>
      <c r="C1053" s="20" t="str">
        <f>INDEX(Data,2,2+MOD(ROWS(C$2:C1053)-1,3))</f>
        <v>12.00</v>
      </c>
      <c r="D1053" s="14" t="str">
        <f t="shared" ca="1" si="49"/>
        <v>—</v>
      </c>
      <c r="E1053" s="25">
        <f t="shared" ca="1" si="50"/>
        <v>7</v>
      </c>
    </row>
    <row r="1054" spans="1:5" x14ac:dyDescent="0.25">
      <c r="A1054" s="8">
        <f t="shared" si="48"/>
        <v>73</v>
      </c>
      <c r="B1054" t="str">
        <f ca="1">TEXT(DATE(YEAR(Invoer!$A$5),1,1)+INT((ROWS(B$2:B1054)-1)/3),"jjjjmmdd")</f>
        <v>19451217</v>
      </c>
      <c r="C1054" s="20" t="str">
        <f>INDEX(Data,2,2+MOD(ROWS(C$2:C1054)-1,3))</f>
        <v>16.00</v>
      </c>
      <c r="D1054" s="14" t="str">
        <f t="shared" ca="1" si="49"/>
        <v>—</v>
      </c>
      <c r="E1054" s="25">
        <f t="shared" ca="1" si="50"/>
        <v>7</v>
      </c>
    </row>
    <row r="1055" spans="1:5" x14ac:dyDescent="0.25">
      <c r="A1055" s="8">
        <f t="shared" si="48"/>
        <v>73</v>
      </c>
      <c r="B1055" t="str">
        <f ca="1">TEXT(DATE(YEAR(Invoer!$A$5),1,1)+INT((ROWS(B$2:B1055)-1)/3),"jjjjmmdd")</f>
        <v>19451218</v>
      </c>
      <c r="C1055" s="20" t="str">
        <f>INDEX(Data,2,2+MOD(ROWS(C$2:C1055)-1,3))</f>
        <v>08.00</v>
      </c>
      <c r="D1055" s="14" t="str">
        <f t="shared" ca="1" si="49"/>
        <v>—</v>
      </c>
      <c r="E1055" s="25">
        <f t="shared" ca="1" si="50"/>
        <v>7</v>
      </c>
    </row>
    <row r="1056" spans="1:5" x14ac:dyDescent="0.25">
      <c r="A1056" s="8">
        <f t="shared" si="48"/>
        <v>73</v>
      </c>
      <c r="B1056" t="str">
        <f ca="1">TEXT(DATE(YEAR(Invoer!$A$5),1,1)+INT((ROWS(B$2:B1056)-1)/3),"jjjjmmdd")</f>
        <v>19451218</v>
      </c>
      <c r="C1056" s="20" t="str">
        <f>INDEX(Data,2,2+MOD(ROWS(C$2:C1056)-1,3))</f>
        <v>12.00</v>
      </c>
      <c r="D1056" s="14" t="str">
        <f t="shared" ca="1" si="49"/>
        <v>—</v>
      </c>
      <c r="E1056" s="25">
        <f t="shared" ca="1" si="50"/>
        <v>7</v>
      </c>
    </row>
    <row r="1057" spans="1:5" x14ac:dyDescent="0.25">
      <c r="A1057" s="8">
        <f t="shared" si="48"/>
        <v>73</v>
      </c>
      <c r="B1057" t="str">
        <f ca="1">TEXT(DATE(YEAR(Invoer!$A$5),1,1)+INT((ROWS(B$2:B1057)-1)/3),"jjjjmmdd")</f>
        <v>19451218</v>
      </c>
      <c r="C1057" s="20" t="str">
        <f>INDEX(Data,2,2+MOD(ROWS(C$2:C1057)-1,3))</f>
        <v>16.00</v>
      </c>
      <c r="D1057" s="14" t="str">
        <f t="shared" ca="1" si="49"/>
        <v>—</v>
      </c>
      <c r="E1057" s="25">
        <f t="shared" ca="1" si="50"/>
        <v>7</v>
      </c>
    </row>
    <row r="1058" spans="1:5" x14ac:dyDescent="0.25">
      <c r="A1058" s="8">
        <f t="shared" si="48"/>
        <v>73</v>
      </c>
      <c r="B1058" t="str">
        <f ca="1">TEXT(DATE(YEAR(Invoer!$A$5),1,1)+INT((ROWS(B$2:B1058)-1)/3),"jjjjmmdd")</f>
        <v>19451219</v>
      </c>
      <c r="C1058" s="20" t="str">
        <f>INDEX(Data,2,2+MOD(ROWS(C$2:C1058)-1,3))</f>
        <v>08.00</v>
      </c>
      <c r="D1058" s="14" t="str">
        <f t="shared" ca="1" si="49"/>
        <v>—</v>
      </c>
      <c r="E1058" s="25">
        <f t="shared" ca="1" si="50"/>
        <v>7</v>
      </c>
    </row>
    <row r="1059" spans="1:5" x14ac:dyDescent="0.25">
      <c r="A1059" s="8">
        <f t="shared" si="48"/>
        <v>73</v>
      </c>
      <c r="B1059" t="str">
        <f ca="1">TEXT(DATE(YEAR(Invoer!$A$5),1,1)+INT((ROWS(B$2:B1059)-1)/3),"jjjjmmdd")</f>
        <v>19451219</v>
      </c>
      <c r="C1059" s="20" t="str">
        <f>INDEX(Data,2,2+MOD(ROWS(C$2:C1059)-1,3))</f>
        <v>12.00</v>
      </c>
      <c r="D1059" s="14" t="str">
        <f t="shared" ca="1" si="49"/>
        <v>—</v>
      </c>
      <c r="E1059" s="25">
        <f t="shared" ca="1" si="50"/>
        <v>7</v>
      </c>
    </row>
    <row r="1060" spans="1:5" x14ac:dyDescent="0.25">
      <c r="A1060" s="8">
        <f t="shared" si="48"/>
        <v>73</v>
      </c>
      <c r="B1060" t="str">
        <f ca="1">TEXT(DATE(YEAR(Invoer!$A$5),1,1)+INT((ROWS(B$2:B1060)-1)/3),"jjjjmmdd")</f>
        <v>19451219</v>
      </c>
      <c r="C1060" s="20" t="str">
        <f>INDEX(Data,2,2+MOD(ROWS(C$2:C1060)-1,3))</f>
        <v>16.00</v>
      </c>
      <c r="D1060" s="14" t="str">
        <f t="shared" ca="1" si="49"/>
        <v>—</v>
      </c>
      <c r="E1060" s="25">
        <f t="shared" ca="1" si="50"/>
        <v>7</v>
      </c>
    </row>
    <row r="1061" spans="1:5" x14ac:dyDescent="0.25">
      <c r="A1061" s="8">
        <f t="shared" si="48"/>
        <v>73</v>
      </c>
      <c r="B1061" t="str">
        <f ca="1">TEXT(DATE(YEAR(Invoer!$A$5),1,1)+INT((ROWS(B$2:B1061)-1)/3),"jjjjmmdd")</f>
        <v>19451220</v>
      </c>
      <c r="C1061" s="20" t="str">
        <f>INDEX(Data,2,2+MOD(ROWS(C$2:C1061)-1,3))</f>
        <v>08.00</v>
      </c>
      <c r="D1061" s="14" t="str">
        <f t="shared" ca="1" si="49"/>
        <v>—</v>
      </c>
      <c r="E1061" s="25">
        <f t="shared" ca="1" si="50"/>
        <v>7</v>
      </c>
    </row>
    <row r="1062" spans="1:5" x14ac:dyDescent="0.25">
      <c r="A1062" s="8">
        <f t="shared" si="48"/>
        <v>73</v>
      </c>
      <c r="B1062" t="str">
        <f ca="1">TEXT(DATE(YEAR(Invoer!$A$5),1,1)+INT((ROWS(B$2:B1062)-1)/3),"jjjjmmdd")</f>
        <v>19451220</v>
      </c>
      <c r="C1062" s="20" t="str">
        <f>INDEX(Data,2,2+MOD(ROWS(C$2:C1062)-1,3))</f>
        <v>12.00</v>
      </c>
      <c r="D1062" s="14" t="str">
        <f t="shared" ca="1" si="49"/>
        <v>—</v>
      </c>
      <c r="E1062" s="25">
        <f t="shared" ca="1" si="50"/>
        <v>7</v>
      </c>
    </row>
    <row r="1063" spans="1:5" x14ac:dyDescent="0.25">
      <c r="A1063" s="8">
        <f t="shared" si="48"/>
        <v>73</v>
      </c>
      <c r="B1063" t="str">
        <f ca="1">TEXT(DATE(YEAR(Invoer!$A$5),1,1)+INT((ROWS(B$2:B1063)-1)/3),"jjjjmmdd")</f>
        <v>19451220</v>
      </c>
      <c r="C1063" s="20" t="str">
        <f>INDEX(Data,2,2+MOD(ROWS(C$2:C1063)-1,3))</f>
        <v>16.00</v>
      </c>
      <c r="D1063" s="14" t="str">
        <f t="shared" ca="1" si="49"/>
        <v>—</v>
      </c>
      <c r="E1063" s="25">
        <f t="shared" ca="1" si="50"/>
        <v>7</v>
      </c>
    </row>
    <row r="1064" spans="1:5" x14ac:dyDescent="0.25">
      <c r="A1064" s="8">
        <f t="shared" si="48"/>
        <v>73</v>
      </c>
      <c r="B1064" t="str">
        <f ca="1">TEXT(DATE(YEAR(Invoer!$A$5),1,1)+INT((ROWS(B$2:B1064)-1)/3),"jjjjmmdd")</f>
        <v>19451221</v>
      </c>
      <c r="C1064" s="20" t="str">
        <f>INDEX(Data,2,2+MOD(ROWS(C$2:C1064)-1,3))</f>
        <v>08.00</v>
      </c>
      <c r="D1064" s="14" t="str">
        <f t="shared" ca="1" si="49"/>
        <v>—</v>
      </c>
      <c r="E1064" s="25">
        <f t="shared" ca="1" si="50"/>
        <v>7</v>
      </c>
    </row>
    <row r="1065" spans="1:5" x14ac:dyDescent="0.25">
      <c r="A1065" s="8">
        <f t="shared" si="48"/>
        <v>73</v>
      </c>
      <c r="B1065" t="str">
        <f ca="1">TEXT(DATE(YEAR(Invoer!$A$5),1,1)+INT((ROWS(B$2:B1065)-1)/3),"jjjjmmdd")</f>
        <v>19451221</v>
      </c>
      <c r="C1065" s="20" t="str">
        <f>INDEX(Data,2,2+MOD(ROWS(C$2:C1065)-1,3))</f>
        <v>12.00</v>
      </c>
      <c r="D1065" s="14" t="str">
        <f t="shared" ca="1" si="49"/>
        <v>—</v>
      </c>
      <c r="E1065" s="25">
        <f t="shared" ca="1" si="50"/>
        <v>7</v>
      </c>
    </row>
    <row r="1066" spans="1:5" x14ac:dyDescent="0.25">
      <c r="A1066" s="8">
        <f t="shared" si="48"/>
        <v>73</v>
      </c>
      <c r="B1066" t="str">
        <f ca="1">TEXT(DATE(YEAR(Invoer!$A$5),1,1)+INT((ROWS(B$2:B1066)-1)/3),"jjjjmmdd")</f>
        <v>19451221</v>
      </c>
      <c r="C1066" s="20" t="str">
        <f>INDEX(Data,2,2+MOD(ROWS(C$2:C1066)-1,3))</f>
        <v>16.00</v>
      </c>
      <c r="D1066" s="14" t="str">
        <f t="shared" ca="1" si="49"/>
        <v>—</v>
      </c>
      <c r="E1066" s="25">
        <f t="shared" ca="1" si="50"/>
        <v>7</v>
      </c>
    </row>
    <row r="1067" spans="1:5" x14ac:dyDescent="0.25">
      <c r="A1067" s="8">
        <f t="shared" si="48"/>
        <v>73</v>
      </c>
      <c r="B1067" t="str">
        <f ca="1">TEXT(DATE(YEAR(Invoer!$A$5),1,1)+INT((ROWS(B$2:B1067)-1)/3),"jjjjmmdd")</f>
        <v>19451222</v>
      </c>
      <c r="C1067" s="20" t="str">
        <f>INDEX(Data,2,2+MOD(ROWS(C$2:C1067)-1,3))</f>
        <v>08.00</v>
      </c>
      <c r="D1067" s="14" t="str">
        <f t="shared" ca="1" si="49"/>
        <v>—</v>
      </c>
      <c r="E1067" s="25">
        <f t="shared" ca="1" si="50"/>
        <v>7</v>
      </c>
    </row>
    <row r="1068" spans="1:5" x14ac:dyDescent="0.25">
      <c r="A1068" s="8">
        <f t="shared" si="48"/>
        <v>73</v>
      </c>
      <c r="B1068" t="str">
        <f ca="1">TEXT(DATE(YEAR(Invoer!$A$5),1,1)+INT((ROWS(B$2:B1068)-1)/3),"jjjjmmdd")</f>
        <v>19451222</v>
      </c>
      <c r="C1068" s="20" t="str">
        <f>INDEX(Data,2,2+MOD(ROWS(C$2:C1068)-1,3))</f>
        <v>12.00</v>
      </c>
      <c r="D1068" s="14" t="str">
        <f t="shared" ca="1" si="49"/>
        <v>—</v>
      </c>
      <c r="E1068" s="25">
        <f t="shared" ca="1" si="50"/>
        <v>7</v>
      </c>
    </row>
    <row r="1069" spans="1:5" x14ac:dyDescent="0.25">
      <c r="A1069" s="8">
        <f t="shared" si="48"/>
        <v>73</v>
      </c>
      <c r="B1069" t="str">
        <f ca="1">TEXT(DATE(YEAR(Invoer!$A$5),1,1)+INT((ROWS(B$2:B1069)-1)/3),"jjjjmmdd")</f>
        <v>19451222</v>
      </c>
      <c r="C1069" s="20" t="str">
        <f>INDEX(Data,2,2+MOD(ROWS(C$2:C1069)-1,3))</f>
        <v>16.00</v>
      </c>
      <c r="D1069" s="14" t="str">
        <f t="shared" ca="1" si="49"/>
        <v>—</v>
      </c>
      <c r="E1069" s="25">
        <f t="shared" ca="1" si="50"/>
        <v>7</v>
      </c>
    </row>
    <row r="1070" spans="1:5" x14ac:dyDescent="0.25">
      <c r="A1070" s="8">
        <f t="shared" si="48"/>
        <v>73</v>
      </c>
      <c r="B1070" t="str">
        <f ca="1">TEXT(DATE(YEAR(Invoer!$A$5),1,1)+INT((ROWS(B$2:B1070)-1)/3),"jjjjmmdd")</f>
        <v>19451223</v>
      </c>
      <c r="C1070" s="20" t="str">
        <f>INDEX(Data,2,2+MOD(ROWS(C$2:C1070)-1,3))</f>
        <v>08.00</v>
      </c>
      <c r="D1070" s="14" t="str">
        <f t="shared" ca="1" si="49"/>
        <v>—</v>
      </c>
      <c r="E1070" s="25">
        <f t="shared" ca="1" si="50"/>
        <v>7</v>
      </c>
    </row>
    <row r="1071" spans="1:5" x14ac:dyDescent="0.25">
      <c r="A1071" s="8">
        <f t="shared" si="48"/>
        <v>73</v>
      </c>
      <c r="B1071" t="str">
        <f ca="1">TEXT(DATE(YEAR(Invoer!$A$5),1,1)+INT((ROWS(B$2:B1071)-1)/3),"jjjjmmdd")</f>
        <v>19451223</v>
      </c>
      <c r="C1071" s="20" t="str">
        <f>INDEX(Data,2,2+MOD(ROWS(C$2:C1071)-1,3))</f>
        <v>12.00</v>
      </c>
      <c r="D1071" s="14" t="str">
        <f t="shared" ca="1" si="49"/>
        <v>—</v>
      </c>
      <c r="E1071" s="25">
        <f t="shared" ca="1" si="50"/>
        <v>7</v>
      </c>
    </row>
    <row r="1072" spans="1:5" x14ac:dyDescent="0.25">
      <c r="A1072" s="8">
        <f t="shared" si="48"/>
        <v>73</v>
      </c>
      <c r="B1072" t="str">
        <f ca="1">TEXT(DATE(YEAR(Invoer!$A$5),1,1)+INT((ROWS(B$2:B1072)-1)/3),"jjjjmmdd")</f>
        <v>19451223</v>
      </c>
      <c r="C1072" s="20" t="str">
        <f>INDEX(Data,2,2+MOD(ROWS(C$2:C1072)-1,3))</f>
        <v>16.00</v>
      </c>
      <c r="D1072" s="14" t="str">
        <f t="shared" ca="1" si="49"/>
        <v>—</v>
      </c>
      <c r="E1072" s="25">
        <f t="shared" ca="1" si="50"/>
        <v>7</v>
      </c>
    </row>
    <row r="1073" spans="1:5" x14ac:dyDescent="0.25">
      <c r="A1073" s="8">
        <f t="shared" si="48"/>
        <v>73</v>
      </c>
      <c r="B1073" t="str">
        <f ca="1">TEXT(DATE(YEAR(Invoer!$A$5),1,1)+INT((ROWS(B$2:B1073)-1)/3),"jjjjmmdd")</f>
        <v>19451224</v>
      </c>
      <c r="C1073" s="20" t="str">
        <f>INDEX(Data,2,2+MOD(ROWS(C$2:C1073)-1,3))</f>
        <v>08.00</v>
      </c>
      <c r="D1073" s="14" t="str">
        <f t="shared" ca="1" si="49"/>
        <v>—</v>
      </c>
      <c r="E1073" s="25">
        <f t="shared" ca="1" si="50"/>
        <v>7</v>
      </c>
    </row>
    <row r="1074" spans="1:5" x14ac:dyDescent="0.25">
      <c r="A1074" s="8">
        <f t="shared" si="48"/>
        <v>73</v>
      </c>
      <c r="B1074" t="str">
        <f ca="1">TEXT(DATE(YEAR(Invoer!$A$5),1,1)+INT((ROWS(B$2:B1074)-1)/3),"jjjjmmdd")</f>
        <v>19451224</v>
      </c>
      <c r="C1074" s="20" t="str">
        <f>INDEX(Data,2,2+MOD(ROWS(C$2:C1074)-1,3))</f>
        <v>12.00</v>
      </c>
      <c r="D1074" s="14" t="str">
        <f t="shared" ca="1" si="49"/>
        <v>—</v>
      </c>
      <c r="E1074" s="25">
        <f t="shared" ca="1" si="50"/>
        <v>7</v>
      </c>
    </row>
    <row r="1075" spans="1:5" x14ac:dyDescent="0.25">
      <c r="A1075" s="8">
        <f t="shared" si="48"/>
        <v>73</v>
      </c>
      <c r="B1075" t="str">
        <f ca="1">TEXT(DATE(YEAR(Invoer!$A$5),1,1)+INT((ROWS(B$2:B1075)-1)/3),"jjjjmmdd")</f>
        <v>19451224</v>
      </c>
      <c r="C1075" s="20" t="str">
        <f>INDEX(Data,2,2+MOD(ROWS(C$2:C1075)-1,3))</f>
        <v>16.00</v>
      </c>
      <c r="D1075" s="14" t="str">
        <f t="shared" ca="1" si="49"/>
        <v>—</v>
      </c>
      <c r="E1075" s="25">
        <f t="shared" ca="1" si="50"/>
        <v>7</v>
      </c>
    </row>
    <row r="1076" spans="1:5" x14ac:dyDescent="0.25">
      <c r="A1076" s="8">
        <f t="shared" si="48"/>
        <v>73</v>
      </c>
      <c r="B1076" t="str">
        <f ca="1">TEXT(DATE(YEAR(Invoer!$A$5),1,1)+INT((ROWS(B$2:B1076)-1)/3),"jjjjmmdd")</f>
        <v>19451225</v>
      </c>
      <c r="C1076" s="20" t="str">
        <f>INDEX(Data,2,2+MOD(ROWS(C$2:C1076)-1,3))</f>
        <v>08.00</v>
      </c>
      <c r="D1076" s="14" t="str">
        <f t="shared" ca="1" si="49"/>
        <v>—</v>
      </c>
      <c r="E1076" s="25">
        <f t="shared" ca="1" si="50"/>
        <v>7</v>
      </c>
    </row>
    <row r="1077" spans="1:5" x14ac:dyDescent="0.25">
      <c r="A1077" s="8">
        <f t="shared" si="48"/>
        <v>73</v>
      </c>
      <c r="B1077" t="str">
        <f ca="1">TEXT(DATE(YEAR(Invoer!$A$5),1,1)+INT((ROWS(B$2:B1077)-1)/3),"jjjjmmdd")</f>
        <v>19451225</v>
      </c>
      <c r="C1077" s="20" t="str">
        <f>INDEX(Data,2,2+MOD(ROWS(C$2:C1077)-1,3))</f>
        <v>12.00</v>
      </c>
      <c r="D1077" s="14" t="str">
        <f t="shared" ca="1" si="49"/>
        <v>—</v>
      </c>
      <c r="E1077" s="25">
        <f t="shared" ca="1" si="50"/>
        <v>7</v>
      </c>
    </row>
    <row r="1078" spans="1:5" x14ac:dyDescent="0.25">
      <c r="A1078" s="8">
        <f t="shared" si="48"/>
        <v>73</v>
      </c>
      <c r="B1078" t="str">
        <f ca="1">TEXT(DATE(YEAR(Invoer!$A$5),1,1)+INT((ROWS(B$2:B1078)-1)/3),"jjjjmmdd")</f>
        <v>19451225</v>
      </c>
      <c r="C1078" s="20" t="str">
        <f>INDEX(Data,2,2+MOD(ROWS(C$2:C1078)-1,3))</f>
        <v>16.00</v>
      </c>
      <c r="D1078" s="14" t="str">
        <f t="shared" ca="1" si="49"/>
        <v>—</v>
      </c>
      <c r="E1078" s="25">
        <f t="shared" ca="1" si="50"/>
        <v>7</v>
      </c>
    </row>
    <row r="1079" spans="1:5" x14ac:dyDescent="0.25">
      <c r="A1079" s="8">
        <f t="shared" si="48"/>
        <v>73</v>
      </c>
      <c r="B1079" t="str">
        <f ca="1">TEXT(DATE(YEAR(Invoer!$A$5),1,1)+INT((ROWS(B$2:B1079)-1)/3),"jjjjmmdd")</f>
        <v>19451226</v>
      </c>
      <c r="C1079" s="20" t="str">
        <f>INDEX(Data,2,2+MOD(ROWS(C$2:C1079)-1,3))</f>
        <v>08.00</v>
      </c>
      <c r="D1079" s="14" t="str">
        <f t="shared" ca="1" si="49"/>
        <v>—</v>
      </c>
      <c r="E1079" s="25">
        <f t="shared" ca="1" si="50"/>
        <v>7</v>
      </c>
    </row>
    <row r="1080" spans="1:5" x14ac:dyDescent="0.25">
      <c r="A1080" s="8">
        <f t="shared" si="48"/>
        <v>73</v>
      </c>
      <c r="B1080" t="str">
        <f ca="1">TEXT(DATE(YEAR(Invoer!$A$5),1,1)+INT((ROWS(B$2:B1080)-1)/3),"jjjjmmdd")</f>
        <v>19451226</v>
      </c>
      <c r="C1080" s="20" t="str">
        <f>INDEX(Data,2,2+MOD(ROWS(C$2:C1080)-1,3))</f>
        <v>12.00</v>
      </c>
      <c r="D1080" s="14" t="str">
        <f t="shared" ca="1" si="49"/>
        <v>—</v>
      </c>
      <c r="E1080" s="25">
        <f t="shared" ca="1" si="50"/>
        <v>7</v>
      </c>
    </row>
    <row r="1081" spans="1:5" x14ac:dyDescent="0.25">
      <c r="A1081" s="8">
        <f t="shared" si="48"/>
        <v>73</v>
      </c>
      <c r="B1081" t="str">
        <f ca="1">TEXT(DATE(YEAR(Invoer!$A$5),1,1)+INT((ROWS(B$2:B1081)-1)/3),"jjjjmmdd")</f>
        <v>19451226</v>
      </c>
      <c r="C1081" s="20" t="str">
        <f>INDEX(Data,2,2+MOD(ROWS(C$2:C1081)-1,3))</f>
        <v>16.00</v>
      </c>
      <c r="D1081" s="14" t="str">
        <f t="shared" ca="1" si="49"/>
        <v>—</v>
      </c>
      <c r="E1081" s="25">
        <f t="shared" ca="1" si="50"/>
        <v>7</v>
      </c>
    </row>
    <row r="1082" spans="1:5" x14ac:dyDescent="0.25">
      <c r="A1082" s="8">
        <f t="shared" si="48"/>
        <v>73</v>
      </c>
      <c r="B1082" t="str">
        <f ca="1">TEXT(DATE(YEAR(Invoer!$A$5),1,1)+INT((ROWS(B$2:B1082)-1)/3),"jjjjmmdd")</f>
        <v>19451227</v>
      </c>
      <c r="C1082" s="20" t="str">
        <f>INDEX(Data,2,2+MOD(ROWS(C$2:C1082)-1,3))</f>
        <v>08.00</v>
      </c>
      <c r="D1082" s="14" t="str">
        <f t="shared" ca="1" si="49"/>
        <v>—</v>
      </c>
      <c r="E1082" s="25">
        <f t="shared" ca="1" si="50"/>
        <v>7</v>
      </c>
    </row>
    <row r="1083" spans="1:5" x14ac:dyDescent="0.25">
      <c r="A1083" s="8">
        <f t="shared" si="48"/>
        <v>73</v>
      </c>
      <c r="B1083" t="str">
        <f ca="1">TEXT(DATE(YEAR(Invoer!$A$5),1,1)+INT((ROWS(B$2:B1083)-1)/3),"jjjjmmdd")</f>
        <v>19451227</v>
      </c>
      <c r="C1083" s="20" t="str">
        <f>INDEX(Data,2,2+MOD(ROWS(C$2:C1083)-1,3))</f>
        <v>12.00</v>
      </c>
      <c r="D1083" s="14" t="str">
        <f t="shared" ca="1" si="49"/>
        <v>—</v>
      </c>
      <c r="E1083" s="25">
        <f t="shared" ca="1" si="50"/>
        <v>7</v>
      </c>
    </row>
    <row r="1084" spans="1:5" x14ac:dyDescent="0.25">
      <c r="A1084" s="8">
        <f t="shared" si="48"/>
        <v>73</v>
      </c>
      <c r="B1084" t="str">
        <f ca="1">TEXT(DATE(YEAR(Invoer!$A$5),1,1)+INT((ROWS(B$2:B1084)-1)/3),"jjjjmmdd")</f>
        <v>19451227</v>
      </c>
      <c r="C1084" s="20" t="str">
        <f>INDEX(Data,2,2+MOD(ROWS(C$2:C1084)-1,3))</f>
        <v>16.00</v>
      </c>
      <c r="D1084" s="14" t="str">
        <f t="shared" ca="1" si="49"/>
        <v>—</v>
      </c>
      <c r="E1084" s="25">
        <f t="shared" ca="1" si="50"/>
        <v>7</v>
      </c>
    </row>
    <row r="1085" spans="1:5" x14ac:dyDescent="0.25">
      <c r="A1085" s="8">
        <f t="shared" si="48"/>
        <v>73</v>
      </c>
      <c r="B1085" t="str">
        <f ca="1">TEXT(DATE(YEAR(Invoer!$A$5),1,1)+INT((ROWS(B$2:B1085)-1)/3),"jjjjmmdd")</f>
        <v>19451228</v>
      </c>
      <c r="C1085" s="20" t="str">
        <f>INDEX(Data,2,2+MOD(ROWS(C$2:C1085)-1,3))</f>
        <v>08.00</v>
      </c>
      <c r="D1085" s="14" t="str">
        <f t="shared" ca="1" si="49"/>
        <v>—</v>
      </c>
      <c r="E1085" s="25">
        <f t="shared" ca="1" si="50"/>
        <v>7</v>
      </c>
    </row>
    <row r="1086" spans="1:5" x14ac:dyDescent="0.25">
      <c r="A1086" s="8">
        <f t="shared" si="48"/>
        <v>73</v>
      </c>
      <c r="B1086" t="str">
        <f ca="1">TEXT(DATE(YEAR(Invoer!$A$5),1,1)+INT((ROWS(B$2:B1086)-1)/3),"jjjjmmdd")</f>
        <v>19451228</v>
      </c>
      <c r="C1086" s="20" t="str">
        <f>INDEX(Data,2,2+MOD(ROWS(C$2:C1086)-1,3))</f>
        <v>12.00</v>
      </c>
      <c r="D1086" s="14" t="str">
        <f t="shared" ca="1" si="49"/>
        <v>—</v>
      </c>
      <c r="E1086" s="25">
        <f t="shared" ca="1" si="50"/>
        <v>7</v>
      </c>
    </row>
    <row r="1087" spans="1:5" x14ac:dyDescent="0.25">
      <c r="A1087" s="8">
        <f t="shared" si="48"/>
        <v>73</v>
      </c>
      <c r="B1087" t="str">
        <f ca="1">TEXT(DATE(YEAR(Invoer!$A$5),1,1)+INT((ROWS(B$2:B1087)-1)/3),"jjjjmmdd")</f>
        <v>19451228</v>
      </c>
      <c r="C1087" s="20" t="str">
        <f>INDEX(Data,2,2+MOD(ROWS(C$2:C1087)-1,3))</f>
        <v>16.00</v>
      </c>
      <c r="D1087" s="14" t="str">
        <f t="shared" ca="1" si="49"/>
        <v>—</v>
      </c>
      <c r="E1087" s="25">
        <f t="shared" ca="1" si="50"/>
        <v>7</v>
      </c>
    </row>
    <row r="1088" spans="1:5" x14ac:dyDescent="0.25">
      <c r="A1088" s="8">
        <f t="shared" si="48"/>
        <v>73</v>
      </c>
      <c r="B1088" t="str">
        <f ca="1">TEXT(DATE(YEAR(Invoer!$A$5),1,1)+INT((ROWS(B$2:B1088)-1)/3),"jjjjmmdd")</f>
        <v>19451229</v>
      </c>
      <c r="C1088" s="20" t="str">
        <f>INDEX(Data,2,2+MOD(ROWS(C$2:C1088)-1,3))</f>
        <v>08.00</v>
      </c>
      <c r="D1088" s="14" t="str">
        <f t="shared" ca="1" si="49"/>
        <v>—</v>
      </c>
      <c r="E1088" s="25">
        <f t="shared" ca="1" si="50"/>
        <v>7</v>
      </c>
    </row>
    <row r="1089" spans="1:5" x14ac:dyDescent="0.25">
      <c r="A1089" s="8">
        <f t="shared" si="48"/>
        <v>73</v>
      </c>
      <c r="B1089" t="str">
        <f ca="1">TEXT(DATE(YEAR(Invoer!$A$5),1,1)+INT((ROWS(B$2:B1089)-1)/3),"jjjjmmdd")</f>
        <v>19451229</v>
      </c>
      <c r="C1089" s="20" t="str">
        <f>INDEX(Data,2,2+MOD(ROWS(C$2:C1089)-1,3))</f>
        <v>12.00</v>
      </c>
      <c r="D1089" s="14" t="str">
        <f t="shared" ca="1" si="49"/>
        <v>—</v>
      </c>
      <c r="E1089" s="25">
        <f t="shared" ca="1" si="50"/>
        <v>7</v>
      </c>
    </row>
    <row r="1090" spans="1:5" x14ac:dyDescent="0.25">
      <c r="A1090" s="8">
        <f t="shared" ref="A1090:A1096" si="51">INDEX(Stations,2,1)</f>
        <v>73</v>
      </c>
      <c r="B1090" t="str">
        <f ca="1">TEXT(DATE(YEAR(Invoer!$A$5),1,1)+INT((ROWS(B$2:B1090)-1)/3),"jjjjmmdd")</f>
        <v>19451229</v>
      </c>
      <c r="C1090" s="20" t="str">
        <f>INDEX(Data,2,2+MOD(ROWS(C$2:C1090)-1,3))</f>
        <v>16.00</v>
      </c>
      <c r="D1090" s="14" t="str">
        <f t="shared" ref="D1090:D1096" ca="1" si="52">IF(OR(ISBLANK(VLOOKUP(DATEVALUE(LEFT($B1090,4)&amp;"-"&amp;MID($B1090,5,2)&amp;"-"&amp;RIGHT($B1090,2)),Data,MATCH(LEFT(VLOOKUP(D$1,Parameters,2,FALSE()),4)&amp;"*",OFFSET(Data,0,0,1),0)+MATCH($C1090,OFFSET(Data,1,0,1),0)-2,FALSE())),ISTEXT(VLOOKUP(DATEVALUE(LEFT($B1090,4)&amp;"-"&amp;MID($B1090,5,2)&amp;"-"&amp;RIGHT($B1090,2)),Data,MATCH(LEFT(VLOOKUP(D$1,Parameters,2,FALSE()),4)&amp;"*",OFFSET(Data,0,0,1),0)+MATCH($C1090,OFFSET(Data,1,0,1),0)-2,FALSE()))),"—",VLOOKUP(DATEVALUE(LEFT($B1090,4)&amp;"-"&amp;MID($B1090,5,2)&amp;"-"&amp;RIGHT($B1090,2)),Data,MATCH(LEFT(VLOOKUP(D$1,Parameters,2,FALSE()),4)&amp;"*",OFFSET(Data,0,0,1),0)+MATCH($C1090,OFFSET(Data,1,0,1),0)-2,FALSE()))</f>
        <v>—</v>
      </c>
      <c r="E1090" s="25">
        <f t="shared" ref="E1090:E1096" ca="1" si="53">IF(OR(ISBLANK(VLOOKUP(DATEVALUE(LEFT($B1090,4)&amp;"-"&amp;MID($B1090,5,2)&amp;"-"&amp;RIGHT($B1090,2)),Data,MATCH(LEFT(VLOOKUP(MID(E$1,2,LEN(E$1)-1),Parameters,2,FALSE()),4)&amp;"*",OFFSET(Data,0,0,1),0)+MATCH($C1090,OFFSET(Data,1,0,1),0)-2,FALSE())),ISTEXT(VLOOKUP(DATEVALUE(LEFT($B1090,4)&amp;"-"&amp;MID($B1090,5,2)&amp;"-"&amp;RIGHT($B1090,2)),Data,MATCH(LEFT(VLOOKUP(MID(E$1,2,LEN(E$1)-1),Parameters,2,FALSE()),4)&amp;"*",OFFSET(Data,0,0,1),0)+MATCH($C1090,OFFSET(Data,1,0,1),0)-2,FALSE()))),Lacking,IF(ISNA(MATCH(DATEVALUE(LEFT($B1090,4)&amp;"-"&amp;MID($B1090,5,2)&amp;"-"&amp;RIGHT($B1090,2)),OFFSET(Catalogus,0,0,,1),0)),Ok,VLOOKUP(DATEVALUE(LEFT($B1090,4)&amp;"-"&amp;MID($B1090,5,2)&amp;"-"&amp;RIGHT($B1090,2)),Catalogus,MATCH(LEFT(VLOOKUP(MID(E$1,2,LEN(E$1)-1),Parameters,2,FALSE()),4)&amp;"*",OFFSET(Catalogus,0,0,1),0)+MATCH($C1090,OFFSET(Catalogus,1,0,1),0)-2,FALSE())))</f>
        <v>7</v>
      </c>
    </row>
    <row r="1091" spans="1:5" x14ac:dyDescent="0.25">
      <c r="A1091" s="8">
        <f t="shared" si="51"/>
        <v>73</v>
      </c>
      <c r="B1091" t="str">
        <f ca="1">TEXT(DATE(YEAR(Invoer!$A$5),1,1)+INT((ROWS(B$2:B1091)-1)/3),"jjjjmmdd")</f>
        <v>19451230</v>
      </c>
      <c r="C1091" s="20" t="str">
        <f>INDEX(Data,2,2+MOD(ROWS(C$2:C1091)-1,3))</f>
        <v>08.00</v>
      </c>
      <c r="D1091" s="14" t="str">
        <f t="shared" ca="1" si="52"/>
        <v>—</v>
      </c>
      <c r="E1091" s="25">
        <f t="shared" ca="1" si="53"/>
        <v>7</v>
      </c>
    </row>
    <row r="1092" spans="1:5" x14ac:dyDescent="0.25">
      <c r="A1092" s="8">
        <f t="shared" si="51"/>
        <v>73</v>
      </c>
      <c r="B1092" t="str">
        <f ca="1">TEXT(DATE(YEAR(Invoer!$A$5),1,1)+INT((ROWS(B$2:B1092)-1)/3),"jjjjmmdd")</f>
        <v>19451230</v>
      </c>
      <c r="C1092" s="20" t="str">
        <f>INDEX(Data,2,2+MOD(ROWS(C$2:C1092)-1,3))</f>
        <v>12.00</v>
      </c>
      <c r="D1092" s="14" t="str">
        <f t="shared" ca="1" si="52"/>
        <v>—</v>
      </c>
      <c r="E1092" s="25">
        <f t="shared" ca="1" si="53"/>
        <v>7</v>
      </c>
    </row>
    <row r="1093" spans="1:5" x14ac:dyDescent="0.25">
      <c r="A1093" s="8">
        <f t="shared" si="51"/>
        <v>73</v>
      </c>
      <c r="B1093" t="str">
        <f ca="1">TEXT(DATE(YEAR(Invoer!$A$5),1,1)+INT((ROWS(B$2:B1093)-1)/3),"jjjjmmdd")</f>
        <v>19451230</v>
      </c>
      <c r="C1093" s="20" t="str">
        <f>INDEX(Data,2,2+MOD(ROWS(C$2:C1093)-1,3))</f>
        <v>16.00</v>
      </c>
      <c r="D1093" s="14" t="str">
        <f t="shared" ca="1" si="52"/>
        <v>—</v>
      </c>
      <c r="E1093" s="25">
        <f t="shared" ca="1" si="53"/>
        <v>7</v>
      </c>
    </row>
    <row r="1094" spans="1:5" x14ac:dyDescent="0.25">
      <c r="A1094" s="8">
        <f t="shared" si="51"/>
        <v>73</v>
      </c>
      <c r="B1094" t="str">
        <f ca="1">TEXT(DATE(YEAR(Invoer!$A$5),1,1)+INT((ROWS(B$2:B1094)-1)/3),"jjjjmmdd")</f>
        <v>19451231</v>
      </c>
      <c r="C1094" s="20" t="str">
        <f>INDEX(Data,2,2+MOD(ROWS(C$2:C1094)-1,3))</f>
        <v>08.00</v>
      </c>
      <c r="D1094" s="14" t="str">
        <f t="shared" ca="1" si="52"/>
        <v>—</v>
      </c>
      <c r="E1094" s="25">
        <f t="shared" ca="1" si="53"/>
        <v>7</v>
      </c>
    </row>
    <row r="1095" spans="1:5" x14ac:dyDescent="0.25">
      <c r="A1095" s="8">
        <f t="shared" si="51"/>
        <v>73</v>
      </c>
      <c r="B1095" t="str">
        <f ca="1">TEXT(DATE(YEAR(Invoer!$A$5),1,1)+INT((ROWS(B$2:B1095)-1)/3),"jjjjmmdd")</f>
        <v>19451231</v>
      </c>
      <c r="C1095" s="20" t="str">
        <f>INDEX(Data,2,2+MOD(ROWS(C$2:C1095)-1,3))</f>
        <v>12.00</v>
      </c>
      <c r="D1095" s="14" t="str">
        <f t="shared" ca="1" si="52"/>
        <v>—</v>
      </c>
      <c r="E1095" s="25">
        <f t="shared" ca="1" si="53"/>
        <v>7</v>
      </c>
    </row>
    <row r="1096" spans="1:5" x14ac:dyDescent="0.25">
      <c r="A1096" s="8">
        <f t="shared" si="51"/>
        <v>73</v>
      </c>
      <c r="B1096" t="str">
        <f ca="1">TEXT(DATE(YEAR(Invoer!$A$5),1,1)+INT((ROWS(B$2:B1096)-1)/3),"jjjjmmdd")</f>
        <v>19451231</v>
      </c>
      <c r="C1096" s="20" t="str">
        <f>INDEX(Data,2,2+MOD(ROWS(C$2:C1096)-1,3))</f>
        <v>16.00</v>
      </c>
      <c r="D1096" s="14" t="str">
        <f t="shared" ca="1" si="52"/>
        <v>—</v>
      </c>
      <c r="E1096" s="25">
        <f t="shared" ca="1" si="53"/>
        <v>7</v>
      </c>
    </row>
  </sheetData>
  <pageMargins left="0.7" right="0.7" top="0.75" bottom="0.75" header="0.3" footer="0.3"/>
  <ignoredErrors>
    <ignoredError sqref="E2 E3:E1096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A1:A366"/>
  <sheetViews>
    <sheetView workbookViewId="0"/>
  </sheetViews>
  <sheetFormatPr defaultRowHeight="15" x14ac:dyDescent="0.25"/>
  <cols>
    <col min="1" max="1" width="44.42578125" bestFit="1" customWidth="1"/>
  </cols>
  <sheetData>
    <row r="1" spans="1:1" x14ac:dyDescent="0.25">
      <c r="A1" s="16" t="str">
        <f>""""&amp;Regen!A1&amp;""", """&amp;Regen!B1&amp;""", """&amp;Regen!C1&amp;""", """&amp;Regen!D1&amp;""", """&amp;Regen!E1&amp;""""</f>
        <v>"Stn", "Datum", "Niveau", "Rd", "qRd"</v>
      </c>
    </row>
    <row r="2" spans="1:1" x14ac:dyDescent="0.25">
      <c r="A2" s="16" t="str">
        <f ca="1">TEXT(Regen!A2,"000\,")&amp;TEXT(Regen!B2,"?00000000")&amp;TEXT(Regen!C2,""",""?0")&amp;SUBSTITUTE(TEXT(Regen!D2,""",""????0;"",""???-0;"",""????0;"", ////"""),"'","""")&amp;SUBSTITUTE(TEXT(Regen!E2,""",""?00;"",""?-00;"",""?00;"", //"""),"'","""")</f>
        <v>073, 19450101, 1,    0, 00</v>
      </c>
    </row>
    <row r="3" spans="1:1" x14ac:dyDescent="0.25">
      <c r="A3" s="16" t="str">
        <f ca="1">TEXT(Regen!A3,"000\,")&amp;TEXT(Regen!B3,"?00000000")&amp;TEXT(Regen!C3,""",""?0")&amp;SUBSTITUTE(TEXT(Regen!D3,""",""????0;"",""???-0;"",""????0;"", ////"""),"'","""")&amp;SUBSTITUTE(TEXT(Regen!E3,""",""?00;"",""?-00;"",""?00;"", //"""),"'","""")</f>
        <v>073, 19450102, 1,    0, 00</v>
      </c>
    </row>
    <row r="4" spans="1:1" x14ac:dyDescent="0.25">
      <c r="A4" s="16" t="str">
        <f ca="1">TEXT(Regen!A4,"000\,")&amp;TEXT(Regen!B4,"?00000000")&amp;TEXT(Regen!C4,""",""?0")&amp;SUBSTITUTE(TEXT(Regen!D4,""",""????0;"",""???-0;"",""????0;"", ////"""),"'","""")&amp;SUBSTITUTE(TEXT(Regen!E4,""",""?00;"",""?-00;"",""?00;"", //"""),"'","""")</f>
        <v>073, 19450103, 1,   16, 00</v>
      </c>
    </row>
    <row r="5" spans="1:1" x14ac:dyDescent="0.25">
      <c r="A5" s="16" t="str">
        <f ca="1">TEXT(Regen!A5,"000\,")&amp;TEXT(Regen!B5,"?00000000")&amp;TEXT(Regen!C5,""",""?0")&amp;SUBSTITUTE(TEXT(Regen!D5,""",""????0;"",""???-0;"",""????0;"", ////"""),"'","""")&amp;SUBSTITUTE(TEXT(Regen!E5,""",""?00;"",""?-00;"",""?00;"", //"""),"'","""")</f>
        <v>073, 19450104, 1,   38, 00</v>
      </c>
    </row>
    <row r="6" spans="1:1" x14ac:dyDescent="0.25">
      <c r="A6" s="16" t="str">
        <f ca="1">TEXT(Regen!A6,"000\,")&amp;TEXT(Regen!B6,"?00000000")&amp;TEXT(Regen!C6,""",""?0")&amp;SUBSTITUTE(TEXT(Regen!D6,""",""????0;"",""???-0;"",""????0;"", ////"""),"'","""")&amp;SUBSTITUTE(TEXT(Regen!E6,""",""?00;"",""?-00;"",""?00;"", //"""),"'","""")</f>
        <v>073, 19450105, 1,  106, 00</v>
      </c>
    </row>
    <row r="7" spans="1:1" x14ac:dyDescent="0.25">
      <c r="A7" s="16" t="str">
        <f ca="1">TEXT(Regen!A7,"000\,")&amp;TEXT(Regen!B7,"?00000000")&amp;TEXT(Regen!C7,""",""?0")&amp;SUBSTITUTE(TEXT(Regen!D7,""",""????0;"",""???-0;"",""????0;"", ////"""),"'","""")&amp;SUBSTITUTE(TEXT(Regen!E7,""",""?00;"",""?-00;"",""?00;"", //"""),"'","""")</f>
        <v>073, 19450106, 1,    0, 00</v>
      </c>
    </row>
    <row r="8" spans="1:1" x14ac:dyDescent="0.25">
      <c r="A8" s="16" t="str">
        <f ca="1">TEXT(Regen!A8,"000\,")&amp;TEXT(Regen!B8,"?00000000")&amp;TEXT(Regen!C8,""",""?0")&amp;SUBSTITUTE(TEXT(Regen!D8,""",""????0;"",""???-0;"",""????0;"", ////"""),"'","""")&amp;SUBSTITUTE(TEXT(Regen!E8,""",""?00;"",""?-00;"",""?00;"", //"""),"'","""")</f>
        <v>073, 19450107, 1,   81, 00</v>
      </c>
    </row>
    <row r="9" spans="1:1" x14ac:dyDescent="0.25">
      <c r="A9" s="16" t="str">
        <f ca="1">TEXT(Regen!A9,"000\,")&amp;TEXT(Regen!B9,"?00000000")&amp;TEXT(Regen!C9,""",""?0")&amp;SUBSTITUTE(TEXT(Regen!D9,""",""????0;"",""???-0;"",""????0;"", ////"""),"'","""")&amp;SUBSTITUTE(TEXT(Regen!E9,""",""?00;"",""?-00;"",""?00;"", //"""),"'","""")</f>
        <v>073, 19450108, 1,    0, 00</v>
      </c>
    </row>
    <row r="10" spans="1:1" x14ac:dyDescent="0.25">
      <c r="A10" s="16" t="str">
        <f ca="1">TEXT(Regen!A10,"000\,")&amp;TEXT(Regen!B10,"?00000000")&amp;TEXT(Regen!C10,""",""?0")&amp;SUBSTITUTE(TEXT(Regen!D10,""",""????0;"",""???-0;"",""????0;"", ////"""),"'","""")&amp;SUBSTITUTE(TEXT(Regen!E10,""",""?00;"",""?-00;"",""?00;"", //"""),"'","""")</f>
        <v>073, 19450109, 1,    0, 00</v>
      </c>
    </row>
    <row r="11" spans="1:1" x14ac:dyDescent="0.25">
      <c r="A11" s="16" t="str">
        <f ca="1">TEXT(Regen!A11,"000\,")&amp;TEXT(Regen!B11,"?00000000")&amp;TEXT(Regen!C11,""",""?0")&amp;SUBSTITUTE(TEXT(Regen!D11,""",""????0;"",""???-0;"",""????0;"", ////"""),"'","""")&amp;SUBSTITUTE(TEXT(Regen!E11,""",""?00;"",""?-00;"",""?00;"", //"""),"'","""")</f>
        <v>073, 19450110, 1,    0, 00</v>
      </c>
    </row>
    <row r="12" spans="1:1" x14ac:dyDescent="0.25">
      <c r="A12" s="16" t="str">
        <f ca="1">TEXT(Regen!A12,"000\,")&amp;TEXT(Regen!B12,"?00000000")&amp;TEXT(Regen!C12,""",""?0")&amp;SUBSTITUTE(TEXT(Regen!D12,""",""????0;"",""???-0;"",""????0;"", ////"""),"'","""")&amp;SUBSTITUTE(TEXT(Regen!E12,""",""?00;"",""?-00;"",""?00;"", //"""),"'","""")</f>
        <v>073, 19450111, 1,  380, 00</v>
      </c>
    </row>
    <row r="13" spans="1:1" x14ac:dyDescent="0.25">
      <c r="A13" s="16" t="str">
        <f ca="1">TEXT(Regen!A13,"000\,")&amp;TEXT(Regen!B13,"?00000000")&amp;TEXT(Regen!C13,""",""?0")&amp;SUBSTITUTE(TEXT(Regen!D13,""",""????0;"",""???-0;"",""????0;"", ////"""),"'","""")&amp;SUBSTITUTE(TEXT(Regen!E13,""",""?00;"",""?-00;"",""?00;"", //"""),"'","""")</f>
        <v>073, 19450112, 1,  148, 00</v>
      </c>
    </row>
    <row r="14" spans="1:1" x14ac:dyDescent="0.25">
      <c r="A14" s="16" t="str">
        <f ca="1">TEXT(Regen!A14,"000\,")&amp;TEXT(Regen!B14,"?00000000")&amp;TEXT(Regen!C14,""",""?0")&amp;SUBSTITUTE(TEXT(Regen!D14,""",""????0;"",""???-0;"",""????0;"", ////"""),"'","""")&amp;SUBSTITUTE(TEXT(Regen!E14,""",""?00;"",""?-00;"",""?00;"", //"""),"'","""")</f>
        <v>073, 19450113, 1,    0, 00</v>
      </c>
    </row>
    <row r="15" spans="1:1" x14ac:dyDescent="0.25">
      <c r="A15" s="16" t="str">
        <f ca="1">TEXT(Regen!A15,"000\,")&amp;TEXT(Regen!B15,"?00000000")&amp;TEXT(Regen!C15,""",""?0")&amp;SUBSTITUTE(TEXT(Regen!D15,""",""????0;"",""???-0;"",""????0;"", ////"""),"'","""")&amp;SUBSTITUTE(TEXT(Regen!E15,""",""?00;"",""?-00;"",""?00;"", //"""),"'","""")</f>
        <v>073, 19450114, 1,    0, 00</v>
      </c>
    </row>
    <row r="16" spans="1:1" x14ac:dyDescent="0.25">
      <c r="A16" s="16" t="str">
        <f ca="1">TEXT(Regen!A16,"000\,")&amp;TEXT(Regen!B16,"?00000000")&amp;TEXT(Regen!C16,""",""?0")&amp;SUBSTITUTE(TEXT(Regen!D16,""",""????0;"",""???-0;"",""????0;"", ////"""),"'","""")&amp;SUBSTITUTE(TEXT(Regen!E16,""",""?00;"",""?-00;"",""?00;"", //"""),"'","""")</f>
        <v>073, 19450115, 1,    0, 00</v>
      </c>
    </row>
    <row r="17" spans="1:1" x14ac:dyDescent="0.25">
      <c r="A17" s="16" t="str">
        <f ca="1">TEXT(Regen!A17,"000\,")&amp;TEXT(Regen!B17,"?00000000")&amp;TEXT(Regen!C17,""",""?0")&amp;SUBSTITUTE(TEXT(Regen!D17,""",""????0;"",""???-0;"",""????0;"", ////"""),"'","""")&amp;SUBSTITUTE(TEXT(Regen!E17,""",""?00;"",""?-00;"",""?00;"", //"""),"'","""")</f>
        <v>073, 19450116, 1,    0, 00</v>
      </c>
    </row>
    <row r="18" spans="1:1" x14ac:dyDescent="0.25">
      <c r="A18" s="16" t="str">
        <f ca="1">TEXT(Regen!A18,"000\,")&amp;TEXT(Regen!B18,"?00000000")&amp;TEXT(Regen!C18,""",""?0")&amp;SUBSTITUTE(TEXT(Regen!D18,""",""????0;"",""???-0;"",""????0;"", ////"""),"'","""")&amp;SUBSTITUTE(TEXT(Regen!E18,""",""?00;"",""?-00;"",""?00;"", //"""),"'","""")</f>
        <v>073, 19450117, 1,   19, 00</v>
      </c>
    </row>
    <row r="19" spans="1:1" x14ac:dyDescent="0.25">
      <c r="A19" s="16" t="str">
        <f ca="1">TEXT(Regen!A19,"000\,")&amp;TEXT(Regen!B19,"?00000000")&amp;TEXT(Regen!C19,""",""?0")&amp;SUBSTITUTE(TEXT(Regen!D19,""",""????0;"",""???-0;"",""????0;"", ////"""),"'","""")&amp;SUBSTITUTE(TEXT(Regen!E19,""",""?00;"",""?-00;"",""?00;"", //"""),"'","""")</f>
        <v>073, 19450118, 1,  116, 00</v>
      </c>
    </row>
    <row r="20" spans="1:1" x14ac:dyDescent="0.25">
      <c r="A20" s="16" t="str">
        <f ca="1">TEXT(Regen!A20,"000\,")&amp;TEXT(Regen!B20,"?00000000")&amp;TEXT(Regen!C20,""",""?0")&amp;SUBSTITUTE(TEXT(Regen!D20,""",""????0;"",""???-0;"",""????0;"", ////"""),"'","""")&amp;SUBSTITUTE(TEXT(Regen!E20,""",""?00;"",""?-00;"",""?00;"", //"""),"'","""")</f>
        <v>073, 19450119, 1,    0, 00</v>
      </c>
    </row>
    <row r="21" spans="1:1" x14ac:dyDescent="0.25">
      <c r="A21" s="16" t="str">
        <f ca="1">TEXT(Regen!A21,"000\,")&amp;TEXT(Regen!B21,"?00000000")&amp;TEXT(Regen!C21,""",""?0")&amp;SUBSTITUTE(TEXT(Regen!D21,""",""????0;"",""???-0;"",""????0;"", ////"""),"'","""")&amp;SUBSTITUTE(TEXT(Regen!E21,""",""?00;"",""?-00;"",""?00;"", //"""),"'","""")</f>
        <v>073, 19450120, 1,    0, 00</v>
      </c>
    </row>
    <row r="22" spans="1:1" x14ac:dyDescent="0.25">
      <c r="A22" s="16" t="str">
        <f ca="1">TEXT(Regen!A22,"000\,")&amp;TEXT(Regen!B22,"?00000000")&amp;TEXT(Regen!C22,""",""?0")&amp;SUBSTITUTE(TEXT(Regen!D22,""",""????0;"",""???-0;"",""????0;"", ////"""),"'","""")&amp;SUBSTITUTE(TEXT(Regen!E22,""",""?00;"",""?-00;"",""?00;"", //"""),"'","""")</f>
        <v>073, 19450121, 1,    0, 00</v>
      </c>
    </row>
    <row r="23" spans="1:1" x14ac:dyDescent="0.25">
      <c r="A23" s="16" t="str">
        <f ca="1">TEXT(Regen!A23,"000\,")&amp;TEXT(Regen!B23,"?00000000")&amp;TEXT(Regen!C23,""",""?0")&amp;SUBSTITUTE(TEXT(Regen!D23,""",""????0;"",""???-0;"",""????0;"", ////"""),"'","""")&amp;SUBSTITUTE(TEXT(Regen!E23,""",""?00;"",""?-00;"",""?00;"", //"""),"'","""")</f>
        <v>073, 19450122, 1,    0, 00</v>
      </c>
    </row>
    <row r="24" spans="1:1" x14ac:dyDescent="0.25">
      <c r="A24" s="16" t="str">
        <f ca="1">TEXT(Regen!A24,"000\,")&amp;TEXT(Regen!B24,"?00000000")&amp;TEXT(Regen!C24,""",""?0")&amp;SUBSTITUTE(TEXT(Regen!D24,""",""????0;"",""???-0;"",""????0;"", ////"""),"'","""")&amp;SUBSTITUTE(TEXT(Regen!E24,""",""?00;"",""?-00;"",""?00;"", //"""),"'","""")</f>
        <v>073, 19450123, 1,    0, 00</v>
      </c>
    </row>
    <row r="25" spans="1:1" x14ac:dyDescent="0.25">
      <c r="A25" s="16" t="str">
        <f ca="1">TEXT(Regen!A25,"000\,")&amp;TEXT(Regen!B25,"?00000000")&amp;TEXT(Regen!C25,""",""?0")&amp;SUBSTITUTE(TEXT(Regen!D25,""",""????0;"",""???-0;"",""????0;"", ////"""),"'","""")&amp;SUBSTITUTE(TEXT(Regen!E25,""",""?00;"",""?-00;"",""?00;"", //"""),"'","""")</f>
        <v>073, 19450124, 1,    0, 00</v>
      </c>
    </row>
    <row r="26" spans="1:1" x14ac:dyDescent="0.25">
      <c r="A26" s="16" t="str">
        <f ca="1">TEXT(Regen!A26,"000\,")&amp;TEXT(Regen!B26,"?00000000")&amp;TEXT(Regen!C26,""",""?0")&amp;SUBSTITUTE(TEXT(Regen!D26,""",""????0;"",""???-0;"",""????0;"", ////"""),"'","""")&amp;SUBSTITUTE(TEXT(Regen!E26,""",""?00;"",""?-00;"",""?00;"", //"""),"'","""")</f>
        <v>073, 19450125, 1,    0, 00</v>
      </c>
    </row>
    <row r="27" spans="1:1" x14ac:dyDescent="0.25">
      <c r="A27" s="16" t="str">
        <f ca="1">TEXT(Regen!A27,"000\,")&amp;TEXT(Regen!B27,"?00000000")&amp;TEXT(Regen!C27,""",""?0")&amp;SUBSTITUTE(TEXT(Regen!D27,""",""????0;"",""???-0;"",""????0;"", ////"""),"'","""")&amp;SUBSTITUTE(TEXT(Regen!E27,""",""?00;"",""?-00;"",""?00;"", //"""),"'","""")</f>
        <v>073, 19450126, 1,    0, 00</v>
      </c>
    </row>
    <row r="28" spans="1:1" x14ac:dyDescent="0.25">
      <c r="A28" s="16" t="str">
        <f ca="1">TEXT(Regen!A28,"000\,")&amp;TEXT(Regen!B28,"?00000000")&amp;TEXT(Regen!C28,""",""?0")&amp;SUBSTITUTE(TEXT(Regen!D28,""",""????0;"",""???-0;"",""????0;"", ////"""),"'","""")&amp;SUBSTITUTE(TEXT(Regen!E28,""",""?00;"",""?-00;"",""?00;"", //"""),"'","""")</f>
        <v>073, 19450127, 1,    0, 00</v>
      </c>
    </row>
    <row r="29" spans="1:1" x14ac:dyDescent="0.25">
      <c r="A29" s="16" t="str">
        <f ca="1">TEXT(Regen!A29,"000\,")&amp;TEXT(Regen!B29,"?00000000")&amp;TEXT(Regen!C29,""",""?0")&amp;SUBSTITUTE(TEXT(Regen!D29,""",""????0;"",""???-0;"",""????0;"", ////"""),"'","""")&amp;SUBSTITUTE(TEXT(Regen!E29,""",""?00;"",""?-00;"",""?00;"", //"""),"'","""")</f>
        <v>073, 19450128, 1,    0, 00</v>
      </c>
    </row>
    <row r="30" spans="1:1" x14ac:dyDescent="0.25">
      <c r="A30" s="16" t="str">
        <f ca="1">TEXT(Regen!A30,"000\,")&amp;TEXT(Regen!B30,"?00000000")&amp;TEXT(Regen!C30,""",""?0")&amp;SUBSTITUTE(TEXT(Regen!D30,""",""????0;"",""???-0;"",""????0;"", ////"""),"'","""")&amp;SUBSTITUTE(TEXT(Regen!E30,""",""?00;"",""?-00;"",""?00;"", //"""),"'","""")</f>
        <v>073, 19450129, 1,    0, 00</v>
      </c>
    </row>
    <row r="31" spans="1:1" x14ac:dyDescent="0.25">
      <c r="A31" s="16" t="str">
        <f ca="1">TEXT(Regen!A31,"000\,")&amp;TEXT(Regen!B31,"?00000000")&amp;TEXT(Regen!C31,""",""?0")&amp;SUBSTITUTE(TEXT(Regen!D31,""",""????0;"",""???-0;"",""????0;"", ////"""),"'","""")&amp;SUBSTITUTE(TEXT(Regen!E31,""",""?00;"",""?-00;"",""?00;"", //"""),"'","""")</f>
        <v>073, 19450130, 1,    0, 00</v>
      </c>
    </row>
    <row r="32" spans="1:1" x14ac:dyDescent="0.25">
      <c r="A32" s="16" t="str">
        <f ca="1">TEXT(Regen!A32,"000\,")&amp;TEXT(Regen!B32,"?00000000")&amp;TEXT(Regen!C32,""",""?0")&amp;SUBSTITUTE(TEXT(Regen!D32,""",""????0;"",""???-0;"",""????0;"", ////"""),"'","""")&amp;SUBSTITUTE(TEXT(Regen!E32,""",""?00;"",""?-00;"",""?00;"", //"""),"'","""")</f>
        <v>073, 19450131, 1,    0, 00</v>
      </c>
    </row>
    <row r="33" spans="1:1" x14ac:dyDescent="0.25">
      <c r="A33" s="16" t="str">
        <f ca="1">TEXT(Regen!A33,"000\,")&amp;TEXT(Regen!B33,"?00000000")&amp;TEXT(Regen!C33,""",""?0")&amp;SUBSTITUTE(TEXT(Regen!D33,""",""????0;"",""???-0;"",""????0;"", ////"""),"'","""")&amp;SUBSTITUTE(TEXT(Regen!E33,""",""?00;"",""?-00;"",""?00;"", //"""),"'","""")</f>
        <v>073, 19450201, 1,    0, 00</v>
      </c>
    </row>
    <row r="34" spans="1:1" x14ac:dyDescent="0.25">
      <c r="A34" s="16" t="str">
        <f ca="1">TEXT(Regen!A34,"000\,")&amp;TEXT(Regen!B34,"?00000000")&amp;TEXT(Regen!C34,""",""?0")&amp;SUBSTITUTE(TEXT(Regen!D34,""",""????0;"",""???-0;"",""????0;"", ////"""),"'","""")&amp;SUBSTITUTE(TEXT(Regen!E34,""",""?00;"",""?-00;"",""?00;"", //"""),"'","""")</f>
        <v>073, 19450202, 1,    0, 00</v>
      </c>
    </row>
    <row r="35" spans="1:1" x14ac:dyDescent="0.25">
      <c r="A35" s="16" t="str">
        <f ca="1">TEXT(Regen!A35,"000\,")&amp;TEXT(Regen!B35,"?00000000")&amp;TEXT(Regen!C35,""",""?0")&amp;SUBSTITUTE(TEXT(Regen!D35,""",""????0;"",""???-0;"",""????0;"", ////"""),"'","""")&amp;SUBSTITUTE(TEXT(Regen!E35,""",""?00;"",""?-00;"",""?00;"", //"""),"'","""")</f>
        <v>073, 19450203, 1,    0, 00</v>
      </c>
    </row>
    <row r="36" spans="1:1" x14ac:dyDescent="0.25">
      <c r="A36" s="16" t="str">
        <f ca="1">TEXT(Regen!A36,"000\,")&amp;TEXT(Regen!B36,"?00000000")&amp;TEXT(Regen!C36,""",""?0")&amp;SUBSTITUTE(TEXT(Regen!D36,""",""????0;"",""???-0;"",""????0;"", ////"""),"'","""")&amp;SUBSTITUTE(TEXT(Regen!E36,""",""?00;"",""?-00;"",""?00;"", //"""),"'","""")</f>
        <v>073, 19450204, 1,    0, 00</v>
      </c>
    </row>
    <row r="37" spans="1:1" x14ac:dyDescent="0.25">
      <c r="A37" s="16" t="str">
        <f ca="1">TEXT(Regen!A37,"000\,")&amp;TEXT(Regen!B37,"?00000000")&amp;TEXT(Regen!C37,""",""?0")&amp;SUBSTITUTE(TEXT(Regen!D37,""",""????0;"",""???-0;"",""????0;"", ////"""),"'","""")&amp;SUBSTITUTE(TEXT(Regen!E37,""",""?00;"",""?-00;"",""?00;"", //"""),"'","""")</f>
        <v>073, 19450205, 1,    0, 00</v>
      </c>
    </row>
    <row r="38" spans="1:1" x14ac:dyDescent="0.25">
      <c r="A38" s="16" t="str">
        <f ca="1">TEXT(Regen!A38,"000\,")&amp;TEXT(Regen!B38,"?00000000")&amp;TEXT(Regen!C38,""",""?0")&amp;SUBSTITUTE(TEXT(Regen!D38,""",""????0;"",""???-0;"",""????0;"", ////"""),"'","""")&amp;SUBSTITUTE(TEXT(Regen!E38,""",""?00;"",""?-00;"",""?00;"", //"""),"'","""")</f>
        <v>073, 19450206, 1,   18, 00</v>
      </c>
    </row>
    <row r="39" spans="1:1" x14ac:dyDescent="0.25">
      <c r="A39" s="16" t="str">
        <f ca="1">TEXT(Regen!A39,"000\,")&amp;TEXT(Regen!B39,"?00000000")&amp;TEXT(Regen!C39,""",""?0")&amp;SUBSTITUTE(TEXT(Regen!D39,""",""????0;"",""???-0;"",""????0;"", ////"""),"'","""")&amp;SUBSTITUTE(TEXT(Regen!E39,""",""?00;"",""?-00;"",""?00;"", //"""),"'","""")</f>
        <v>073, 19450207, 1,    0, 00</v>
      </c>
    </row>
    <row r="40" spans="1:1" x14ac:dyDescent="0.25">
      <c r="A40" s="16" t="str">
        <f ca="1">TEXT(Regen!A40,"000\,")&amp;TEXT(Regen!B40,"?00000000")&amp;TEXT(Regen!C40,""",""?0")&amp;SUBSTITUTE(TEXT(Regen!D40,""",""????0;"",""???-0;"",""????0;"", ////"""),"'","""")&amp;SUBSTITUTE(TEXT(Regen!E40,""",""?00;"",""?-00;"",""?00;"", //"""),"'","""")</f>
        <v>073, 19450208, 1,    0, 00</v>
      </c>
    </row>
    <row r="41" spans="1:1" x14ac:dyDescent="0.25">
      <c r="A41" s="16" t="str">
        <f ca="1">TEXT(Regen!A41,"000\,")&amp;TEXT(Regen!B41,"?00000000")&amp;TEXT(Regen!C41,""",""?0")&amp;SUBSTITUTE(TEXT(Regen!D41,""",""????0;"",""???-0;"",""????0;"", ////"""),"'","""")&amp;SUBSTITUTE(TEXT(Regen!E41,""",""?00;"",""?-00;"",""?00;"", //"""),"'","""")</f>
        <v>073, 19450209, 1,   21, 00</v>
      </c>
    </row>
    <row r="42" spans="1:1" x14ac:dyDescent="0.25">
      <c r="A42" s="16" t="str">
        <f ca="1">TEXT(Regen!A42,"000\,")&amp;TEXT(Regen!B42,"?00000000")&amp;TEXT(Regen!C42,""",""?0")&amp;SUBSTITUTE(TEXT(Regen!D42,""",""????0;"",""???-0;"",""????0;"", ////"""),"'","""")&amp;SUBSTITUTE(TEXT(Regen!E42,""",""?00;"",""?-00;"",""?00;"", //"""),"'","""")</f>
        <v>073, 19450210, 1,    0, 00</v>
      </c>
    </row>
    <row r="43" spans="1:1" x14ac:dyDescent="0.25">
      <c r="A43" s="16" t="str">
        <f ca="1">TEXT(Regen!A43,"000\,")&amp;TEXT(Regen!B43,"?00000000")&amp;TEXT(Regen!C43,""",""?0")&amp;SUBSTITUTE(TEXT(Regen!D43,""",""????0;"",""???-0;"",""????0;"", ////"""),"'","""")&amp;SUBSTITUTE(TEXT(Regen!E43,""",""?00;"",""?-00;"",""?00;"", //"""),"'","""")</f>
        <v>073, 19450211, 1,   12, 00</v>
      </c>
    </row>
    <row r="44" spans="1:1" x14ac:dyDescent="0.25">
      <c r="A44" s="16" t="str">
        <f ca="1">TEXT(Regen!A44,"000\,")&amp;TEXT(Regen!B44,"?00000000")&amp;TEXT(Regen!C44,""",""?0")&amp;SUBSTITUTE(TEXT(Regen!D44,""",""????0;"",""???-0;"",""????0;"", ////"""),"'","""")&amp;SUBSTITUTE(TEXT(Regen!E44,""",""?00;"",""?-00;"",""?00;"", //"""),"'","""")</f>
        <v>073, 19450212, 1,    0, 00</v>
      </c>
    </row>
    <row r="45" spans="1:1" x14ac:dyDescent="0.25">
      <c r="A45" s="16" t="str">
        <f ca="1">TEXT(Regen!A45,"000\,")&amp;TEXT(Regen!B45,"?00000000")&amp;TEXT(Regen!C45,""",""?0")&amp;SUBSTITUTE(TEXT(Regen!D45,""",""????0;"",""???-0;"",""????0;"", ////"""),"'","""")&amp;SUBSTITUTE(TEXT(Regen!E45,""",""?00;"",""?-00;"",""?00;"", //"""),"'","""")</f>
        <v>073, 19450213, 1,   20, 00</v>
      </c>
    </row>
    <row r="46" spans="1:1" x14ac:dyDescent="0.25">
      <c r="A46" s="16" t="str">
        <f ca="1">TEXT(Regen!A46,"000\,")&amp;TEXT(Regen!B46,"?00000000")&amp;TEXT(Regen!C46,""",""?0")&amp;SUBSTITUTE(TEXT(Regen!D46,""",""????0;"",""???-0;"",""????0;"", ////"""),"'","""")&amp;SUBSTITUTE(TEXT(Regen!E46,""",""?00;"",""?-00;"",""?00;"", //"""),"'","""")</f>
        <v>073, 19450214, 1,    7, 00</v>
      </c>
    </row>
    <row r="47" spans="1:1" x14ac:dyDescent="0.25">
      <c r="A47" s="16" t="str">
        <f ca="1">TEXT(Regen!A47,"000\,")&amp;TEXT(Regen!B47,"?00000000")&amp;TEXT(Regen!C47,""",""?0")&amp;SUBSTITUTE(TEXT(Regen!D47,""",""????0;"",""???-0;"",""????0;"", ////"""),"'","""")&amp;SUBSTITUTE(TEXT(Regen!E47,""",""?00;"",""?-00;"",""?00;"", //"""),"'","""")</f>
        <v>073, 19450215, 1,    0, 00</v>
      </c>
    </row>
    <row r="48" spans="1:1" x14ac:dyDescent="0.25">
      <c r="A48" s="16" t="str">
        <f ca="1">TEXT(Regen!A48,"000\,")&amp;TEXT(Regen!B48,"?00000000")&amp;TEXT(Regen!C48,""",""?0")&amp;SUBSTITUTE(TEXT(Regen!D48,""",""????0;"",""???-0;"",""????0;"", ////"""),"'","""")&amp;SUBSTITUTE(TEXT(Regen!E48,""",""?00;"",""?-00;"",""?00;"", //"""),"'","""")</f>
        <v>073, 19450216, 1,    0, 00</v>
      </c>
    </row>
    <row r="49" spans="1:1" x14ac:dyDescent="0.25">
      <c r="A49" s="16" t="str">
        <f ca="1">TEXT(Regen!A49,"000\,")&amp;TEXT(Regen!B49,"?00000000")&amp;TEXT(Regen!C49,""",""?0")&amp;SUBSTITUTE(TEXT(Regen!D49,""",""????0;"",""???-0;"",""????0;"", ////"""),"'","""")&amp;SUBSTITUTE(TEXT(Regen!E49,""",""?00;"",""?-00;"",""?00;"", //"""),"'","""")</f>
        <v>073, 19450217, 1,    0, 00</v>
      </c>
    </row>
    <row r="50" spans="1:1" x14ac:dyDescent="0.25">
      <c r="A50" s="16" t="str">
        <f ca="1">TEXT(Regen!A50,"000\,")&amp;TEXT(Regen!B50,"?00000000")&amp;TEXT(Regen!C50,""",""?0")&amp;SUBSTITUTE(TEXT(Regen!D50,""",""????0;"",""???-0;"",""????0;"", ////"""),"'","""")&amp;SUBSTITUTE(TEXT(Regen!E50,""",""?00;"",""?-00;"",""?00;"", //"""),"'","""")</f>
        <v>073, 19450218, 1,    0, 00</v>
      </c>
    </row>
    <row r="51" spans="1:1" x14ac:dyDescent="0.25">
      <c r="A51" s="16" t="str">
        <f ca="1">TEXT(Regen!A51,"000\,")&amp;TEXT(Regen!B51,"?00000000")&amp;TEXT(Regen!C51,""",""?0")&amp;SUBSTITUTE(TEXT(Regen!D51,""",""????0;"",""???-0;"",""????0;"", ////"""),"'","""")&amp;SUBSTITUTE(TEXT(Regen!E51,""",""?00;"",""?-00;"",""?00;"", //"""),"'","""")</f>
        <v>073, 19450219, 1,    0, 00</v>
      </c>
    </row>
    <row r="52" spans="1:1" x14ac:dyDescent="0.25">
      <c r="A52" s="16" t="str">
        <f ca="1">TEXT(Regen!A52,"000\,")&amp;TEXT(Regen!B52,"?00000000")&amp;TEXT(Regen!C52,""",""?0")&amp;SUBSTITUTE(TEXT(Regen!D52,""",""????0;"",""???-0;"",""????0;"", ////"""),"'","""")&amp;SUBSTITUTE(TEXT(Regen!E52,""",""?00;"",""?-00;"",""?00;"", //"""),"'","""")</f>
        <v>073, 19450220, 1,    0, 00</v>
      </c>
    </row>
    <row r="53" spans="1:1" x14ac:dyDescent="0.25">
      <c r="A53" s="16" t="str">
        <f ca="1">TEXT(Regen!A53,"000\,")&amp;TEXT(Regen!B53,"?00000000")&amp;TEXT(Regen!C53,""",""?0")&amp;SUBSTITUTE(TEXT(Regen!D53,""",""????0;"",""???-0;"",""????0;"", ////"""),"'","""")&amp;SUBSTITUTE(TEXT(Regen!E53,""",""?00;"",""?-00;"",""?00;"", //"""),"'","""")</f>
        <v>073, 19450221, 1,    0, 00</v>
      </c>
    </row>
    <row r="54" spans="1:1" x14ac:dyDescent="0.25">
      <c r="A54" s="16" t="str">
        <f ca="1">TEXT(Regen!A54,"000\,")&amp;TEXT(Regen!B54,"?00000000")&amp;TEXT(Regen!C54,""",""?0")&amp;SUBSTITUTE(TEXT(Regen!D54,""",""????0;"",""???-0;"",""????0;"", ////"""),"'","""")&amp;SUBSTITUTE(TEXT(Regen!E54,""",""?00;"",""?-00;"",""?00;"", //"""),"'","""")</f>
        <v>073, 19450222, 1,    0, 00</v>
      </c>
    </row>
    <row r="55" spans="1:1" x14ac:dyDescent="0.25">
      <c r="A55" s="16" t="str">
        <f ca="1">TEXT(Regen!A55,"000\,")&amp;TEXT(Regen!B55,"?00000000")&amp;TEXT(Regen!C55,""",""?0")&amp;SUBSTITUTE(TEXT(Regen!D55,""",""????0;"",""???-0;"",""????0;"", ////"""),"'","""")&amp;SUBSTITUTE(TEXT(Regen!E55,""",""?00;"",""?-00;"",""?00;"", //"""),"'","""")</f>
        <v>073, 19450223, 1,    0, 00</v>
      </c>
    </row>
    <row r="56" spans="1:1" x14ac:dyDescent="0.25">
      <c r="A56" s="16" t="str">
        <f ca="1">TEXT(Regen!A56,"000\,")&amp;TEXT(Regen!B56,"?00000000")&amp;TEXT(Regen!C56,""",""?0")&amp;SUBSTITUTE(TEXT(Regen!D56,""",""????0;"",""???-0;"",""????0;"", ////"""),"'","""")&amp;SUBSTITUTE(TEXT(Regen!E56,""",""?00;"",""?-00;"",""?00;"", //"""),"'","""")</f>
        <v>073, 19450224, 1,    0, 00</v>
      </c>
    </row>
    <row r="57" spans="1:1" x14ac:dyDescent="0.25">
      <c r="A57" s="16" t="str">
        <f ca="1">TEXT(Regen!A57,"000\,")&amp;TEXT(Regen!B57,"?00000000")&amp;TEXT(Regen!C57,""",""?0")&amp;SUBSTITUTE(TEXT(Regen!D57,""",""????0;"",""???-0;"",""????0;"", ////"""),"'","""")&amp;SUBSTITUTE(TEXT(Regen!E57,""",""?00;"",""?-00;"",""?00;"", //"""),"'","""")</f>
        <v>073, 19450225, 1,   91, 00</v>
      </c>
    </row>
    <row r="58" spans="1:1" x14ac:dyDescent="0.25">
      <c r="A58" s="16" t="str">
        <f ca="1">TEXT(Regen!A58,"000\,")&amp;TEXT(Regen!B58,"?00000000")&amp;TEXT(Regen!C58,""",""?0")&amp;SUBSTITUTE(TEXT(Regen!D58,""",""????0;"",""???-0;"",""????0;"", ////"""),"'","""")&amp;SUBSTITUTE(TEXT(Regen!E58,""",""?00;"",""?-00;"",""?00;"", //"""),"'","""")</f>
        <v>073, 19450226, 1,    6, 00</v>
      </c>
    </row>
    <row r="59" spans="1:1" x14ac:dyDescent="0.25">
      <c r="A59" s="16" t="str">
        <f ca="1">TEXT(Regen!A59,"000\,")&amp;TEXT(Regen!B59,"?00000000")&amp;TEXT(Regen!C59,""",""?0")&amp;SUBSTITUTE(TEXT(Regen!D59,""",""????0;"",""???-0;"",""????0;"", ////"""),"'","""")&amp;SUBSTITUTE(TEXT(Regen!E59,""",""?00;"",""?-00;"",""?00;"", //"""),"'","""")</f>
        <v>073, 19450227, 1,   38, 00</v>
      </c>
    </row>
    <row r="60" spans="1:1" x14ac:dyDescent="0.25">
      <c r="A60" s="16" t="str">
        <f ca="1">TEXT(Regen!A60,"000\,")&amp;TEXT(Regen!B60,"?00000000")&amp;TEXT(Regen!C60,""",""?0")&amp;SUBSTITUTE(TEXT(Regen!D60,""",""????0;"",""???-0;"",""????0;"", ////"""),"'","""")&amp;SUBSTITUTE(TEXT(Regen!E60,""",""?00;"",""?-00;"",""?00;"", //"""),"'","""")</f>
        <v>073, 19450228, 1,    8, 00</v>
      </c>
    </row>
    <row r="61" spans="1:1" x14ac:dyDescent="0.25">
      <c r="A61" s="16" t="str">
        <f ca="1">TEXT(Regen!A61,"000\,")&amp;TEXT(Regen!B61,"?00000000")&amp;TEXT(Regen!C61,""",""?0")&amp;SUBSTITUTE(TEXT(Regen!D61,""",""????0;"",""???-0;"",""????0;"", ////"""),"'","""")&amp;SUBSTITUTE(TEXT(Regen!E61,""",""?00;"",""?-00;"",""?00;"", //"""),"'","""")</f>
        <v>073, 19450301, 1,    0, 00</v>
      </c>
    </row>
    <row r="62" spans="1:1" x14ac:dyDescent="0.25">
      <c r="A62" s="16" t="str">
        <f ca="1">TEXT(Regen!A62,"000\,")&amp;TEXT(Regen!B62,"?00000000")&amp;TEXT(Regen!C62,""",""?0")&amp;SUBSTITUTE(TEXT(Regen!D62,""",""????0;"",""???-0;"",""????0;"", ////"""),"'","""")&amp;SUBSTITUTE(TEXT(Regen!E62,""",""?00;"",""?-00;"",""?00;"", //"""),"'","""")</f>
        <v>073, 19450302, 1,    0, 00</v>
      </c>
    </row>
    <row r="63" spans="1:1" x14ac:dyDescent="0.25">
      <c r="A63" s="16" t="str">
        <f ca="1">TEXT(Regen!A63,"000\,")&amp;TEXT(Regen!B63,"?00000000")&amp;TEXT(Regen!C63,""",""?0")&amp;SUBSTITUTE(TEXT(Regen!D63,""",""????0;"",""???-0;"",""????0;"", ////"""),"'","""")&amp;SUBSTITUTE(TEXT(Regen!E63,""",""?00;"",""?-00;"",""?00;"", //"""),"'","""")</f>
        <v>073, 19450303, 1,    0, 00</v>
      </c>
    </row>
    <row r="64" spans="1:1" x14ac:dyDescent="0.25">
      <c r="A64" s="16" t="str">
        <f ca="1">TEXT(Regen!A64,"000\,")&amp;TEXT(Regen!B64,"?00000000")&amp;TEXT(Regen!C64,""",""?0")&amp;SUBSTITUTE(TEXT(Regen!D64,""",""????0;"",""???-0;"",""????0;"", ////"""),"'","""")&amp;SUBSTITUTE(TEXT(Regen!E64,""",""?00;"",""?-00;"",""?00;"", //"""),"'","""")</f>
        <v>073, 19450304, 1,    0, 00</v>
      </c>
    </row>
    <row r="65" spans="1:1" x14ac:dyDescent="0.25">
      <c r="A65" s="16" t="str">
        <f ca="1">TEXT(Regen!A65,"000\,")&amp;TEXT(Regen!B65,"?00000000")&amp;TEXT(Regen!C65,""",""?0")&amp;SUBSTITUTE(TEXT(Regen!D65,""",""????0;"",""???-0;"",""????0;"", ////"""),"'","""")&amp;SUBSTITUTE(TEXT(Regen!E65,""",""?00;"",""?-00;"",""?00;"", //"""),"'","""")</f>
        <v>073, 19450305, 1,    0, 00</v>
      </c>
    </row>
    <row r="66" spans="1:1" x14ac:dyDescent="0.25">
      <c r="A66" s="16" t="str">
        <f ca="1">TEXT(Regen!A66,"000\,")&amp;TEXT(Regen!B66,"?00000000")&amp;TEXT(Regen!C66,""",""?0")&amp;SUBSTITUTE(TEXT(Regen!D66,""",""????0;"",""???-0;"",""????0;"", ////"""),"'","""")&amp;SUBSTITUTE(TEXT(Regen!E66,""",""?00;"",""?-00;"",""?00;"", //"""),"'","""")</f>
        <v>073, 19450306, 1,    0, 00</v>
      </c>
    </row>
    <row r="67" spans="1:1" x14ac:dyDescent="0.25">
      <c r="A67" s="16" t="str">
        <f ca="1">TEXT(Regen!A67,"000\,")&amp;TEXT(Regen!B67,"?00000000")&amp;TEXT(Regen!C67,""",""?0")&amp;SUBSTITUTE(TEXT(Regen!D67,""",""????0;"",""???-0;"",""????0;"", ////"""),"'","""")&amp;SUBSTITUTE(TEXT(Regen!E67,""",""?00;"",""?-00;"",""?00;"", //"""),"'","""")</f>
        <v>073, 19450307, 1,    0, 00</v>
      </c>
    </row>
    <row r="68" spans="1:1" x14ac:dyDescent="0.25">
      <c r="A68" s="16" t="str">
        <f ca="1">TEXT(Regen!A68,"000\,")&amp;TEXT(Regen!B68,"?00000000")&amp;TEXT(Regen!C68,""",""?0")&amp;SUBSTITUTE(TEXT(Regen!D68,""",""????0;"",""???-0;"",""????0;"", ////"""),"'","""")&amp;SUBSTITUTE(TEXT(Regen!E68,""",""?00;"",""?-00;"",""?00;"", //"""),"'","""")</f>
        <v>073, 19450308, 1,   12, 00</v>
      </c>
    </row>
    <row r="69" spans="1:1" x14ac:dyDescent="0.25">
      <c r="A69" s="16" t="str">
        <f ca="1">TEXT(Regen!A69,"000\,")&amp;TEXT(Regen!B69,"?00000000")&amp;TEXT(Regen!C69,""",""?0")&amp;SUBSTITUTE(TEXT(Regen!D69,""",""????0;"",""???-0;"",""????0;"", ////"""),"'","""")&amp;SUBSTITUTE(TEXT(Regen!E69,""",""?00;"",""?-00;"",""?00;"", //"""),"'","""")</f>
        <v>073, 19450309, 1,    0, 00</v>
      </c>
    </row>
    <row r="70" spans="1:1" x14ac:dyDescent="0.25">
      <c r="A70" s="16" t="str">
        <f ca="1">TEXT(Regen!A70,"000\,")&amp;TEXT(Regen!B70,"?00000000")&amp;TEXT(Regen!C70,""",""?0")&amp;SUBSTITUTE(TEXT(Regen!D70,""",""????0;"",""???-0;"",""????0;"", ////"""),"'","""")&amp;SUBSTITUTE(TEXT(Regen!E70,""",""?00;"",""?-00;"",""?00;"", //"""),"'","""")</f>
        <v>073, 19450310, 1,    0, 00</v>
      </c>
    </row>
    <row r="71" spans="1:1" x14ac:dyDescent="0.25">
      <c r="A71" s="16" t="str">
        <f ca="1">TEXT(Regen!A71,"000\,")&amp;TEXT(Regen!B71,"?00000000")&amp;TEXT(Regen!C71,""",""?0")&amp;SUBSTITUTE(TEXT(Regen!D71,""",""????0;"",""???-0;"",""????0;"", ////"""),"'","""")&amp;SUBSTITUTE(TEXT(Regen!E71,""",""?00;"",""?-00;"",""?00;"", //"""),"'","""")</f>
        <v>073, 19450311, 1,    0, 00</v>
      </c>
    </row>
    <row r="72" spans="1:1" x14ac:dyDescent="0.25">
      <c r="A72" s="16" t="str">
        <f ca="1">TEXT(Regen!A72,"000\,")&amp;TEXT(Regen!B72,"?00000000")&amp;TEXT(Regen!C72,""",""?0")&amp;SUBSTITUTE(TEXT(Regen!D72,""",""????0;"",""???-0;"",""????0;"", ////"""),"'","""")&amp;SUBSTITUTE(TEXT(Regen!E72,""",""?00;"",""?-00;"",""?00;"", //"""),"'","""")</f>
        <v>073, 19450312, 1,    0, 00</v>
      </c>
    </row>
    <row r="73" spans="1:1" x14ac:dyDescent="0.25">
      <c r="A73" s="16" t="str">
        <f ca="1">TEXT(Regen!A73,"000\,")&amp;TEXT(Regen!B73,"?00000000")&amp;TEXT(Regen!C73,""",""?0")&amp;SUBSTITUTE(TEXT(Regen!D73,""",""????0;"",""???-0;"",""????0;"", ////"""),"'","""")&amp;SUBSTITUTE(TEXT(Regen!E73,""",""?00;"",""?-00;"",""?00;"", //"""),"'","""")</f>
        <v>073, 19450313, 1,    0, 00</v>
      </c>
    </row>
    <row r="74" spans="1:1" x14ac:dyDescent="0.25">
      <c r="A74" s="16" t="str">
        <f ca="1">TEXT(Regen!A74,"000\,")&amp;TEXT(Regen!B74,"?00000000")&amp;TEXT(Regen!C74,""",""?0")&amp;SUBSTITUTE(TEXT(Regen!D74,""",""????0;"",""???-0;"",""????0;"", ////"""),"'","""")&amp;SUBSTITUTE(TEXT(Regen!E74,""",""?00;"",""?-00;"",""?00;"", //"""),"'","""")</f>
        <v>073, 19450314, 1,    0, 00</v>
      </c>
    </row>
    <row r="75" spans="1:1" x14ac:dyDescent="0.25">
      <c r="A75" s="16" t="str">
        <f ca="1">TEXT(Regen!A75,"000\,")&amp;TEXT(Regen!B75,"?00000000")&amp;TEXT(Regen!C75,""",""?0")&amp;SUBSTITUTE(TEXT(Regen!D75,""",""????0;"",""???-0;"",""????0;"", ////"""),"'","""")&amp;SUBSTITUTE(TEXT(Regen!E75,""",""?00;"",""?-00;"",""?00;"", //"""),"'","""")</f>
        <v>073, 19450315, 1,   50, 00</v>
      </c>
    </row>
    <row r="76" spans="1:1" x14ac:dyDescent="0.25">
      <c r="A76" s="16" t="str">
        <f ca="1">TEXT(Regen!A76,"000\,")&amp;TEXT(Regen!B76,"?00000000")&amp;TEXT(Regen!C76,""",""?0")&amp;SUBSTITUTE(TEXT(Regen!D76,""",""????0;"",""???-0;"",""????0;"", ////"""),"'","""")&amp;SUBSTITUTE(TEXT(Regen!E76,""",""?00;"",""?-00;"",""?00;"", //"""),"'","""")</f>
        <v>073, 19450316, 1,    0, 00</v>
      </c>
    </row>
    <row r="77" spans="1:1" x14ac:dyDescent="0.25">
      <c r="A77" s="16" t="str">
        <f ca="1">TEXT(Regen!A77,"000\,")&amp;TEXT(Regen!B77,"?00000000")&amp;TEXT(Regen!C77,""",""?0")&amp;SUBSTITUTE(TEXT(Regen!D77,""",""????0;"",""???-0;"",""????0;"", ////"""),"'","""")&amp;SUBSTITUTE(TEXT(Regen!E77,""",""?00;"",""?-00;"",""?00;"", //"""),"'","""")</f>
        <v>073, 19450317, 1,    0, 00</v>
      </c>
    </row>
    <row r="78" spans="1:1" x14ac:dyDescent="0.25">
      <c r="A78" s="16" t="str">
        <f ca="1">TEXT(Regen!A78,"000\,")&amp;TEXT(Regen!B78,"?00000000")&amp;TEXT(Regen!C78,""",""?0")&amp;SUBSTITUTE(TEXT(Regen!D78,""",""????0;"",""???-0;"",""????0;"", ////"""),"'","""")&amp;SUBSTITUTE(TEXT(Regen!E78,""",""?00;"",""?-00;"",""?00;"", //"""),"'","""")</f>
        <v>073, 19450318, 1,    0, 00</v>
      </c>
    </row>
    <row r="79" spans="1:1" x14ac:dyDescent="0.25">
      <c r="A79" s="16" t="str">
        <f ca="1">TEXT(Regen!A79,"000\,")&amp;TEXT(Regen!B79,"?00000000")&amp;TEXT(Regen!C79,""",""?0")&amp;SUBSTITUTE(TEXT(Regen!D79,""",""????0;"",""???-0;"",""????0;"", ////"""),"'","""")&amp;SUBSTITUTE(TEXT(Regen!E79,""",""?00;"",""?-00;"",""?00;"", //"""),"'","""")</f>
        <v>073, 19450319, 1,    0, 00</v>
      </c>
    </row>
    <row r="80" spans="1:1" x14ac:dyDescent="0.25">
      <c r="A80" s="16" t="str">
        <f ca="1">TEXT(Regen!A80,"000\,")&amp;TEXT(Regen!B80,"?00000000")&amp;TEXT(Regen!C80,""",""?0")&amp;SUBSTITUTE(TEXT(Regen!D80,""",""????0;"",""???-0;"",""????0;"", ////"""),"'","""")&amp;SUBSTITUTE(TEXT(Regen!E80,""",""?00;"",""?-00;"",""?00;"", //"""),"'","""")</f>
        <v>073, 19450320, 1,    0, 00</v>
      </c>
    </row>
    <row r="81" spans="1:1" x14ac:dyDescent="0.25">
      <c r="A81" s="16" t="str">
        <f ca="1">TEXT(Regen!A81,"000\,")&amp;TEXT(Regen!B81,"?00000000")&amp;TEXT(Regen!C81,""",""?0")&amp;SUBSTITUTE(TEXT(Regen!D81,""",""????0;"",""???-0;"",""????0;"", ////"""),"'","""")&amp;SUBSTITUTE(TEXT(Regen!E81,""",""?00;"",""?-00;"",""?00;"", //"""),"'","""")</f>
        <v>073, 19450321, 1,    0, 00</v>
      </c>
    </row>
    <row r="82" spans="1:1" x14ac:dyDescent="0.25">
      <c r="A82" s="16" t="str">
        <f ca="1">TEXT(Regen!A82,"000\,")&amp;TEXT(Regen!B82,"?00000000")&amp;TEXT(Regen!C82,""",""?0")&amp;SUBSTITUTE(TEXT(Regen!D82,""",""????0;"",""???-0;"",""????0;"", ////"""),"'","""")&amp;SUBSTITUTE(TEXT(Regen!E82,""",""?00;"",""?-00;"",""?00;"", //"""),"'","""")</f>
        <v>073, 19450322, 1,    0, 00</v>
      </c>
    </row>
    <row r="83" spans="1:1" x14ac:dyDescent="0.25">
      <c r="A83" s="16" t="str">
        <f ca="1">TEXT(Regen!A83,"000\,")&amp;TEXT(Regen!B83,"?00000000")&amp;TEXT(Regen!C83,""",""?0")&amp;SUBSTITUTE(TEXT(Regen!D83,""",""????0;"",""???-0;"",""????0;"", ////"""),"'","""")&amp;SUBSTITUTE(TEXT(Regen!E83,""",""?00;"",""?-00;"",""?00;"", //"""),"'","""")</f>
        <v>073, 19450323, 1,    0, 00</v>
      </c>
    </row>
    <row r="84" spans="1:1" x14ac:dyDescent="0.25">
      <c r="A84" s="16" t="str">
        <f ca="1">TEXT(Regen!A84,"000\,")&amp;TEXT(Regen!B84,"?00000000")&amp;TEXT(Regen!C84,""",""?0")&amp;SUBSTITUTE(TEXT(Regen!D84,""",""????0;"",""???-0;"",""????0;"", ////"""),"'","""")&amp;SUBSTITUTE(TEXT(Regen!E84,""",""?00;"",""?-00;"",""?00;"", //"""),"'","""")</f>
        <v>073, 19450324, 1,    0, 00</v>
      </c>
    </row>
    <row r="85" spans="1:1" x14ac:dyDescent="0.25">
      <c r="A85" s="16" t="str">
        <f ca="1">TEXT(Regen!A85,"000\,")&amp;TEXT(Regen!B85,"?00000000")&amp;TEXT(Regen!C85,""",""?0")&amp;SUBSTITUTE(TEXT(Regen!D85,""",""????0;"",""???-0;"",""????0;"", ////"""),"'","""")&amp;SUBSTITUTE(TEXT(Regen!E85,""",""?00;"",""?-00;"",""?00;"", //"""),"'","""")</f>
        <v>073, 19450325, 1,    0, 00</v>
      </c>
    </row>
    <row r="86" spans="1:1" x14ac:dyDescent="0.25">
      <c r="A86" s="16" t="str">
        <f ca="1">TEXT(Regen!A86,"000\,")&amp;TEXT(Regen!B86,"?00000000")&amp;TEXT(Regen!C86,""",""?0")&amp;SUBSTITUTE(TEXT(Regen!D86,""",""????0;"",""???-0;"",""????0;"", ////"""),"'","""")&amp;SUBSTITUTE(TEXT(Regen!E86,""",""?00;"",""?-00;"",""?00;"", //"""),"'","""")</f>
        <v>073, 19450326, 1,    0, 00</v>
      </c>
    </row>
    <row r="87" spans="1:1" x14ac:dyDescent="0.25">
      <c r="A87" s="16" t="str">
        <f ca="1">TEXT(Regen!A87,"000\,")&amp;TEXT(Regen!B87,"?00000000")&amp;TEXT(Regen!C87,""",""?0")&amp;SUBSTITUTE(TEXT(Regen!D87,""",""????0;"",""???-0;"",""????0;"", ////"""),"'","""")&amp;SUBSTITUTE(TEXT(Regen!E87,""",""?00;"",""?-00;"",""?00;"", //"""),"'","""")</f>
        <v>073, 19450327, 1,   70, 00</v>
      </c>
    </row>
    <row r="88" spans="1:1" x14ac:dyDescent="0.25">
      <c r="A88" s="16" t="str">
        <f ca="1">TEXT(Regen!A88,"000\,")&amp;TEXT(Regen!B88,"?00000000")&amp;TEXT(Regen!C88,""",""?0")&amp;SUBSTITUTE(TEXT(Regen!D88,""",""????0;"",""???-0;"",""????0;"", ////"""),"'","""")&amp;SUBSTITUTE(TEXT(Regen!E88,""",""?00;"",""?-00;"",""?00;"", //"""),"'","""")</f>
        <v>073, 19450328, 1,    0, 00</v>
      </c>
    </row>
    <row r="89" spans="1:1" x14ac:dyDescent="0.25">
      <c r="A89" s="16" t="str">
        <f ca="1">TEXT(Regen!A89,"000\,")&amp;TEXT(Regen!B89,"?00000000")&amp;TEXT(Regen!C89,""",""?0")&amp;SUBSTITUTE(TEXT(Regen!D89,""",""????0;"",""???-0;"",""????0;"", ////"""),"'","""")&amp;SUBSTITUTE(TEXT(Regen!E89,""",""?00;"",""?-00;"",""?00;"", //"""),"'","""")</f>
        <v>073, 19450329, 1,    0, 00</v>
      </c>
    </row>
    <row r="90" spans="1:1" x14ac:dyDescent="0.25">
      <c r="A90" s="16" t="str">
        <f ca="1">TEXT(Regen!A90,"000\,")&amp;TEXT(Regen!B90,"?00000000")&amp;TEXT(Regen!C90,""",""?0")&amp;SUBSTITUTE(TEXT(Regen!D90,""",""????0;"",""???-0;"",""????0;"", ////"""),"'","""")&amp;SUBSTITUTE(TEXT(Regen!E90,""",""?00;"",""?-00;"",""?00;"", //"""),"'","""")</f>
        <v>073, 19450330, 1,    0, 00</v>
      </c>
    </row>
    <row r="91" spans="1:1" x14ac:dyDescent="0.25">
      <c r="A91" s="16" t="str">
        <f ca="1">TEXT(Regen!A91,"000\,")&amp;TEXT(Regen!B91,"?00000000")&amp;TEXT(Regen!C91,""",""?0")&amp;SUBSTITUTE(TEXT(Regen!D91,""",""????0;"",""???-0;"",""????0;"", ////"""),"'","""")&amp;SUBSTITUTE(TEXT(Regen!E91,""",""?00;"",""?-00;"",""?00;"", //"""),"'","""")</f>
        <v>073, 19450331, 1,    0, 00</v>
      </c>
    </row>
    <row r="92" spans="1:1" x14ac:dyDescent="0.25">
      <c r="A92" s="16" t="str">
        <f ca="1">TEXT(Regen!A92,"000\,")&amp;TEXT(Regen!B92,"?00000000")&amp;TEXT(Regen!C92,""",""?0")&amp;SUBSTITUTE(TEXT(Regen!D92,""",""????0;"",""???-0;"",""????0;"", ////"""),"'","""")&amp;SUBSTITUTE(TEXT(Regen!E92,""",""?00;"",""?-00;"",""?00;"", //"""),"'","""")</f>
        <v>073, 19450401, 1,   20, 00</v>
      </c>
    </row>
    <row r="93" spans="1:1" x14ac:dyDescent="0.25">
      <c r="A93" s="16" t="str">
        <f ca="1">TEXT(Regen!A93,"000\,")&amp;TEXT(Regen!B93,"?00000000")&amp;TEXT(Regen!C93,""",""?0")&amp;SUBSTITUTE(TEXT(Regen!D93,""",""????0;"",""???-0;"",""????0;"", ////"""),"'","""")&amp;SUBSTITUTE(TEXT(Regen!E93,""",""?00;"",""?-00;"",""?00;"", //"""),"'","""")</f>
        <v>073, 19450402, 1,   30, 00</v>
      </c>
    </row>
    <row r="94" spans="1:1" x14ac:dyDescent="0.25">
      <c r="A94" s="16" t="str">
        <f ca="1">TEXT(Regen!A94,"000\,")&amp;TEXT(Regen!B94,"?00000000")&amp;TEXT(Regen!C94,""",""?0")&amp;SUBSTITUTE(TEXT(Regen!D94,""",""????0;"",""???-0;"",""????0;"", ////"""),"'","""")&amp;SUBSTITUTE(TEXT(Regen!E94,""",""?00;"",""?-00;"",""?00;"", //"""),"'","""")</f>
        <v>073, 19450403, 1,    0, 00</v>
      </c>
    </row>
    <row r="95" spans="1:1" x14ac:dyDescent="0.25">
      <c r="A95" s="16" t="str">
        <f ca="1">TEXT(Regen!A95,"000\,")&amp;TEXT(Regen!B95,"?00000000")&amp;TEXT(Regen!C95,""",""?0")&amp;SUBSTITUTE(TEXT(Regen!D95,""",""????0;"",""???-0;"",""????0;"", ////"""),"'","""")&amp;SUBSTITUTE(TEXT(Regen!E95,""",""?00;"",""?-00;"",""?00;"", //"""),"'","""")</f>
        <v>073, 19450404, 1,    0, 00</v>
      </c>
    </row>
    <row r="96" spans="1:1" x14ac:dyDescent="0.25">
      <c r="A96" s="16" t="str">
        <f ca="1">TEXT(Regen!A96,"000\,")&amp;TEXT(Regen!B96,"?00000000")&amp;TEXT(Regen!C96,""",""?0")&amp;SUBSTITUTE(TEXT(Regen!D96,""",""????0;"",""???-0;"",""????0;"", ////"""),"'","""")&amp;SUBSTITUTE(TEXT(Regen!E96,""",""?00;"",""?-00;"",""?00;"", //"""),"'","""")</f>
        <v>073, 19450405, 1,    0, 00</v>
      </c>
    </row>
    <row r="97" spans="1:1" x14ac:dyDescent="0.25">
      <c r="A97" s="16" t="str">
        <f ca="1">TEXT(Regen!A97,"000\,")&amp;TEXT(Regen!B97,"?00000000")&amp;TEXT(Regen!C97,""",""?0")&amp;SUBSTITUTE(TEXT(Regen!D97,""",""????0;"",""???-0;"",""????0;"", ////"""),"'","""")&amp;SUBSTITUTE(TEXT(Regen!E97,""",""?00;"",""?-00;"",""?00;"", //"""),"'","""")</f>
        <v>073, 19450406, 1,    0, 00</v>
      </c>
    </row>
    <row r="98" spans="1:1" x14ac:dyDescent="0.25">
      <c r="A98" s="16" t="str">
        <f ca="1">TEXT(Regen!A98,"000\,")&amp;TEXT(Regen!B98,"?00000000")&amp;TEXT(Regen!C98,""",""?0")&amp;SUBSTITUTE(TEXT(Regen!D98,""",""????0;"",""???-0;"",""????0;"", ////"""),"'","""")&amp;SUBSTITUTE(TEXT(Regen!E98,""",""?00;"",""?-00;"",""?00;"", //"""),"'","""")</f>
        <v>073, 19450407, 1,    0, 00</v>
      </c>
    </row>
    <row r="99" spans="1:1" x14ac:dyDescent="0.25">
      <c r="A99" s="16" t="str">
        <f ca="1">TEXT(Regen!A99,"000\,")&amp;TEXT(Regen!B99,"?00000000")&amp;TEXT(Regen!C99,""",""?0")&amp;SUBSTITUTE(TEXT(Regen!D99,""",""????0;"",""???-0;"",""????0;"", ////"""),"'","""")&amp;SUBSTITUTE(TEXT(Regen!E99,""",""?00;"",""?-00;"",""?00;"", //"""),"'","""")</f>
        <v>073, 19450408, 1,    0, 00</v>
      </c>
    </row>
    <row r="100" spans="1:1" x14ac:dyDescent="0.25">
      <c r="A100" s="16" t="str">
        <f ca="1">TEXT(Regen!A100,"000\,")&amp;TEXT(Regen!B100,"?00000000")&amp;TEXT(Regen!C100,""",""?0")&amp;SUBSTITUTE(TEXT(Regen!D100,""",""????0;"",""???-0;"",""????0;"", ////"""),"'","""")&amp;SUBSTITUTE(TEXT(Regen!E100,""",""?00;"",""?-00;"",""?00;"", //"""),"'","""")</f>
        <v>073, 19450409, 1,    0, 00</v>
      </c>
    </row>
    <row r="101" spans="1:1" x14ac:dyDescent="0.25">
      <c r="A101" s="16" t="str">
        <f ca="1">TEXT(Regen!A101,"000\,")&amp;TEXT(Regen!B101,"?00000000")&amp;TEXT(Regen!C101,""",""?0")&amp;SUBSTITUTE(TEXT(Regen!D101,""",""????0;"",""???-0;"",""????0;"", ////"""),"'","""")&amp;SUBSTITUTE(TEXT(Regen!E101,""",""?00;"",""?-00;"",""?00;"", //"""),"'","""")</f>
        <v>073, 19450410, 1,    0, 00</v>
      </c>
    </row>
    <row r="102" spans="1:1" x14ac:dyDescent="0.25">
      <c r="A102" s="16" t="str">
        <f ca="1">TEXT(Regen!A102,"000\,")&amp;TEXT(Regen!B102,"?00000000")&amp;TEXT(Regen!C102,""",""?0")&amp;SUBSTITUTE(TEXT(Regen!D102,""",""????0;"",""???-0;"",""????0;"", ////"""),"'","""")&amp;SUBSTITUTE(TEXT(Regen!E102,""",""?00;"",""?-00;"",""?00;"", //"""),"'","""")</f>
        <v>073, 19450411, 1,   41, 00</v>
      </c>
    </row>
    <row r="103" spans="1:1" x14ac:dyDescent="0.25">
      <c r="A103" s="16" t="str">
        <f ca="1">TEXT(Regen!A103,"000\,")&amp;TEXT(Regen!B103,"?00000000")&amp;TEXT(Regen!C103,""",""?0")&amp;SUBSTITUTE(TEXT(Regen!D103,""",""????0;"",""???-0;"",""????0;"", ////"""),"'","""")&amp;SUBSTITUTE(TEXT(Regen!E103,""",""?00;"",""?-00;"",""?00;"", //"""),"'","""")</f>
        <v>073, 19450412, 1,    4, 00</v>
      </c>
    </row>
    <row r="104" spans="1:1" x14ac:dyDescent="0.25">
      <c r="A104" s="16" t="str">
        <f ca="1">TEXT(Regen!A104,"000\,")&amp;TEXT(Regen!B104,"?00000000")&amp;TEXT(Regen!C104,""",""?0")&amp;SUBSTITUTE(TEXT(Regen!D104,""",""????0;"",""???-0;"",""????0;"", ////"""),"'","""")&amp;SUBSTITUTE(TEXT(Regen!E104,""",""?00;"",""?-00;"",""?00;"", //"""),"'","""")</f>
        <v>073, 19450413, 1,    0, 00</v>
      </c>
    </row>
    <row r="105" spans="1:1" x14ac:dyDescent="0.25">
      <c r="A105" s="16" t="str">
        <f ca="1">TEXT(Regen!A105,"000\,")&amp;TEXT(Regen!B105,"?00000000")&amp;TEXT(Regen!C105,""",""?0")&amp;SUBSTITUTE(TEXT(Regen!D105,""",""????0;"",""???-0;"",""????0;"", ////"""),"'","""")&amp;SUBSTITUTE(TEXT(Regen!E105,""",""?00;"",""?-00;"",""?00;"", //"""),"'","""")</f>
        <v>073, 19450414, 1,   42, 00</v>
      </c>
    </row>
    <row r="106" spans="1:1" x14ac:dyDescent="0.25">
      <c r="A106" s="16" t="str">
        <f ca="1">TEXT(Regen!A106,"000\,")&amp;TEXT(Regen!B106,"?00000000")&amp;TEXT(Regen!C106,""",""?0")&amp;SUBSTITUTE(TEXT(Regen!D106,""",""????0;"",""???-0;"",""????0;"", ////"""),"'","""")&amp;SUBSTITUTE(TEXT(Regen!E106,""",""?00;"",""?-00;"",""?00;"", //"""),"'","""")</f>
        <v>073, 19450415, 1,   74, 00</v>
      </c>
    </row>
    <row r="107" spans="1:1" x14ac:dyDescent="0.25">
      <c r="A107" s="16" t="str">
        <f ca="1">TEXT(Regen!A107,"000\,")&amp;TEXT(Regen!B107,"?00000000")&amp;TEXT(Regen!C107,""",""?0")&amp;SUBSTITUTE(TEXT(Regen!D107,""",""????0;"",""???-0;"",""????0;"", ////"""),"'","""")&amp;SUBSTITUTE(TEXT(Regen!E107,""",""?00;"",""?-00;"",""?00;"", //"""),"'","""")</f>
        <v>073, 19450416, 1,   22, 00</v>
      </c>
    </row>
    <row r="108" spans="1:1" x14ac:dyDescent="0.25">
      <c r="A108" s="16" t="str">
        <f ca="1">TEXT(Regen!A108,"000\,")&amp;TEXT(Regen!B108,"?00000000")&amp;TEXT(Regen!C108,""",""?0")&amp;SUBSTITUTE(TEXT(Regen!D108,""",""????0;"",""???-0;"",""????0;"", ////"""),"'","""")&amp;SUBSTITUTE(TEXT(Regen!E108,""",""?00;"",""?-00;"",""?00;"", //"""),"'","""")</f>
        <v>073, 19450417, 1,    0, 00</v>
      </c>
    </row>
    <row r="109" spans="1:1" x14ac:dyDescent="0.25">
      <c r="A109" s="16" t="str">
        <f ca="1">TEXT(Regen!A109,"000\,")&amp;TEXT(Regen!B109,"?00000000")&amp;TEXT(Regen!C109,""",""?0")&amp;SUBSTITUTE(TEXT(Regen!D109,""",""????0;"",""???-0;"",""????0;"", ////"""),"'","""")&amp;SUBSTITUTE(TEXT(Regen!E109,""",""?00;"",""?-00;"",""?00;"", //"""),"'","""")</f>
        <v>073, 19450418, 1,    0, 00</v>
      </c>
    </row>
    <row r="110" spans="1:1" x14ac:dyDescent="0.25">
      <c r="A110" s="16" t="str">
        <f ca="1">TEXT(Regen!A110,"000\,")&amp;TEXT(Regen!B110,"?00000000")&amp;TEXT(Regen!C110,""",""?0")&amp;SUBSTITUTE(TEXT(Regen!D110,""",""????0;"",""???-0;"",""????0;"", ////"""),"'","""")&amp;SUBSTITUTE(TEXT(Regen!E110,""",""?00;"",""?-00;"",""?00;"", //"""),"'","""")</f>
        <v>073, 19450419, 1,    0, 00</v>
      </c>
    </row>
    <row r="111" spans="1:1" x14ac:dyDescent="0.25">
      <c r="A111" s="16" t="str">
        <f ca="1">TEXT(Regen!A111,"000\,")&amp;TEXT(Regen!B111,"?00000000")&amp;TEXT(Regen!C111,""",""?0")&amp;SUBSTITUTE(TEXT(Regen!D111,""",""????0;"",""???-0;"",""????0;"", ////"""),"'","""")&amp;SUBSTITUTE(TEXT(Regen!E111,""",""?00;"",""?-00;"",""?00;"", //"""),"'","""")</f>
        <v>073, 19450420, 1,    0, 00</v>
      </c>
    </row>
    <row r="112" spans="1:1" x14ac:dyDescent="0.25">
      <c r="A112" s="16" t="str">
        <f ca="1">TEXT(Regen!A112,"000\,")&amp;TEXT(Regen!B112,"?00000000")&amp;TEXT(Regen!C112,""",""?0")&amp;SUBSTITUTE(TEXT(Regen!D112,""",""????0;"",""???-0;"",""????0;"", ////"""),"'","""")&amp;SUBSTITUTE(TEXT(Regen!E112,""",""?00;"",""?-00;"",""?00;"", //"""),"'","""")</f>
        <v>073, 19450421, 1,    0, 00</v>
      </c>
    </row>
    <row r="113" spans="1:1" x14ac:dyDescent="0.25">
      <c r="A113" s="16" t="str">
        <f ca="1">TEXT(Regen!A113,"000\,")&amp;TEXT(Regen!B113,"?00000000")&amp;TEXT(Regen!C113,""",""?0")&amp;SUBSTITUTE(TEXT(Regen!D113,""",""????0;"",""???-0;"",""????0;"", ////"""),"'","""")&amp;SUBSTITUTE(TEXT(Regen!E113,""",""?00;"",""?-00;"",""?00;"", //"""),"'","""")</f>
        <v>073, 19450422, 1,    0, 00</v>
      </c>
    </row>
    <row r="114" spans="1:1" x14ac:dyDescent="0.25">
      <c r="A114" s="16" t="str">
        <f ca="1">TEXT(Regen!A114,"000\,")&amp;TEXT(Regen!B114,"?00000000")&amp;TEXT(Regen!C114,""",""?0")&amp;SUBSTITUTE(TEXT(Regen!D114,""",""????0;"",""???-0;"",""????0;"", ////"""),"'","""")&amp;SUBSTITUTE(TEXT(Regen!E114,""",""?00;"",""?-00;"",""?00;"", //"""),"'","""")</f>
        <v>073, 19450423, 1,   58, 00</v>
      </c>
    </row>
    <row r="115" spans="1:1" x14ac:dyDescent="0.25">
      <c r="A115" s="16" t="str">
        <f ca="1">TEXT(Regen!A115,"000\,")&amp;TEXT(Regen!B115,"?00000000")&amp;TEXT(Regen!C115,""",""?0")&amp;SUBSTITUTE(TEXT(Regen!D115,""",""????0;"",""???-0;"",""????0;"", ////"""),"'","""")&amp;SUBSTITUTE(TEXT(Regen!E115,""",""?00;"",""?-00;"",""?00;"", //"""),"'","""")</f>
        <v>073, 19450424, 1,    0, 00</v>
      </c>
    </row>
    <row r="116" spans="1:1" x14ac:dyDescent="0.25">
      <c r="A116" s="16" t="str">
        <f ca="1">TEXT(Regen!A116,"000\,")&amp;TEXT(Regen!B116,"?00000000")&amp;TEXT(Regen!C116,""",""?0")&amp;SUBSTITUTE(TEXT(Regen!D116,""",""????0;"",""???-0;"",""????0;"", ////"""),"'","""")&amp;SUBSTITUTE(TEXT(Regen!E116,""",""?00;"",""?-00;"",""?00;"", //"""),"'","""")</f>
        <v>073, 19450425, 1,    0, 00</v>
      </c>
    </row>
    <row r="117" spans="1:1" x14ac:dyDescent="0.25">
      <c r="A117" s="16" t="str">
        <f ca="1">TEXT(Regen!A117,"000\,")&amp;TEXT(Regen!B117,"?00000000")&amp;TEXT(Regen!C117,""",""?0")&amp;SUBSTITUTE(TEXT(Regen!D117,""",""????0;"",""???-0;"",""????0;"", ////"""),"'","""")&amp;SUBSTITUTE(TEXT(Regen!E117,""",""?00;"",""?-00;"",""?00;"", //"""),"'","""")</f>
        <v>073, 19450426, 1,    0, 00</v>
      </c>
    </row>
    <row r="118" spans="1:1" x14ac:dyDescent="0.25">
      <c r="A118" s="16" t="str">
        <f ca="1">TEXT(Regen!A118,"000\,")&amp;TEXT(Regen!B118,"?00000000")&amp;TEXT(Regen!C118,""",""?0")&amp;SUBSTITUTE(TEXT(Regen!D118,""",""????0;"",""???-0;"",""????0;"", ////"""),"'","""")&amp;SUBSTITUTE(TEXT(Regen!E118,""",""?00;"",""?-00;"",""?00;"", //"""),"'","""")</f>
        <v>073, 19450427, 1,    0, 00</v>
      </c>
    </row>
    <row r="119" spans="1:1" x14ac:dyDescent="0.25">
      <c r="A119" s="16" t="str">
        <f ca="1">TEXT(Regen!A119,"000\,")&amp;TEXT(Regen!B119,"?00000000")&amp;TEXT(Regen!C119,""",""?0")&amp;SUBSTITUTE(TEXT(Regen!D119,""",""????0;"",""???-0;"",""????0;"", ////"""),"'","""")&amp;SUBSTITUTE(TEXT(Regen!E119,""",""?00;"",""?-00;"",""?00;"", //"""),"'","""")</f>
        <v>073, 19450428, 1,    0, 00</v>
      </c>
    </row>
    <row r="120" spans="1:1" x14ac:dyDescent="0.25">
      <c r="A120" s="16" t="str">
        <f ca="1">TEXT(Regen!A120,"000\,")&amp;TEXT(Regen!B120,"?00000000")&amp;TEXT(Regen!C120,""",""?0")&amp;SUBSTITUTE(TEXT(Regen!D120,""",""????0;"",""???-0;"",""????0;"", ////"""),"'","""")&amp;SUBSTITUTE(TEXT(Regen!E120,""",""?00;"",""?-00;"",""?00;"", //"""),"'","""")</f>
        <v>073, 19450429, 1,    0, 00</v>
      </c>
    </row>
    <row r="121" spans="1:1" x14ac:dyDescent="0.25">
      <c r="A121" s="16" t="str">
        <f ca="1">TEXT(Regen!A121,"000\,")&amp;TEXT(Regen!B121,"?00000000")&amp;TEXT(Regen!C121,""",""?0")&amp;SUBSTITUTE(TEXT(Regen!D121,""",""????0;"",""???-0;"",""????0;"", ////"""),"'","""")&amp;SUBSTITUTE(TEXT(Regen!E121,""",""?00;"",""?-00;"",""?00;"", //"""),"'","""")</f>
        <v>073, 19450430, 1,    0, 00</v>
      </c>
    </row>
    <row r="122" spans="1:1" x14ac:dyDescent="0.25">
      <c r="A122" s="16" t="str">
        <f ca="1">TEXT(Regen!A122,"000\,")&amp;TEXT(Regen!B122,"?00000000")&amp;TEXT(Regen!C122,""",""?0")&amp;SUBSTITUTE(TEXT(Regen!D122,""",""????0;"",""???-0;"",""????0;"", ////"""),"'","""")&amp;SUBSTITUTE(TEXT(Regen!E122,""",""?00;"",""?-00;"",""?00;"", //"""),"'","""")</f>
        <v>073, 19450501, 1,    0, 00</v>
      </c>
    </row>
    <row r="123" spans="1:1" x14ac:dyDescent="0.25">
      <c r="A123" s="16" t="str">
        <f ca="1">TEXT(Regen!A123,"000\,")&amp;TEXT(Regen!B123,"?00000000")&amp;TEXT(Regen!C123,""",""?0")&amp;SUBSTITUTE(TEXT(Regen!D123,""",""????0;"",""???-0;"",""????0;"", ////"""),"'","""")&amp;SUBSTITUTE(TEXT(Regen!E123,""",""?00;"",""?-00;"",""?00;"", //"""),"'","""")</f>
        <v>073, 19450502, 1,    0, 00</v>
      </c>
    </row>
    <row r="124" spans="1:1" x14ac:dyDescent="0.25">
      <c r="A124" s="16" t="str">
        <f ca="1">TEXT(Regen!A124,"000\,")&amp;TEXT(Regen!B124,"?00000000")&amp;TEXT(Regen!C124,""",""?0")&amp;SUBSTITUTE(TEXT(Regen!D124,""",""????0;"",""???-0;"",""????0;"", ////"""),"'","""")&amp;SUBSTITUTE(TEXT(Regen!E124,""",""?00;"",""?-00;"",""?00;"", //"""),"'","""")</f>
        <v>073, 19450503, 1,    0, 00</v>
      </c>
    </row>
    <row r="125" spans="1:1" x14ac:dyDescent="0.25">
      <c r="A125" s="16" t="str">
        <f ca="1">TEXT(Regen!A125,"000\,")&amp;TEXT(Regen!B125,"?00000000")&amp;TEXT(Regen!C125,""",""?0")&amp;SUBSTITUTE(TEXT(Regen!D125,""",""????0;"",""???-0;"",""????0;"", ////"""),"'","""")&amp;SUBSTITUTE(TEXT(Regen!E125,""",""?00;"",""?-00;"",""?00;"", //"""),"'","""")</f>
        <v>073, 19450504, 1,    0, 00</v>
      </c>
    </row>
    <row r="126" spans="1:1" x14ac:dyDescent="0.25">
      <c r="A126" s="16" t="str">
        <f ca="1">TEXT(Regen!A126,"000\,")&amp;TEXT(Regen!B126,"?00000000")&amp;TEXT(Regen!C126,""",""?0")&amp;SUBSTITUTE(TEXT(Regen!D126,""",""????0;"",""???-0;"",""????0;"", ////"""),"'","""")&amp;SUBSTITUTE(TEXT(Regen!E126,""",""?00;"",""?-00;"",""?00;"", //"""),"'","""")</f>
        <v>073, 19450505, 1,    0, 00</v>
      </c>
    </row>
    <row r="127" spans="1:1" x14ac:dyDescent="0.25">
      <c r="A127" s="16" t="str">
        <f ca="1">TEXT(Regen!A127,"000\,")&amp;TEXT(Regen!B127,"?00000000")&amp;TEXT(Regen!C127,""",""?0")&amp;SUBSTITUTE(TEXT(Regen!D127,""",""????0;"",""???-0;"",""????0;"", ////"""),"'","""")&amp;SUBSTITUTE(TEXT(Regen!E127,""",""?00;"",""?-00;"",""?00;"", //"""),"'","""")</f>
        <v>073, 19450506, 1,    0, 00</v>
      </c>
    </row>
    <row r="128" spans="1:1" x14ac:dyDescent="0.25">
      <c r="A128" s="16" t="str">
        <f ca="1">TEXT(Regen!A128,"000\,")&amp;TEXT(Regen!B128,"?00000000")&amp;TEXT(Regen!C128,""",""?0")&amp;SUBSTITUTE(TEXT(Regen!D128,""",""????0;"",""???-0;"",""????0;"", ////"""),"'","""")&amp;SUBSTITUTE(TEXT(Regen!E128,""",""?00;"",""?-00;"",""?00;"", //"""),"'","""")</f>
        <v>073, 19450507, 1,    0, 00</v>
      </c>
    </row>
    <row r="129" spans="1:1" x14ac:dyDescent="0.25">
      <c r="A129" s="16" t="str">
        <f ca="1">TEXT(Regen!A129,"000\,")&amp;TEXT(Regen!B129,"?00000000")&amp;TEXT(Regen!C129,""",""?0")&amp;SUBSTITUTE(TEXT(Regen!D129,""",""????0;"",""???-0;"",""????0;"", ////"""),"'","""")&amp;SUBSTITUTE(TEXT(Regen!E129,""",""?00;"",""?-00;"",""?00;"", //"""),"'","""")</f>
        <v>073, 19450508, 1,   40, 00</v>
      </c>
    </row>
    <row r="130" spans="1:1" x14ac:dyDescent="0.25">
      <c r="A130" s="16" t="str">
        <f ca="1">TEXT(Regen!A130,"000\,")&amp;TEXT(Regen!B130,"?00000000")&amp;TEXT(Regen!C130,""",""?0")&amp;SUBSTITUTE(TEXT(Regen!D130,""",""????0;"",""???-0;"",""????0;"", ////"""),"'","""")&amp;SUBSTITUTE(TEXT(Regen!E130,""",""?00;"",""?-00;"",""?00;"", //"""),"'","""")</f>
        <v>073, 19450509, 1,    0, 00</v>
      </c>
    </row>
    <row r="131" spans="1:1" x14ac:dyDescent="0.25">
      <c r="A131" s="16" t="str">
        <f ca="1">TEXT(Regen!A131,"000\,")&amp;TEXT(Regen!B131,"?00000000")&amp;TEXT(Regen!C131,""",""?0")&amp;SUBSTITUTE(TEXT(Regen!D131,""",""????0;"",""???-0;"",""????0;"", ////"""),"'","""")&amp;SUBSTITUTE(TEXT(Regen!E131,""",""?00;"",""?-00;"",""?00;"", //"""),"'","""")</f>
        <v>073, 19450510, 1,    0, 00</v>
      </c>
    </row>
    <row r="132" spans="1:1" x14ac:dyDescent="0.25">
      <c r="A132" s="16" t="str">
        <f ca="1">TEXT(Regen!A132,"000\,")&amp;TEXT(Regen!B132,"?00000000")&amp;TEXT(Regen!C132,""",""?0")&amp;SUBSTITUTE(TEXT(Regen!D132,""",""????0;"",""???-0;"",""????0;"", ////"""),"'","""")&amp;SUBSTITUTE(TEXT(Regen!E132,""",""?00;"",""?-00;"",""?00;"", //"""),"'","""")</f>
        <v>073, 19450511, 1,  200, 00</v>
      </c>
    </row>
    <row r="133" spans="1:1" x14ac:dyDescent="0.25">
      <c r="A133" s="16" t="str">
        <f ca="1">TEXT(Regen!A133,"000\,")&amp;TEXT(Regen!B133,"?00000000")&amp;TEXT(Regen!C133,""",""?0")&amp;SUBSTITUTE(TEXT(Regen!D133,""",""????0;"",""???-0;"",""????0;"", ////"""),"'","""")&amp;SUBSTITUTE(TEXT(Regen!E133,""",""?00;"",""?-00;"",""?00;"", //"""),"'","""")</f>
        <v>073, 19450512, 1,  450, 00</v>
      </c>
    </row>
    <row r="134" spans="1:1" x14ac:dyDescent="0.25">
      <c r="A134" s="16" t="str">
        <f ca="1">TEXT(Regen!A134,"000\,")&amp;TEXT(Regen!B134,"?00000000")&amp;TEXT(Regen!C134,""",""?0")&amp;SUBSTITUTE(TEXT(Regen!D134,""",""????0;"",""???-0;"",""????0;"", ////"""),"'","""")&amp;SUBSTITUTE(TEXT(Regen!E134,""",""?00;"",""?-00;"",""?00;"", //"""),"'","""")</f>
        <v>073, 19450513, 1,   62, 00</v>
      </c>
    </row>
    <row r="135" spans="1:1" x14ac:dyDescent="0.25">
      <c r="A135" s="16" t="str">
        <f ca="1">TEXT(Regen!A135,"000\,")&amp;TEXT(Regen!B135,"?00000000")&amp;TEXT(Regen!C135,""",""?0")&amp;SUBSTITUTE(TEXT(Regen!D135,""",""????0;"",""???-0;"",""????0;"", ////"""),"'","""")&amp;SUBSTITUTE(TEXT(Regen!E135,""",""?00;"",""?-00;"",""?00;"", //"""),"'","""")</f>
        <v>073, 19450514, 1,    0, 00</v>
      </c>
    </row>
    <row r="136" spans="1:1" x14ac:dyDescent="0.25">
      <c r="A136" s="16" t="str">
        <f ca="1">TEXT(Regen!A136,"000\,")&amp;TEXT(Regen!B136,"?00000000")&amp;TEXT(Regen!C136,""",""?0")&amp;SUBSTITUTE(TEXT(Regen!D136,""",""????0;"",""???-0;"",""????0;"", ////"""),"'","""")&amp;SUBSTITUTE(TEXT(Regen!E136,""",""?00;"",""?-00;"",""?00;"", //"""),"'","""")</f>
        <v>073, 19450515, 1,    0, 00</v>
      </c>
    </row>
    <row r="137" spans="1:1" x14ac:dyDescent="0.25">
      <c r="A137" s="16" t="str">
        <f ca="1">TEXT(Regen!A137,"000\,")&amp;TEXT(Regen!B137,"?00000000")&amp;TEXT(Regen!C137,""",""?0")&amp;SUBSTITUTE(TEXT(Regen!D137,""",""????0;"",""???-0;"",""????0;"", ////"""),"'","""")&amp;SUBSTITUTE(TEXT(Regen!E137,""",""?00;"",""?-00;"",""?00;"", //"""),"'","""")</f>
        <v>073, 19450516, 1,    0, 00</v>
      </c>
    </row>
    <row r="138" spans="1:1" x14ac:dyDescent="0.25">
      <c r="A138" s="16" t="str">
        <f ca="1">TEXT(Regen!A138,"000\,")&amp;TEXT(Regen!B138,"?00000000")&amp;TEXT(Regen!C138,""",""?0")&amp;SUBSTITUTE(TEXT(Regen!D138,""",""????0;"",""???-0;"",""????0;"", ////"""),"'","""")&amp;SUBSTITUTE(TEXT(Regen!E138,""",""?00;"",""?-00;"",""?00;"", //"""),"'","""")</f>
        <v>073, 19450517, 1,   26, 00</v>
      </c>
    </row>
    <row r="139" spans="1:1" x14ac:dyDescent="0.25">
      <c r="A139" s="16" t="str">
        <f ca="1">TEXT(Regen!A139,"000\,")&amp;TEXT(Regen!B139,"?00000000")&amp;TEXT(Regen!C139,""",""?0")&amp;SUBSTITUTE(TEXT(Regen!D139,""",""????0;"",""???-0;"",""????0;"", ////"""),"'","""")&amp;SUBSTITUTE(TEXT(Regen!E139,""",""?00;"",""?-00;"",""?00;"", //"""),"'","""")</f>
        <v>073, 19450518, 1,   13, 00</v>
      </c>
    </row>
    <row r="140" spans="1:1" x14ac:dyDescent="0.25">
      <c r="A140" s="16" t="str">
        <f ca="1">TEXT(Regen!A140,"000\,")&amp;TEXT(Regen!B140,"?00000000")&amp;TEXT(Regen!C140,""",""?0")&amp;SUBSTITUTE(TEXT(Regen!D140,""",""????0;"",""???-0;"",""????0;"", ////"""),"'","""")&amp;SUBSTITUTE(TEXT(Regen!E140,""",""?00;"",""?-00;"",""?00;"", //"""),"'","""")</f>
        <v>073, 19450519, 1,    0, 00</v>
      </c>
    </row>
    <row r="141" spans="1:1" x14ac:dyDescent="0.25">
      <c r="A141" s="16" t="str">
        <f ca="1">TEXT(Regen!A141,"000\,")&amp;TEXT(Regen!B141,"?00000000")&amp;TEXT(Regen!C141,""",""?0")&amp;SUBSTITUTE(TEXT(Regen!D141,""",""????0;"",""???-0;"",""????0;"", ////"""),"'","""")&amp;SUBSTITUTE(TEXT(Regen!E141,""",""?00;"",""?-00;"",""?00;"", //"""),"'","""")</f>
        <v>073, 19450520, 1,    0, 00</v>
      </c>
    </row>
    <row r="142" spans="1:1" x14ac:dyDescent="0.25">
      <c r="A142" s="16" t="str">
        <f ca="1">TEXT(Regen!A142,"000\,")&amp;TEXT(Regen!B142,"?00000000")&amp;TEXT(Regen!C142,""",""?0")&amp;SUBSTITUTE(TEXT(Regen!D142,""",""????0;"",""???-0;"",""????0;"", ////"""),"'","""")&amp;SUBSTITUTE(TEXT(Regen!E142,""",""?00;"",""?-00;"",""?00;"", //"""),"'","""")</f>
        <v>073, 19450521, 1,  248, 00</v>
      </c>
    </row>
    <row r="143" spans="1:1" x14ac:dyDescent="0.25">
      <c r="A143" s="16" t="str">
        <f ca="1">TEXT(Regen!A143,"000\,")&amp;TEXT(Regen!B143,"?00000000")&amp;TEXT(Regen!C143,""",""?0")&amp;SUBSTITUTE(TEXT(Regen!D143,""",""????0;"",""???-0;"",""????0;"", ////"""),"'","""")&amp;SUBSTITUTE(TEXT(Regen!E143,""",""?00;"",""?-00;"",""?00;"", //"""),"'","""")</f>
        <v>073, 19450522, 1,    0, 00</v>
      </c>
    </row>
    <row r="144" spans="1:1" x14ac:dyDescent="0.25">
      <c r="A144" s="16" t="str">
        <f ca="1">TEXT(Regen!A144,"000\,")&amp;TEXT(Regen!B144,"?00000000")&amp;TEXT(Regen!C144,""",""?0")&amp;SUBSTITUTE(TEXT(Regen!D144,""",""????0;"",""???-0;"",""????0;"", ////"""),"'","""")&amp;SUBSTITUTE(TEXT(Regen!E144,""",""?00;"",""?-00;"",""?00;"", //"""),"'","""")</f>
        <v>073, 19450523, 1,    0, 00</v>
      </c>
    </row>
    <row r="145" spans="1:1" x14ac:dyDescent="0.25">
      <c r="A145" s="16" t="str">
        <f ca="1">TEXT(Regen!A145,"000\,")&amp;TEXT(Regen!B145,"?00000000")&amp;TEXT(Regen!C145,""",""?0")&amp;SUBSTITUTE(TEXT(Regen!D145,""",""????0;"",""???-0;"",""????0;"", ////"""),"'","""")&amp;SUBSTITUTE(TEXT(Regen!E145,""",""?00;"",""?-00;"",""?00;"", //"""),"'","""")</f>
        <v>073, 19450524, 1,    0, 00</v>
      </c>
    </row>
    <row r="146" spans="1:1" x14ac:dyDescent="0.25">
      <c r="A146" s="16" t="str">
        <f ca="1">TEXT(Regen!A146,"000\,")&amp;TEXT(Regen!B146,"?00000000")&amp;TEXT(Regen!C146,""",""?0")&amp;SUBSTITUTE(TEXT(Regen!D146,""",""????0;"",""???-0;"",""????0;"", ////"""),"'","""")&amp;SUBSTITUTE(TEXT(Regen!E146,""",""?00;"",""?-00;"",""?00;"", //"""),"'","""")</f>
        <v>073, 19450525, 1,    0, 00</v>
      </c>
    </row>
    <row r="147" spans="1:1" x14ac:dyDescent="0.25">
      <c r="A147" s="16" t="str">
        <f ca="1">TEXT(Regen!A147,"000\,")&amp;TEXT(Regen!B147,"?00000000")&amp;TEXT(Regen!C147,""",""?0")&amp;SUBSTITUTE(TEXT(Regen!D147,""",""????0;"",""???-0;"",""????0;"", ////"""),"'","""")&amp;SUBSTITUTE(TEXT(Regen!E147,""",""?00;"",""?-00;"",""?00;"", //"""),"'","""")</f>
        <v>073, 19450526, 1,    0, 00</v>
      </c>
    </row>
    <row r="148" spans="1:1" x14ac:dyDescent="0.25">
      <c r="A148" s="16" t="str">
        <f ca="1">TEXT(Regen!A148,"000\,")&amp;TEXT(Regen!B148,"?00000000")&amp;TEXT(Regen!C148,""",""?0")&amp;SUBSTITUTE(TEXT(Regen!D148,""",""????0;"",""???-0;"",""????0;"", ////"""),"'","""")&amp;SUBSTITUTE(TEXT(Regen!E148,""",""?00;"",""?-00;"",""?00;"", //"""),"'","""")</f>
        <v>073, 19450527, 1,    0, 00</v>
      </c>
    </row>
    <row r="149" spans="1:1" x14ac:dyDescent="0.25">
      <c r="A149" s="16" t="str">
        <f ca="1">TEXT(Regen!A149,"000\,")&amp;TEXT(Regen!B149,"?00000000")&amp;TEXT(Regen!C149,""",""?0")&amp;SUBSTITUTE(TEXT(Regen!D149,""",""????0;"",""???-0;"",""????0;"", ////"""),"'","""")&amp;SUBSTITUTE(TEXT(Regen!E149,""",""?00;"",""?-00;"",""?00;"", //"""),"'","""")</f>
        <v>073, 19450528, 1,   54, 00</v>
      </c>
    </row>
    <row r="150" spans="1:1" x14ac:dyDescent="0.25">
      <c r="A150" s="16" t="str">
        <f ca="1">TEXT(Regen!A150,"000\,")&amp;TEXT(Regen!B150,"?00000000")&amp;TEXT(Regen!C150,""",""?0")&amp;SUBSTITUTE(TEXT(Regen!D150,""",""????0;"",""???-0;"",""????0;"", ////"""),"'","""")&amp;SUBSTITUTE(TEXT(Regen!E150,""",""?00;"",""?-00;"",""?00;"", //"""),"'","""")</f>
        <v>073, 19450529, 1,   55, 00</v>
      </c>
    </row>
    <row r="151" spans="1:1" x14ac:dyDescent="0.25">
      <c r="A151" s="16" t="str">
        <f ca="1">TEXT(Regen!A151,"000\,")&amp;TEXT(Regen!B151,"?00000000")&amp;TEXT(Regen!C151,""",""?0")&amp;SUBSTITUTE(TEXT(Regen!D151,""",""????0;"",""???-0;"",""????0;"", ////"""),"'","""")&amp;SUBSTITUTE(TEXT(Regen!E151,""",""?00;"",""?-00;"",""?00;"", //"""),"'","""")</f>
        <v>073, 19450530, 1,    0, 00</v>
      </c>
    </row>
    <row r="152" spans="1:1" x14ac:dyDescent="0.25">
      <c r="A152" s="16" t="str">
        <f ca="1">TEXT(Regen!A152,"000\,")&amp;TEXT(Regen!B152,"?00000000")&amp;TEXT(Regen!C152,""",""?0")&amp;SUBSTITUTE(TEXT(Regen!D152,""",""????0;"",""???-0;"",""????0;"", ////"""),"'","""")&amp;SUBSTITUTE(TEXT(Regen!E152,""",""?00;"",""?-00;"",""?00;"", //"""),"'","""")</f>
        <v>073, 19450531, 1,    0, 00</v>
      </c>
    </row>
    <row r="153" spans="1:1" x14ac:dyDescent="0.25">
      <c r="A153" s="16" t="str">
        <f ca="1">TEXT(Regen!A153,"000\,")&amp;TEXT(Regen!B153,"?00000000")&amp;TEXT(Regen!C153,""",""?0")&amp;SUBSTITUTE(TEXT(Regen!D153,""",""????0;"",""???-0;"",""????0;"", ////"""),"'","""")&amp;SUBSTITUTE(TEXT(Regen!E153,""",""?00;"",""?-00;"",""?00;"", //"""),"'","""")</f>
        <v>073, 19450601, 1,    0, 00</v>
      </c>
    </row>
    <row r="154" spans="1:1" x14ac:dyDescent="0.25">
      <c r="A154" s="16" t="str">
        <f ca="1">TEXT(Regen!A154,"000\,")&amp;TEXT(Regen!B154,"?00000000")&amp;TEXT(Regen!C154,""",""?0")&amp;SUBSTITUTE(TEXT(Regen!D154,""",""????0;"",""???-0;"",""????0;"", ////"""),"'","""")&amp;SUBSTITUTE(TEXT(Regen!E154,""",""?00;"",""?-00;"",""?00;"", //"""),"'","""")</f>
        <v>073, 19450602, 1,    0, 00</v>
      </c>
    </row>
    <row r="155" spans="1:1" x14ac:dyDescent="0.25">
      <c r="A155" s="16" t="str">
        <f ca="1">TEXT(Regen!A155,"000\,")&amp;TEXT(Regen!B155,"?00000000")&amp;TEXT(Regen!C155,""",""?0")&amp;SUBSTITUTE(TEXT(Regen!D155,""",""????0;"",""???-0;"",""????0;"", ////"""),"'","""")&amp;SUBSTITUTE(TEXT(Regen!E155,""",""?00;"",""?-00;"",""?00;"", //"""),"'","""")</f>
        <v>073, 19450603, 1,    0, 00</v>
      </c>
    </row>
    <row r="156" spans="1:1" x14ac:dyDescent="0.25">
      <c r="A156" s="16" t="str">
        <f ca="1">TEXT(Regen!A156,"000\,")&amp;TEXT(Regen!B156,"?00000000")&amp;TEXT(Regen!C156,""",""?0")&amp;SUBSTITUTE(TEXT(Regen!D156,""",""????0;"",""???-0;"",""????0;"", ////"""),"'","""")&amp;SUBSTITUTE(TEXT(Regen!E156,""",""?00;"",""?-00;"",""?00;"", //"""),"'","""")</f>
        <v>073, 19450604, 1,   36, 00</v>
      </c>
    </row>
    <row r="157" spans="1:1" x14ac:dyDescent="0.25">
      <c r="A157" s="16" t="str">
        <f ca="1">TEXT(Regen!A157,"000\,")&amp;TEXT(Regen!B157,"?00000000")&amp;TEXT(Regen!C157,""",""?0")&amp;SUBSTITUTE(TEXT(Regen!D157,""",""????0;"",""???-0;"",""????0;"", ////"""),"'","""")&amp;SUBSTITUTE(TEXT(Regen!E157,""",""?00;"",""?-00;"",""?00;"", //"""),"'","""")</f>
        <v>073, 19450605, 1,    0, 00</v>
      </c>
    </row>
    <row r="158" spans="1:1" x14ac:dyDescent="0.25">
      <c r="A158" s="16" t="str">
        <f ca="1">TEXT(Regen!A158,"000\,")&amp;TEXT(Regen!B158,"?00000000")&amp;TEXT(Regen!C158,""",""?0")&amp;SUBSTITUTE(TEXT(Regen!D158,""",""????0;"",""???-0;"",""????0;"", ////"""),"'","""")&amp;SUBSTITUTE(TEXT(Regen!E158,""",""?00;"",""?-00;"",""?00;"", //"""),"'","""")</f>
        <v>073, 19450606, 1,    0, 00</v>
      </c>
    </row>
    <row r="159" spans="1:1" x14ac:dyDescent="0.25">
      <c r="A159" s="16" t="str">
        <f ca="1">TEXT(Regen!A159,"000\,")&amp;TEXT(Regen!B159,"?00000000")&amp;TEXT(Regen!C159,""",""?0")&amp;SUBSTITUTE(TEXT(Regen!D159,""",""????0;"",""???-0;"",""????0;"", ////"""),"'","""")&amp;SUBSTITUTE(TEXT(Regen!E159,""",""?00;"",""?-00;"",""?00;"", //"""),"'","""")</f>
        <v>073, 19450607, 1,    0, 00</v>
      </c>
    </row>
    <row r="160" spans="1:1" x14ac:dyDescent="0.25">
      <c r="A160" s="16" t="str">
        <f ca="1">TEXT(Regen!A160,"000\,")&amp;TEXT(Regen!B160,"?00000000")&amp;TEXT(Regen!C160,""",""?0")&amp;SUBSTITUTE(TEXT(Regen!D160,""",""????0;"",""???-0;"",""????0;"", ////"""),"'","""")&amp;SUBSTITUTE(TEXT(Regen!E160,""",""?00;"",""?-00;"",""?00;"", //"""),"'","""")</f>
        <v>073, 19450608, 1,    0, 00</v>
      </c>
    </row>
    <row r="161" spans="1:1" x14ac:dyDescent="0.25">
      <c r="A161" s="16" t="str">
        <f ca="1">TEXT(Regen!A161,"000\,")&amp;TEXT(Regen!B161,"?00000000")&amp;TEXT(Regen!C161,""",""?0")&amp;SUBSTITUTE(TEXT(Regen!D161,""",""????0;"",""???-0;"",""????0;"", ////"""),"'","""")&amp;SUBSTITUTE(TEXT(Regen!E161,""",""?00;"",""?-00;"",""?00;"", //"""),"'","""")</f>
        <v>073, 19450609, 1,    0, 00</v>
      </c>
    </row>
    <row r="162" spans="1:1" x14ac:dyDescent="0.25">
      <c r="A162" s="16" t="str">
        <f ca="1">TEXT(Regen!A162,"000\,")&amp;TEXT(Regen!B162,"?00000000")&amp;TEXT(Regen!C162,""",""?0")&amp;SUBSTITUTE(TEXT(Regen!D162,""",""????0;"",""???-0;"",""????0;"", ////"""),"'","""")&amp;SUBSTITUTE(TEXT(Regen!E162,""",""?00;"",""?-00;"",""?00;"", //"""),"'","""")</f>
        <v>073, 19450610, 1,    0, 00</v>
      </c>
    </row>
    <row r="163" spans="1:1" x14ac:dyDescent="0.25">
      <c r="A163" s="16" t="str">
        <f ca="1">TEXT(Regen!A163,"000\,")&amp;TEXT(Regen!B163,"?00000000")&amp;TEXT(Regen!C163,""",""?0")&amp;SUBSTITUTE(TEXT(Regen!D163,""",""????0;"",""???-0;"",""????0;"", ////"""),"'","""")&amp;SUBSTITUTE(TEXT(Regen!E163,""",""?00;"",""?-00;"",""?00;"", //"""),"'","""")</f>
        <v>073, 19450611, 1,    0, 00</v>
      </c>
    </row>
    <row r="164" spans="1:1" x14ac:dyDescent="0.25">
      <c r="A164" s="16" t="str">
        <f ca="1">TEXT(Regen!A164,"000\,")&amp;TEXT(Regen!B164,"?00000000")&amp;TEXT(Regen!C164,""",""?0")&amp;SUBSTITUTE(TEXT(Regen!D164,""",""????0;"",""???-0;"",""????0;"", ////"""),"'","""")&amp;SUBSTITUTE(TEXT(Regen!E164,""",""?00;"",""?-00;"",""?00;"", //"""),"'","""")</f>
        <v>073, 19450612, 1,   23, 00</v>
      </c>
    </row>
    <row r="165" spans="1:1" x14ac:dyDescent="0.25">
      <c r="A165" s="16" t="str">
        <f ca="1">TEXT(Regen!A165,"000\,")&amp;TEXT(Regen!B165,"?00000000")&amp;TEXT(Regen!C165,""",""?0")&amp;SUBSTITUTE(TEXT(Regen!D165,""",""????0;"",""???-0;"",""????0;"", ////"""),"'","""")&amp;SUBSTITUTE(TEXT(Regen!E165,""",""?00;"",""?-00;"",""?00;"", //"""),"'","""")</f>
        <v>073, 19450613, 1,    0, 00</v>
      </c>
    </row>
    <row r="166" spans="1:1" x14ac:dyDescent="0.25">
      <c r="A166" s="16" t="str">
        <f ca="1">TEXT(Regen!A166,"000\,")&amp;TEXT(Regen!B166,"?00000000")&amp;TEXT(Regen!C166,""",""?0")&amp;SUBSTITUTE(TEXT(Regen!D166,""",""????0;"",""???-0;"",""????0;"", ////"""),"'","""")&amp;SUBSTITUTE(TEXT(Regen!E166,""",""?00;"",""?-00;"",""?00;"", //"""),"'","""")</f>
        <v>073, 19450614, 1,    0, 00</v>
      </c>
    </row>
    <row r="167" spans="1:1" x14ac:dyDescent="0.25">
      <c r="A167" s="16" t="str">
        <f ca="1">TEXT(Regen!A167,"000\,")&amp;TEXT(Regen!B167,"?00000000")&amp;TEXT(Regen!C167,""",""?0")&amp;SUBSTITUTE(TEXT(Regen!D167,""",""????0;"",""???-0;"",""????0;"", ////"""),"'","""")&amp;SUBSTITUTE(TEXT(Regen!E167,""",""?00;"",""?-00;"",""?00;"", //"""),"'","""")</f>
        <v>073, 19450615, 1,    0, 00</v>
      </c>
    </row>
    <row r="168" spans="1:1" x14ac:dyDescent="0.25">
      <c r="A168" s="16" t="str">
        <f ca="1">TEXT(Regen!A168,"000\,")&amp;TEXT(Regen!B168,"?00000000")&amp;TEXT(Regen!C168,""",""?0")&amp;SUBSTITUTE(TEXT(Regen!D168,""",""????0;"",""???-0;"",""????0;"", ////"""),"'","""")&amp;SUBSTITUTE(TEXT(Regen!E168,""",""?00;"",""?-00;"",""?00;"", //"""),"'","""")</f>
        <v>073, 19450616, 1,    0, 00</v>
      </c>
    </row>
    <row r="169" spans="1:1" x14ac:dyDescent="0.25">
      <c r="A169" s="16" t="str">
        <f ca="1">TEXT(Regen!A169,"000\,")&amp;TEXT(Regen!B169,"?00000000")&amp;TEXT(Regen!C169,""",""?0")&amp;SUBSTITUTE(TEXT(Regen!D169,""",""????0;"",""???-0;"",""????0;"", ////"""),"'","""")&amp;SUBSTITUTE(TEXT(Regen!E169,""",""?00;"",""?-00;"",""?00;"", //"""),"'","""")</f>
        <v>073, 19450617, 1,   25, 00</v>
      </c>
    </row>
    <row r="170" spans="1:1" x14ac:dyDescent="0.25">
      <c r="A170" s="16" t="str">
        <f ca="1">TEXT(Regen!A170,"000\,")&amp;TEXT(Regen!B170,"?00000000")&amp;TEXT(Regen!C170,""",""?0")&amp;SUBSTITUTE(TEXT(Regen!D170,""",""????0;"",""???-0;"",""????0;"", ////"""),"'","""")&amp;SUBSTITUTE(TEXT(Regen!E170,""",""?00;"",""?-00;"",""?00;"", //"""),"'","""")</f>
        <v>073, 19450618, 1,   74, 00</v>
      </c>
    </row>
    <row r="171" spans="1:1" x14ac:dyDescent="0.25">
      <c r="A171" s="16" t="str">
        <f ca="1">TEXT(Regen!A171,"000\,")&amp;TEXT(Regen!B171,"?00000000")&amp;TEXT(Regen!C171,""",""?0")&amp;SUBSTITUTE(TEXT(Regen!D171,""",""????0;"",""???-0;"",""????0;"", ////"""),"'","""")&amp;SUBSTITUTE(TEXT(Regen!E171,""",""?00;"",""?-00;"",""?00;"", //"""),"'","""")</f>
        <v>073, 19450619, 1,    0, 00</v>
      </c>
    </row>
    <row r="172" spans="1:1" x14ac:dyDescent="0.25">
      <c r="A172" s="16" t="str">
        <f ca="1">TEXT(Regen!A172,"000\,")&amp;TEXT(Regen!B172,"?00000000")&amp;TEXT(Regen!C172,""",""?0")&amp;SUBSTITUTE(TEXT(Regen!D172,""",""????0;"",""???-0;"",""????0;"", ////"""),"'","""")&amp;SUBSTITUTE(TEXT(Regen!E172,""",""?00;"",""?-00;"",""?00;"", //"""),"'","""")</f>
        <v>073, 19450620, 1,    0, 00</v>
      </c>
    </row>
    <row r="173" spans="1:1" x14ac:dyDescent="0.25">
      <c r="A173" s="16" t="str">
        <f ca="1">TEXT(Regen!A173,"000\,")&amp;TEXT(Regen!B173,"?00000000")&amp;TEXT(Regen!C173,""",""?0")&amp;SUBSTITUTE(TEXT(Regen!D173,""",""????0;"",""???-0;"",""????0;"", ////"""),"'","""")&amp;SUBSTITUTE(TEXT(Regen!E173,""",""?00;"",""?-00;"",""?00;"", //"""),"'","""")</f>
        <v>073, 19450621, 1,    0, 00</v>
      </c>
    </row>
    <row r="174" spans="1:1" x14ac:dyDescent="0.25">
      <c r="A174" s="16" t="str">
        <f ca="1">TEXT(Regen!A174,"000\,")&amp;TEXT(Regen!B174,"?00000000")&amp;TEXT(Regen!C174,""",""?0")&amp;SUBSTITUTE(TEXT(Regen!D174,""",""????0;"",""???-0;"",""????0;"", ////"""),"'","""")&amp;SUBSTITUTE(TEXT(Regen!E174,""",""?00;"",""?-00;"",""?00;"", //"""),"'","""")</f>
        <v>073, 19450622, 1,    0, 00</v>
      </c>
    </row>
    <row r="175" spans="1:1" x14ac:dyDescent="0.25">
      <c r="A175" s="16" t="str">
        <f ca="1">TEXT(Regen!A175,"000\,")&amp;TEXT(Regen!B175,"?00000000")&amp;TEXT(Regen!C175,""",""?0")&amp;SUBSTITUTE(TEXT(Regen!D175,""",""????0;"",""???-0;"",""????0;"", ////"""),"'","""")&amp;SUBSTITUTE(TEXT(Regen!E175,""",""?00;"",""?-00;"",""?00;"", //"""),"'","""")</f>
        <v>073, 19450623, 1,    0, 00</v>
      </c>
    </row>
    <row r="176" spans="1:1" x14ac:dyDescent="0.25">
      <c r="A176" s="16" t="str">
        <f ca="1">TEXT(Regen!A176,"000\,")&amp;TEXT(Regen!B176,"?00000000")&amp;TEXT(Regen!C176,""",""?0")&amp;SUBSTITUTE(TEXT(Regen!D176,""",""????0;"",""???-0;"",""????0;"", ////"""),"'","""")&amp;SUBSTITUTE(TEXT(Regen!E176,""",""?00;"",""?-00;"",""?00;"", //"""),"'","""")</f>
        <v>073, 19450624, 1,   30, 00</v>
      </c>
    </row>
    <row r="177" spans="1:1" x14ac:dyDescent="0.25">
      <c r="A177" s="16" t="str">
        <f ca="1">TEXT(Regen!A177,"000\,")&amp;TEXT(Regen!B177,"?00000000")&amp;TEXT(Regen!C177,""",""?0")&amp;SUBSTITUTE(TEXT(Regen!D177,""",""????0;"",""???-0;"",""????0;"", ////"""),"'","""")&amp;SUBSTITUTE(TEXT(Regen!E177,""",""?00;"",""?-00;"",""?00;"", //"""),"'","""")</f>
        <v>073, 19450625, 1,   38, 00</v>
      </c>
    </row>
    <row r="178" spans="1:1" x14ac:dyDescent="0.25">
      <c r="A178" s="16" t="str">
        <f ca="1">TEXT(Regen!A178,"000\,")&amp;TEXT(Regen!B178,"?00000000")&amp;TEXT(Regen!C178,""",""?0")&amp;SUBSTITUTE(TEXT(Regen!D178,""",""????0;"",""???-0;"",""????0;"", ////"""),"'","""")&amp;SUBSTITUTE(TEXT(Regen!E178,""",""?00;"",""?-00;"",""?00;"", //"""),"'","""")</f>
        <v>073, 19450626, 1,  133, 00</v>
      </c>
    </row>
    <row r="179" spans="1:1" x14ac:dyDescent="0.25">
      <c r="A179" s="16" t="str">
        <f ca="1">TEXT(Regen!A179,"000\,")&amp;TEXT(Regen!B179,"?00000000")&amp;TEXT(Regen!C179,""",""?0")&amp;SUBSTITUTE(TEXT(Regen!D179,""",""????0;"",""???-0;"",""????0;"", ////"""),"'","""")&amp;SUBSTITUTE(TEXT(Regen!E179,""",""?00;"",""?-00;"",""?00;"", //"""),"'","""")</f>
        <v>073, 19450627, 1,    0, 00</v>
      </c>
    </row>
    <row r="180" spans="1:1" x14ac:dyDescent="0.25">
      <c r="A180" s="16" t="str">
        <f ca="1">TEXT(Regen!A180,"000\,")&amp;TEXT(Regen!B180,"?00000000")&amp;TEXT(Regen!C180,""",""?0")&amp;SUBSTITUTE(TEXT(Regen!D180,""",""????0;"",""???-0;"",""????0;"", ////"""),"'","""")&amp;SUBSTITUTE(TEXT(Regen!E180,""",""?00;"",""?-00;"",""?00;"", //"""),"'","""")</f>
        <v>073, 19450628, 1,    0, 00</v>
      </c>
    </row>
    <row r="181" spans="1:1" x14ac:dyDescent="0.25">
      <c r="A181" s="16" t="str">
        <f ca="1">TEXT(Regen!A181,"000\,")&amp;TEXT(Regen!B181,"?00000000")&amp;TEXT(Regen!C181,""",""?0")&amp;SUBSTITUTE(TEXT(Regen!D181,""",""????0;"",""???-0;"",""????0;"", ////"""),"'","""")&amp;SUBSTITUTE(TEXT(Regen!E181,""",""?00;"",""?-00;"",""?00;"", //"""),"'","""")</f>
        <v>073, 19450629, 1,    0, 00</v>
      </c>
    </row>
    <row r="182" spans="1:1" x14ac:dyDescent="0.25">
      <c r="A182" s="16" t="str">
        <f ca="1">TEXT(Regen!A182,"000\,")&amp;TEXT(Regen!B182,"?00000000")&amp;TEXT(Regen!C182,""",""?0")&amp;SUBSTITUTE(TEXT(Regen!D182,""",""????0;"",""???-0;"",""????0;"", ////"""),"'","""")&amp;SUBSTITUTE(TEXT(Regen!E182,""",""?00;"",""?-00;"",""?00;"", //"""),"'","""")</f>
        <v>073, 19450630, 1,    0, 00</v>
      </c>
    </row>
    <row r="183" spans="1:1" x14ac:dyDescent="0.25">
      <c r="A183" s="16" t="str">
        <f ca="1">TEXT(Regen!A183,"000\,")&amp;TEXT(Regen!B183,"?00000000")&amp;TEXT(Regen!C183,""",""?0")&amp;SUBSTITUTE(TEXT(Regen!D183,""",""????0;"",""???-0;"",""????0;"", ////"""),"'","""")&amp;SUBSTITUTE(TEXT(Regen!E183,""",""?00;"",""?-00;"",""?00;"", //"""),"'","""")</f>
        <v>073, 19450701, 1,    0, 00</v>
      </c>
    </row>
    <row r="184" spans="1:1" x14ac:dyDescent="0.25">
      <c r="A184" s="16" t="str">
        <f ca="1">TEXT(Regen!A184,"000\,")&amp;TEXT(Regen!B184,"?00000000")&amp;TEXT(Regen!C184,""",""?0")&amp;SUBSTITUTE(TEXT(Regen!D184,""",""????0;"",""???-0;"",""????0;"", ////"""),"'","""")&amp;SUBSTITUTE(TEXT(Regen!E184,""",""?00;"",""?-00;"",""?00;"", //"""),"'","""")</f>
        <v>073, 19450702, 1,  160, 00</v>
      </c>
    </row>
    <row r="185" spans="1:1" x14ac:dyDescent="0.25">
      <c r="A185" s="16" t="str">
        <f ca="1">TEXT(Regen!A185,"000\,")&amp;TEXT(Regen!B185,"?00000000")&amp;TEXT(Regen!C185,""",""?0")&amp;SUBSTITUTE(TEXT(Regen!D185,""",""????0;"",""???-0;"",""????0;"", ////"""),"'","""")&amp;SUBSTITUTE(TEXT(Regen!E185,""",""?00;"",""?-00;"",""?00;"", //"""),"'","""")</f>
        <v>073, 19450703, 1,  375, 00</v>
      </c>
    </row>
    <row r="186" spans="1:1" x14ac:dyDescent="0.25">
      <c r="A186" s="16" t="str">
        <f ca="1">TEXT(Regen!A186,"000\,")&amp;TEXT(Regen!B186,"?00000000")&amp;TEXT(Regen!C186,""",""?0")&amp;SUBSTITUTE(TEXT(Regen!D186,""",""????0;"",""???-0;"",""????0;"", ////"""),"'","""")&amp;SUBSTITUTE(TEXT(Regen!E186,""",""?00;"",""?-00;"",""?00;"", //"""),"'","""")</f>
        <v>073, 19450704, 1,    7, 00</v>
      </c>
    </row>
    <row r="187" spans="1:1" x14ac:dyDescent="0.25">
      <c r="A187" s="16" t="str">
        <f ca="1">TEXT(Regen!A187,"000\,")&amp;TEXT(Regen!B187,"?00000000")&amp;TEXT(Regen!C187,""",""?0")&amp;SUBSTITUTE(TEXT(Regen!D187,""",""????0;"",""???-0;"",""????0;"", ////"""),"'","""")&amp;SUBSTITUTE(TEXT(Regen!E187,""",""?00;"",""?-00;"",""?00;"", //"""),"'","""")</f>
        <v>073, 19450705, 1,    0, 00</v>
      </c>
    </row>
    <row r="188" spans="1:1" x14ac:dyDescent="0.25">
      <c r="A188" s="16" t="str">
        <f ca="1">TEXT(Regen!A188,"000\,")&amp;TEXT(Regen!B188,"?00000000")&amp;TEXT(Regen!C188,""",""?0")&amp;SUBSTITUTE(TEXT(Regen!D188,""",""????0;"",""???-0;"",""????0;"", ////"""),"'","""")&amp;SUBSTITUTE(TEXT(Regen!E188,""",""?00;"",""?-00;"",""?00;"", //"""),"'","""")</f>
        <v>073, 19450706, 1,   34, 00</v>
      </c>
    </row>
    <row r="189" spans="1:1" x14ac:dyDescent="0.25">
      <c r="A189" s="16" t="str">
        <f ca="1">TEXT(Regen!A189,"000\,")&amp;TEXT(Regen!B189,"?00000000")&amp;TEXT(Regen!C189,""",""?0")&amp;SUBSTITUTE(TEXT(Regen!D189,""",""????0;"",""???-0;"",""????0;"", ////"""),"'","""")&amp;SUBSTITUTE(TEXT(Regen!E189,""",""?00;"",""?-00;"",""?00;"", //"""),"'","""")</f>
        <v>073, 19450707, 1,    0, 00</v>
      </c>
    </row>
    <row r="190" spans="1:1" x14ac:dyDescent="0.25">
      <c r="A190" s="16" t="str">
        <f ca="1">TEXT(Regen!A190,"000\,")&amp;TEXT(Regen!B190,"?00000000")&amp;TEXT(Regen!C190,""",""?0")&amp;SUBSTITUTE(TEXT(Regen!D190,""",""????0;"",""???-0;"",""????0;"", ////"""),"'","""")&amp;SUBSTITUTE(TEXT(Regen!E190,""",""?00;"",""?-00;"",""?00;"", //"""),"'","""")</f>
        <v>073, 19450708, 1,    0, 00</v>
      </c>
    </row>
    <row r="191" spans="1:1" x14ac:dyDescent="0.25">
      <c r="A191" s="16" t="str">
        <f ca="1">TEXT(Regen!A191,"000\,")&amp;TEXT(Regen!B191,"?00000000")&amp;TEXT(Regen!C191,""",""?0")&amp;SUBSTITUTE(TEXT(Regen!D191,""",""????0;"",""???-0;"",""????0;"", ////"""),"'","""")&amp;SUBSTITUTE(TEXT(Regen!E191,""",""?00;"",""?-00;"",""?00;"", //"""),"'","""")</f>
        <v>073, 19450709, 1,    0, 00</v>
      </c>
    </row>
    <row r="192" spans="1:1" x14ac:dyDescent="0.25">
      <c r="A192" s="16" t="str">
        <f ca="1">TEXT(Regen!A192,"000\,")&amp;TEXT(Regen!B192,"?00000000")&amp;TEXT(Regen!C192,""",""?0")&amp;SUBSTITUTE(TEXT(Regen!D192,""",""????0;"",""???-0;"",""????0;"", ////"""),"'","""")&amp;SUBSTITUTE(TEXT(Regen!E192,""",""?00;"",""?-00;"",""?00;"", //"""),"'","""")</f>
        <v>073, 19450710, 1,    0, 00</v>
      </c>
    </row>
    <row r="193" spans="1:1" x14ac:dyDescent="0.25">
      <c r="A193" s="16" t="str">
        <f ca="1">TEXT(Regen!A193,"000\,")&amp;TEXT(Regen!B193,"?00000000")&amp;TEXT(Regen!C193,""",""?0")&amp;SUBSTITUTE(TEXT(Regen!D193,""",""????0;"",""???-0;"",""????0;"", ////"""),"'","""")&amp;SUBSTITUTE(TEXT(Regen!E193,""",""?00;"",""?-00;"",""?00;"", //"""),"'","""")</f>
        <v>073, 19450711, 1,    0, 00</v>
      </c>
    </row>
    <row r="194" spans="1:1" x14ac:dyDescent="0.25">
      <c r="A194" s="16" t="str">
        <f ca="1">TEXT(Regen!A194,"000\,")&amp;TEXT(Regen!B194,"?00000000")&amp;TEXT(Regen!C194,""",""?0")&amp;SUBSTITUTE(TEXT(Regen!D194,""",""????0;"",""???-0;"",""????0;"", ////"""),"'","""")&amp;SUBSTITUTE(TEXT(Regen!E194,""",""?00;"",""?-00;"",""?00;"", //"""),"'","""")</f>
        <v>073, 19450712, 1,    0, 00</v>
      </c>
    </row>
    <row r="195" spans="1:1" x14ac:dyDescent="0.25">
      <c r="A195" s="16" t="str">
        <f ca="1">TEXT(Regen!A195,"000\,")&amp;TEXT(Regen!B195,"?00000000")&amp;TEXT(Regen!C195,""",""?0")&amp;SUBSTITUTE(TEXT(Regen!D195,""",""????0;"",""???-0;"",""????0;"", ////"""),"'","""")&amp;SUBSTITUTE(TEXT(Regen!E195,""",""?00;"",""?-00;"",""?00;"", //"""),"'","""")</f>
        <v>073, 19450713, 1,    0, 00</v>
      </c>
    </row>
    <row r="196" spans="1:1" x14ac:dyDescent="0.25">
      <c r="A196" s="16" t="str">
        <f ca="1">TEXT(Regen!A196,"000\,")&amp;TEXT(Regen!B196,"?00000000")&amp;TEXT(Regen!C196,""",""?0")&amp;SUBSTITUTE(TEXT(Regen!D196,""",""????0;"",""???-0;"",""????0;"", ////"""),"'","""")&amp;SUBSTITUTE(TEXT(Regen!E196,""",""?00;"",""?-00;"",""?00;"", //"""),"'","""")</f>
        <v>073, 19450714, 1,    0, 00</v>
      </c>
    </row>
    <row r="197" spans="1:1" x14ac:dyDescent="0.25">
      <c r="A197" s="16" t="str">
        <f ca="1">TEXT(Regen!A197,"000\,")&amp;TEXT(Regen!B197,"?00000000")&amp;TEXT(Regen!C197,""",""?0")&amp;SUBSTITUTE(TEXT(Regen!D197,""",""????0;"",""???-0;"",""????0;"", ////"""),"'","""")&amp;SUBSTITUTE(TEXT(Regen!E197,""",""?00;"",""?-00;"",""?00;"", //"""),"'","""")</f>
        <v>073, 19450715, 1,    0, 00</v>
      </c>
    </row>
    <row r="198" spans="1:1" x14ac:dyDescent="0.25">
      <c r="A198" s="16" t="str">
        <f ca="1">TEXT(Regen!A198,"000\,")&amp;TEXT(Regen!B198,"?00000000")&amp;TEXT(Regen!C198,""",""?0")&amp;SUBSTITUTE(TEXT(Regen!D198,""",""????0;"",""???-0;"",""????0;"", ////"""),"'","""")&amp;SUBSTITUTE(TEXT(Regen!E198,""",""?00;"",""?-00;"",""?00;"", //"""),"'","""")</f>
        <v>073, 19450716, 1,   12, 00</v>
      </c>
    </row>
    <row r="199" spans="1:1" x14ac:dyDescent="0.25">
      <c r="A199" s="16" t="str">
        <f ca="1">TEXT(Regen!A199,"000\,")&amp;TEXT(Regen!B199,"?00000000")&amp;TEXT(Regen!C199,""",""?0")&amp;SUBSTITUTE(TEXT(Regen!D199,""",""????0;"",""???-0;"",""????0;"", ////"""),"'","""")&amp;SUBSTITUTE(TEXT(Regen!E199,""",""?00;"",""?-00;"",""?00;"", //"""),"'","""")</f>
        <v>073, 19450717, 1,    0, 00</v>
      </c>
    </row>
    <row r="200" spans="1:1" x14ac:dyDescent="0.25">
      <c r="A200" s="16" t="str">
        <f ca="1">TEXT(Regen!A200,"000\,")&amp;TEXT(Regen!B200,"?00000000")&amp;TEXT(Regen!C200,""",""?0")&amp;SUBSTITUTE(TEXT(Regen!D200,""",""????0;"",""???-0;"",""????0;"", ////"""),"'","""")&amp;SUBSTITUTE(TEXT(Regen!E200,""",""?00;"",""?-00;"",""?00;"", //"""),"'","""")</f>
        <v>073, 19450718, 1,    0, 00</v>
      </c>
    </row>
    <row r="201" spans="1:1" x14ac:dyDescent="0.25">
      <c r="A201" s="16" t="str">
        <f ca="1">TEXT(Regen!A201,"000\,")&amp;TEXT(Regen!B201,"?00000000")&amp;TEXT(Regen!C201,""",""?0")&amp;SUBSTITUTE(TEXT(Regen!D201,""",""????0;"",""???-0;"",""????0;"", ////"""),"'","""")&amp;SUBSTITUTE(TEXT(Regen!E201,""",""?00;"",""?-00;"",""?00;"", //"""),"'","""")</f>
        <v>073, 19450719, 1,   27, 00</v>
      </c>
    </row>
    <row r="202" spans="1:1" x14ac:dyDescent="0.25">
      <c r="A202" s="16" t="str">
        <f ca="1">TEXT(Regen!A202,"000\,")&amp;TEXT(Regen!B202,"?00000000")&amp;TEXT(Regen!C202,""",""?0")&amp;SUBSTITUTE(TEXT(Regen!D202,""",""????0;"",""???-0;"",""????0;"", ////"""),"'","""")&amp;SUBSTITUTE(TEXT(Regen!E202,""",""?00;"",""?-00;"",""?00;"", //"""),"'","""")</f>
        <v>073, 19450720, 1,    0, 00</v>
      </c>
    </row>
    <row r="203" spans="1:1" x14ac:dyDescent="0.25">
      <c r="A203" s="16" t="str">
        <f ca="1">TEXT(Regen!A203,"000\,")&amp;TEXT(Regen!B203,"?00000000")&amp;TEXT(Regen!C203,""",""?0")&amp;SUBSTITUTE(TEXT(Regen!D203,""",""????0;"",""???-0;"",""????0;"", ////"""),"'","""")&amp;SUBSTITUTE(TEXT(Regen!E203,""",""?00;"",""?-00;"",""?00;"", //"""),"'","""")</f>
        <v>073, 19450721, 1,    0, 00</v>
      </c>
    </row>
    <row r="204" spans="1:1" x14ac:dyDescent="0.25">
      <c r="A204" s="16" t="str">
        <f ca="1">TEXT(Regen!A204,"000\,")&amp;TEXT(Regen!B204,"?00000000")&amp;TEXT(Regen!C204,""",""?0")&amp;SUBSTITUTE(TEXT(Regen!D204,""",""????0;"",""???-0;"",""????0;"", ////"""),"'","""")&amp;SUBSTITUTE(TEXT(Regen!E204,""",""?00;"",""?-00;"",""?00;"", //"""),"'","""")</f>
        <v>073, 19450722, 1,  103, 00</v>
      </c>
    </row>
    <row r="205" spans="1:1" x14ac:dyDescent="0.25">
      <c r="A205" s="16" t="str">
        <f ca="1">TEXT(Regen!A205,"000\,")&amp;TEXT(Regen!B205,"?00000000")&amp;TEXT(Regen!C205,""",""?0")&amp;SUBSTITUTE(TEXT(Regen!D205,""",""????0;"",""???-0;"",""????0;"", ////"""),"'","""")&amp;SUBSTITUTE(TEXT(Regen!E205,""",""?00;"",""?-00;"",""?00;"", //"""),"'","""")</f>
        <v>073, 19450723, 1,    0, 00</v>
      </c>
    </row>
    <row r="206" spans="1:1" x14ac:dyDescent="0.25">
      <c r="A206" s="16" t="str">
        <f ca="1">TEXT(Regen!A206,"000\,")&amp;TEXT(Regen!B206,"?00000000")&amp;TEXT(Regen!C206,""",""?0")&amp;SUBSTITUTE(TEXT(Regen!D206,""",""????0;"",""???-0;"",""????0;"", ////"""),"'","""")&amp;SUBSTITUTE(TEXT(Regen!E206,""",""?00;"",""?-00;"",""?00;"", //"""),"'","""")</f>
        <v>073, 19450724, 1,    0, 00</v>
      </c>
    </row>
    <row r="207" spans="1:1" x14ac:dyDescent="0.25">
      <c r="A207" s="16" t="str">
        <f ca="1">TEXT(Regen!A207,"000\,")&amp;TEXT(Regen!B207,"?00000000")&amp;TEXT(Regen!C207,""",""?0")&amp;SUBSTITUTE(TEXT(Regen!D207,""",""????0;"",""???-0;"",""????0;"", ////"""),"'","""")&amp;SUBSTITUTE(TEXT(Regen!E207,""",""?00;"",""?-00;"",""?00;"", //"""),"'","""")</f>
        <v>073, 19450725, 1,   20, 00</v>
      </c>
    </row>
    <row r="208" spans="1:1" x14ac:dyDescent="0.25">
      <c r="A208" s="16" t="str">
        <f ca="1">TEXT(Regen!A208,"000\,")&amp;TEXT(Regen!B208,"?00000000")&amp;TEXT(Regen!C208,""",""?0")&amp;SUBSTITUTE(TEXT(Regen!D208,""",""????0;"",""???-0;"",""????0;"", ////"""),"'","""")&amp;SUBSTITUTE(TEXT(Regen!E208,""",""?00;"",""?-00;"",""?00;"", //"""),"'","""")</f>
        <v>073, 19450726, 1,    0, 00</v>
      </c>
    </row>
    <row r="209" spans="1:1" x14ac:dyDescent="0.25">
      <c r="A209" s="16" t="str">
        <f ca="1">TEXT(Regen!A209,"000\,")&amp;TEXT(Regen!B209,"?00000000")&amp;TEXT(Regen!C209,""",""?0")&amp;SUBSTITUTE(TEXT(Regen!D209,""",""????0;"",""???-0;"",""????0;"", ////"""),"'","""")&amp;SUBSTITUTE(TEXT(Regen!E209,""",""?00;"",""?-00;"",""?00;"", //"""),"'","""")</f>
        <v>073, 19450727, 1,   19, 00</v>
      </c>
    </row>
    <row r="210" spans="1:1" x14ac:dyDescent="0.25">
      <c r="A210" s="16" t="str">
        <f ca="1">TEXT(Regen!A210,"000\,")&amp;TEXT(Regen!B210,"?00000000")&amp;TEXT(Regen!C210,""",""?0")&amp;SUBSTITUTE(TEXT(Regen!D210,""",""????0;"",""???-0;"",""????0;"", ////"""),"'","""")&amp;SUBSTITUTE(TEXT(Regen!E210,""",""?00;"",""?-00;"",""?00;"", //"""),"'","""")</f>
        <v>073, 19450728, 1,  163, 00</v>
      </c>
    </row>
    <row r="211" spans="1:1" x14ac:dyDescent="0.25">
      <c r="A211" s="16" t="str">
        <f ca="1">TEXT(Regen!A211,"000\,")&amp;TEXT(Regen!B211,"?00000000")&amp;TEXT(Regen!C211,""",""?0")&amp;SUBSTITUTE(TEXT(Regen!D211,""",""????0;"",""???-0;"",""????0;"", ////"""),"'","""")&amp;SUBSTITUTE(TEXT(Regen!E211,""",""?00;"",""?-00;"",""?00;"", //"""),"'","""")</f>
        <v>073, 19450729, 1,   34, 00</v>
      </c>
    </row>
    <row r="212" spans="1:1" x14ac:dyDescent="0.25">
      <c r="A212" s="16" t="str">
        <f ca="1">TEXT(Regen!A212,"000\,")&amp;TEXT(Regen!B212,"?00000000")&amp;TEXT(Regen!C212,""",""?0")&amp;SUBSTITUTE(TEXT(Regen!D212,""",""????0;"",""???-0;"",""????0;"", ////"""),"'","""")&amp;SUBSTITUTE(TEXT(Regen!E212,""",""?00;"",""?-00;"",""?00;"", //"""),"'","""")</f>
        <v>073, 19450730, 1,  110, 00</v>
      </c>
    </row>
    <row r="213" spans="1:1" x14ac:dyDescent="0.25">
      <c r="A213" s="16" t="str">
        <f ca="1">TEXT(Regen!A213,"000\,")&amp;TEXT(Regen!B213,"?00000000")&amp;TEXT(Regen!C213,""",""?0")&amp;SUBSTITUTE(TEXT(Regen!D213,""",""????0;"",""???-0;"",""????0;"", ////"""),"'","""")&amp;SUBSTITUTE(TEXT(Regen!E213,""",""?00;"",""?-00;"",""?00;"", //"""),"'","""")</f>
        <v>073, 19450731, 1,   13, 00</v>
      </c>
    </row>
    <row r="214" spans="1:1" x14ac:dyDescent="0.25">
      <c r="A214" s="16" t="str">
        <f ca="1">TEXT(Regen!A214,"000\,")&amp;TEXT(Regen!B214,"?00000000")&amp;TEXT(Regen!C214,""",""?0")&amp;SUBSTITUTE(TEXT(Regen!D214,""",""????0;"",""???-0;"",""????0;"", ////"""),"'","""")&amp;SUBSTITUTE(TEXT(Regen!E214,""",""?00;"",""?-00;"",""?00;"", //"""),"'","""")</f>
        <v>073, 19450801, 1,    0, 00</v>
      </c>
    </row>
    <row r="215" spans="1:1" x14ac:dyDescent="0.25">
      <c r="A215" s="16" t="str">
        <f ca="1">TEXT(Regen!A215,"000\,")&amp;TEXT(Regen!B215,"?00000000")&amp;TEXT(Regen!C215,""",""?0")&amp;SUBSTITUTE(TEXT(Regen!D215,""",""????0;"",""???-0;"",""????0;"", ////"""),"'","""")&amp;SUBSTITUTE(TEXT(Regen!E215,""",""?00;"",""?-00;"",""?00;"", //"""),"'","""")</f>
        <v>073, 19450802, 1,  740, 00</v>
      </c>
    </row>
    <row r="216" spans="1:1" x14ac:dyDescent="0.25">
      <c r="A216" s="16" t="str">
        <f ca="1">TEXT(Regen!A216,"000\,")&amp;TEXT(Regen!B216,"?00000000")&amp;TEXT(Regen!C216,""",""?0")&amp;SUBSTITUTE(TEXT(Regen!D216,""",""????0;"",""???-0;"",""????0;"", ////"""),"'","""")&amp;SUBSTITUTE(TEXT(Regen!E216,""",""?00;"",""?-00;"",""?00;"", //"""),"'","""")</f>
        <v>073, 19450803, 1,   21, 00</v>
      </c>
    </row>
    <row r="217" spans="1:1" x14ac:dyDescent="0.25">
      <c r="A217" s="16" t="str">
        <f ca="1">TEXT(Regen!A217,"000\,")&amp;TEXT(Regen!B217,"?00000000")&amp;TEXT(Regen!C217,""",""?0")&amp;SUBSTITUTE(TEXT(Regen!D217,""",""????0;"",""???-0;"",""????0;"", ////"""),"'","""")&amp;SUBSTITUTE(TEXT(Regen!E217,""",""?00;"",""?-00;"",""?00;"", //"""),"'","""")</f>
        <v>073, 19450804, 1,    0, 00</v>
      </c>
    </row>
    <row r="218" spans="1:1" x14ac:dyDescent="0.25">
      <c r="A218" s="16" t="str">
        <f ca="1">TEXT(Regen!A218,"000\,")&amp;TEXT(Regen!B218,"?00000000")&amp;TEXT(Regen!C218,""",""?0")&amp;SUBSTITUTE(TEXT(Regen!D218,""",""????0;"",""???-0;"",""????0;"", ////"""),"'","""")&amp;SUBSTITUTE(TEXT(Regen!E218,""",""?00;"",""?-00;"",""?00;"", //"""),"'","""")</f>
        <v>073, 19450805, 1,   24, 00</v>
      </c>
    </row>
    <row r="219" spans="1:1" x14ac:dyDescent="0.25">
      <c r="A219" s="16" t="str">
        <f ca="1">TEXT(Regen!A219,"000\,")&amp;TEXT(Regen!B219,"?00000000")&amp;TEXT(Regen!C219,""",""?0")&amp;SUBSTITUTE(TEXT(Regen!D219,""",""????0;"",""???-0;"",""????0;"", ////"""),"'","""")&amp;SUBSTITUTE(TEXT(Regen!E219,""",""?00;"",""?-00;"",""?00;"", //"""),"'","""")</f>
        <v>073, 19450806, 1,   31, 00</v>
      </c>
    </row>
    <row r="220" spans="1:1" x14ac:dyDescent="0.25">
      <c r="A220" s="16" t="str">
        <f ca="1">TEXT(Regen!A220,"000\,")&amp;TEXT(Regen!B220,"?00000000")&amp;TEXT(Regen!C220,""",""?0")&amp;SUBSTITUTE(TEXT(Regen!D220,""",""????0;"",""???-0;"",""????0;"", ////"""),"'","""")&amp;SUBSTITUTE(TEXT(Regen!E220,""",""?00;"",""?-00;"",""?00;"", //"""),"'","""")</f>
        <v>073, 19450807, 1,  786, 00</v>
      </c>
    </row>
    <row r="221" spans="1:1" x14ac:dyDescent="0.25">
      <c r="A221" s="16" t="str">
        <f ca="1">TEXT(Regen!A221,"000\,")&amp;TEXT(Regen!B221,"?00000000")&amp;TEXT(Regen!C221,""",""?0")&amp;SUBSTITUTE(TEXT(Regen!D221,""",""????0;"",""???-0;"",""????0;"", ////"""),"'","""")&amp;SUBSTITUTE(TEXT(Regen!E221,""",""?00;"",""?-00;"",""?00;"", //"""),"'","""")</f>
        <v>073, 19450808, 1,    0, 00</v>
      </c>
    </row>
    <row r="222" spans="1:1" x14ac:dyDescent="0.25">
      <c r="A222" s="16" t="str">
        <f ca="1">TEXT(Regen!A222,"000\,")&amp;TEXT(Regen!B222,"?00000000")&amp;TEXT(Regen!C222,""",""?0")&amp;SUBSTITUTE(TEXT(Regen!D222,""",""????0;"",""???-0;"",""????0;"", ////"""),"'","""")&amp;SUBSTITUTE(TEXT(Regen!E222,""",""?00;"",""?-00;"",""?00;"", //"""),"'","""")</f>
        <v>073, 19450809, 1,   24, 00</v>
      </c>
    </row>
    <row r="223" spans="1:1" x14ac:dyDescent="0.25">
      <c r="A223" s="16" t="str">
        <f ca="1">TEXT(Regen!A223,"000\,")&amp;TEXT(Regen!B223,"?00000000")&amp;TEXT(Regen!C223,""",""?0")&amp;SUBSTITUTE(TEXT(Regen!D223,""",""????0;"",""???-0;"",""????0;"", ////"""),"'","""")&amp;SUBSTITUTE(TEXT(Regen!E223,""",""?00;"",""?-00;"",""?00;"", //"""),"'","""")</f>
        <v>073, 19450810, 1,   40, 00</v>
      </c>
    </row>
    <row r="224" spans="1:1" x14ac:dyDescent="0.25">
      <c r="A224" s="16" t="str">
        <f ca="1">TEXT(Regen!A224,"000\,")&amp;TEXT(Regen!B224,"?00000000")&amp;TEXT(Regen!C224,""",""?0")&amp;SUBSTITUTE(TEXT(Regen!D224,""",""????0;"",""???-0;"",""????0;"", ////"""),"'","""")&amp;SUBSTITUTE(TEXT(Regen!E224,""",""?00;"",""?-00;"",""?00;"", //"""),"'","""")</f>
        <v>073, 19450811, 1,    0, 00</v>
      </c>
    </row>
    <row r="225" spans="1:1" x14ac:dyDescent="0.25">
      <c r="A225" s="16" t="str">
        <f ca="1">TEXT(Regen!A225,"000\,")&amp;TEXT(Regen!B225,"?00000000")&amp;TEXT(Regen!C225,""",""?0")&amp;SUBSTITUTE(TEXT(Regen!D225,""",""????0;"",""???-0;"",""????0;"", ////"""),"'","""")&amp;SUBSTITUTE(TEXT(Regen!E225,""",""?00;"",""?-00;"",""?00;"", //"""),"'","""")</f>
        <v>073, 19450812, 1,    0, 00</v>
      </c>
    </row>
    <row r="226" spans="1:1" x14ac:dyDescent="0.25">
      <c r="A226" s="16" t="str">
        <f ca="1">TEXT(Regen!A226,"000\,")&amp;TEXT(Regen!B226,"?00000000")&amp;TEXT(Regen!C226,""",""?0")&amp;SUBSTITUTE(TEXT(Regen!D226,""",""????0;"",""???-0;"",""????0;"", ////"""),"'","""")&amp;SUBSTITUTE(TEXT(Regen!E226,""",""?00;"",""?-00;"",""?00;"", //"""),"'","""")</f>
        <v>073, 19450813, 1,   38, 00</v>
      </c>
    </row>
    <row r="227" spans="1:1" x14ac:dyDescent="0.25">
      <c r="A227" s="16" t="str">
        <f ca="1">TEXT(Regen!A227,"000\,")&amp;TEXT(Regen!B227,"?00000000")&amp;TEXT(Regen!C227,""",""?0")&amp;SUBSTITUTE(TEXT(Regen!D227,""",""????0;"",""???-0;"",""????0;"", ////"""),"'","""")&amp;SUBSTITUTE(TEXT(Regen!E227,""",""?00;"",""?-00;"",""?00;"", //"""),"'","""")</f>
        <v>073, 19450814, 1,    0, 00</v>
      </c>
    </row>
    <row r="228" spans="1:1" x14ac:dyDescent="0.25">
      <c r="A228" s="16" t="str">
        <f ca="1">TEXT(Regen!A228,"000\,")&amp;TEXT(Regen!B228,"?00000000")&amp;TEXT(Regen!C228,""",""?0")&amp;SUBSTITUTE(TEXT(Regen!D228,""",""????0;"",""???-0;"",""????0;"", ////"""),"'","""")&amp;SUBSTITUTE(TEXT(Regen!E228,""",""?00;"",""?-00;"",""?00;"", //"""),"'","""")</f>
        <v>073, 19450815, 1,    0, 00</v>
      </c>
    </row>
    <row r="229" spans="1:1" x14ac:dyDescent="0.25">
      <c r="A229" s="16" t="str">
        <f ca="1">TEXT(Regen!A229,"000\,")&amp;TEXT(Regen!B229,"?00000000")&amp;TEXT(Regen!C229,""",""?0")&amp;SUBSTITUTE(TEXT(Regen!D229,""",""????0;"",""???-0;"",""????0;"", ////"""),"'","""")&amp;SUBSTITUTE(TEXT(Regen!E229,""",""?00;"",""?-00;"",""?00;"", //"""),"'","""")</f>
        <v>073, 19450816, 1,    0, 00</v>
      </c>
    </row>
    <row r="230" spans="1:1" x14ac:dyDescent="0.25">
      <c r="A230" s="16" t="str">
        <f ca="1">TEXT(Regen!A230,"000\,")&amp;TEXT(Regen!B230,"?00000000")&amp;TEXT(Regen!C230,""",""?0")&amp;SUBSTITUTE(TEXT(Regen!D230,""",""????0;"",""???-0;"",""????0;"", ////"""),"'","""")&amp;SUBSTITUTE(TEXT(Regen!E230,""",""?00;"",""?-00;"",""?00;"", //"""),"'","""")</f>
        <v>073, 19450817, 1,    0, 00</v>
      </c>
    </row>
    <row r="231" spans="1:1" x14ac:dyDescent="0.25">
      <c r="A231" s="16" t="str">
        <f ca="1">TEXT(Regen!A231,"000\,")&amp;TEXT(Regen!B231,"?00000000")&amp;TEXT(Regen!C231,""",""?0")&amp;SUBSTITUTE(TEXT(Regen!D231,""",""????0;"",""???-0;"",""????0;"", ////"""),"'","""")&amp;SUBSTITUTE(TEXT(Regen!E231,""",""?00;"",""?-00;"",""?00;"", //"""),"'","""")</f>
        <v>073, 19450818, 1,    0, 00</v>
      </c>
    </row>
    <row r="232" spans="1:1" x14ac:dyDescent="0.25">
      <c r="A232" s="16" t="str">
        <f ca="1">TEXT(Regen!A232,"000\,")&amp;TEXT(Regen!B232,"?00000000")&amp;TEXT(Regen!C232,""",""?0")&amp;SUBSTITUTE(TEXT(Regen!D232,""",""????0;"",""???-0;"",""????0;"", ////"""),"'","""")&amp;SUBSTITUTE(TEXT(Regen!E232,""",""?00;"",""?-00;"",""?00;"", //"""),"'","""")</f>
        <v>073, 19450819, 1,  128, 00</v>
      </c>
    </row>
    <row r="233" spans="1:1" x14ac:dyDescent="0.25">
      <c r="A233" s="16" t="str">
        <f ca="1">TEXT(Regen!A233,"000\,")&amp;TEXT(Regen!B233,"?00000000")&amp;TEXT(Regen!C233,""",""?0")&amp;SUBSTITUTE(TEXT(Regen!D233,""",""????0;"",""???-0;"",""????0;"", ////"""),"'","""")&amp;SUBSTITUTE(TEXT(Regen!E233,""",""?00;"",""?-00;"",""?00;"", //"""),"'","""")</f>
        <v>073, 19450820, 1,   14, 00</v>
      </c>
    </row>
    <row r="234" spans="1:1" x14ac:dyDescent="0.25">
      <c r="A234" s="16" t="str">
        <f ca="1">TEXT(Regen!A234,"000\,")&amp;TEXT(Regen!B234,"?00000000")&amp;TEXT(Regen!C234,""",""?0")&amp;SUBSTITUTE(TEXT(Regen!D234,""",""????0;"",""???-0;"",""????0;"", ////"""),"'","""")&amp;SUBSTITUTE(TEXT(Regen!E234,""",""?00;"",""?-00;"",""?00;"", //"""),"'","""")</f>
        <v>073, 19450821, 1,    0, 00</v>
      </c>
    </row>
    <row r="235" spans="1:1" x14ac:dyDescent="0.25">
      <c r="A235" s="16" t="str">
        <f ca="1">TEXT(Regen!A235,"000\,")&amp;TEXT(Regen!B235,"?00000000")&amp;TEXT(Regen!C235,""",""?0")&amp;SUBSTITUTE(TEXT(Regen!D235,""",""????0;"",""???-0;"",""????0;"", ////"""),"'","""")&amp;SUBSTITUTE(TEXT(Regen!E235,""",""?00;"",""?-00;"",""?00;"", //"""),"'","""")</f>
        <v>073, 19450822, 1,    0, 00</v>
      </c>
    </row>
    <row r="236" spans="1:1" x14ac:dyDescent="0.25">
      <c r="A236" s="16" t="str">
        <f ca="1">TEXT(Regen!A236,"000\,")&amp;TEXT(Regen!B236,"?00000000")&amp;TEXT(Regen!C236,""",""?0")&amp;SUBSTITUTE(TEXT(Regen!D236,""",""????0;"",""???-0;"",""????0;"", ////"""),"'","""")&amp;SUBSTITUTE(TEXT(Regen!E236,""",""?00;"",""?-00;"",""?00;"", //"""),"'","""")</f>
        <v>073, 19450823, 1,    0, 00</v>
      </c>
    </row>
    <row r="237" spans="1:1" x14ac:dyDescent="0.25">
      <c r="A237" s="16" t="str">
        <f ca="1">TEXT(Regen!A237,"000\,")&amp;TEXT(Regen!B237,"?00000000")&amp;TEXT(Regen!C237,""",""?0")&amp;SUBSTITUTE(TEXT(Regen!D237,""",""????0;"",""???-0;"",""????0;"", ////"""),"'","""")&amp;SUBSTITUTE(TEXT(Regen!E237,""",""?00;"",""?-00;"",""?00;"", //"""),"'","""")</f>
        <v>073, 19450824, 1,    0, 00</v>
      </c>
    </row>
    <row r="238" spans="1:1" x14ac:dyDescent="0.25">
      <c r="A238" s="16" t="str">
        <f ca="1">TEXT(Regen!A238,"000\,")&amp;TEXT(Regen!B238,"?00000000")&amp;TEXT(Regen!C238,""",""?0")&amp;SUBSTITUTE(TEXT(Regen!D238,""",""????0;"",""???-0;"",""????0;"", ////"""),"'","""")&amp;SUBSTITUTE(TEXT(Regen!E238,""",""?00;"",""?-00;"",""?00;"", //"""),"'","""")</f>
        <v>073, 19450825, 1,    0, 00</v>
      </c>
    </row>
    <row r="239" spans="1:1" x14ac:dyDescent="0.25">
      <c r="A239" s="16" t="str">
        <f ca="1">TEXT(Regen!A239,"000\,")&amp;TEXT(Regen!B239,"?00000000")&amp;TEXT(Regen!C239,""",""?0")&amp;SUBSTITUTE(TEXT(Regen!D239,""",""????0;"",""???-0;"",""????0;"", ////"""),"'","""")&amp;SUBSTITUTE(TEXT(Regen!E239,""",""?00;"",""?-00;"",""?00;"", //"""),"'","""")</f>
        <v>073, 19450826, 1,    0, 00</v>
      </c>
    </row>
    <row r="240" spans="1:1" x14ac:dyDescent="0.25">
      <c r="A240" s="16" t="str">
        <f ca="1">TEXT(Regen!A240,"000\,")&amp;TEXT(Regen!B240,"?00000000")&amp;TEXT(Regen!C240,""",""?0")&amp;SUBSTITUTE(TEXT(Regen!D240,""",""????0;"",""???-0;"",""????0;"", ////"""),"'","""")&amp;SUBSTITUTE(TEXT(Regen!E240,""",""?00;"",""?-00;"",""?00;"", //"""),"'","""")</f>
        <v>073, 19450827, 1,  116, 00</v>
      </c>
    </row>
    <row r="241" spans="1:1" x14ac:dyDescent="0.25">
      <c r="A241" s="16" t="str">
        <f ca="1">TEXT(Regen!A241,"000\,")&amp;TEXT(Regen!B241,"?00000000")&amp;TEXT(Regen!C241,""",""?0")&amp;SUBSTITUTE(TEXT(Regen!D241,""",""????0;"",""???-0;"",""????0;"", ////"""),"'","""")&amp;SUBSTITUTE(TEXT(Regen!E241,""",""?00;"",""?-00;"",""?00;"", //"""),"'","""")</f>
        <v>073, 19450828, 1,    0, 00</v>
      </c>
    </row>
    <row r="242" spans="1:1" x14ac:dyDescent="0.25">
      <c r="A242" s="16" t="str">
        <f ca="1">TEXT(Regen!A242,"000\,")&amp;TEXT(Regen!B242,"?00000000")&amp;TEXT(Regen!C242,""",""?0")&amp;SUBSTITUTE(TEXT(Regen!D242,""",""????0;"",""???-0;"",""????0;"", ////"""),"'","""")&amp;SUBSTITUTE(TEXT(Regen!E242,""",""?00;"",""?-00;"",""?00;"", //"""),"'","""")</f>
        <v>073, 19450829, 1,    0, 00</v>
      </c>
    </row>
    <row r="243" spans="1:1" x14ac:dyDescent="0.25">
      <c r="A243" s="16" t="str">
        <f ca="1">TEXT(Regen!A243,"000\,")&amp;TEXT(Regen!B243,"?00000000")&amp;TEXT(Regen!C243,""",""?0")&amp;SUBSTITUTE(TEXT(Regen!D243,""",""????0;"",""???-0;"",""????0;"", ////"""),"'","""")&amp;SUBSTITUTE(TEXT(Regen!E243,""",""?00;"",""?-00;"",""?00;"", //"""),"'","""")</f>
        <v>073, 19450830, 1,    0, 00</v>
      </c>
    </row>
    <row r="244" spans="1:1" x14ac:dyDescent="0.25">
      <c r="A244" s="16" t="str">
        <f ca="1">TEXT(Regen!A244,"000\,")&amp;TEXT(Regen!B244,"?00000000")&amp;TEXT(Regen!C244,""",""?0")&amp;SUBSTITUTE(TEXT(Regen!D244,""",""????0;"",""???-0;"",""????0;"", ////"""),"'","""")&amp;SUBSTITUTE(TEXT(Regen!E244,""",""?00;"",""?-00;"",""?00;"", //"""),"'","""")</f>
        <v>073, 19450831, 1,    0, 00</v>
      </c>
    </row>
    <row r="245" spans="1:1" x14ac:dyDescent="0.25">
      <c r="A245" s="16" t="str">
        <f ca="1">TEXT(Regen!A245,"000\,")&amp;TEXT(Regen!B245,"?00000000")&amp;TEXT(Regen!C245,""",""?0")&amp;SUBSTITUTE(TEXT(Regen!D245,""",""????0;"",""???-0;"",""????0;"", ////"""),"'","""")&amp;SUBSTITUTE(TEXT(Regen!E245,""",""?00;"",""?-00;"",""?00;"", //"""),"'","""")</f>
        <v>073, 19450901, 1,    0, 00</v>
      </c>
    </row>
    <row r="246" spans="1:1" x14ac:dyDescent="0.25">
      <c r="A246" s="16" t="str">
        <f ca="1">TEXT(Regen!A246,"000\,")&amp;TEXT(Regen!B246,"?00000000")&amp;TEXT(Regen!C246,""",""?0")&amp;SUBSTITUTE(TEXT(Regen!D246,""",""????0;"",""???-0;"",""????0;"", ////"""),"'","""")&amp;SUBSTITUTE(TEXT(Regen!E246,""",""?00;"",""?-00;"",""?00;"", //"""),"'","""")</f>
        <v>073, 19450902, 1,    0, 00</v>
      </c>
    </row>
    <row r="247" spans="1:1" x14ac:dyDescent="0.25">
      <c r="A247" s="16" t="str">
        <f ca="1">TEXT(Regen!A247,"000\,")&amp;TEXT(Regen!B247,"?00000000")&amp;TEXT(Regen!C247,""",""?0")&amp;SUBSTITUTE(TEXT(Regen!D247,""",""????0;"",""???-0;"",""????0;"", ////"""),"'","""")&amp;SUBSTITUTE(TEXT(Regen!E247,""",""?00;"",""?-00;"",""?00;"", //"""),"'","""")</f>
        <v>073, 19450903, 1,    0, 00</v>
      </c>
    </row>
    <row r="248" spans="1:1" x14ac:dyDescent="0.25">
      <c r="A248" s="16" t="str">
        <f ca="1">TEXT(Regen!A248,"000\,")&amp;TEXT(Regen!B248,"?00000000")&amp;TEXT(Regen!C248,""",""?0")&amp;SUBSTITUTE(TEXT(Regen!D248,""",""????0;"",""???-0;"",""????0;"", ////"""),"'","""")&amp;SUBSTITUTE(TEXT(Regen!E248,""",""?00;"",""?-00;"",""?00;"", //"""),"'","""")</f>
        <v>073, 19450904, 1,   52, 00</v>
      </c>
    </row>
    <row r="249" spans="1:1" x14ac:dyDescent="0.25">
      <c r="A249" s="16" t="str">
        <f ca="1">TEXT(Regen!A249,"000\,")&amp;TEXT(Regen!B249,"?00000000")&amp;TEXT(Regen!C249,""",""?0")&amp;SUBSTITUTE(TEXT(Regen!D249,""",""????0;"",""???-0;"",""????0;"", ////"""),"'","""")&amp;SUBSTITUTE(TEXT(Regen!E249,""",""?00;"",""?-00;"",""?00;"", //"""),"'","""")</f>
        <v>073, 19450905, 1,   48, 00</v>
      </c>
    </row>
    <row r="250" spans="1:1" x14ac:dyDescent="0.25">
      <c r="A250" s="16" t="str">
        <f ca="1">TEXT(Regen!A250,"000\,")&amp;TEXT(Regen!B250,"?00000000")&amp;TEXT(Regen!C250,""",""?0")&amp;SUBSTITUTE(TEXT(Regen!D250,""",""????0;"",""???-0;"",""????0;"", ////"""),"'","""")&amp;SUBSTITUTE(TEXT(Regen!E250,""",""?00;"",""?-00;"",""?00;"", //"""),"'","""")</f>
        <v>073, 19450906, 1,   10, 00</v>
      </c>
    </row>
    <row r="251" spans="1:1" x14ac:dyDescent="0.25">
      <c r="A251" s="16" t="str">
        <f ca="1">TEXT(Regen!A251,"000\,")&amp;TEXT(Regen!B251,"?00000000")&amp;TEXT(Regen!C251,""",""?0")&amp;SUBSTITUTE(TEXT(Regen!D251,""",""????0;"",""???-0;"",""????0;"", ////"""),"'","""")&amp;SUBSTITUTE(TEXT(Regen!E251,""",""?00;"",""?-00;"",""?00;"", //"""),"'","""")</f>
        <v>073, 19450907, 1,    0, 00</v>
      </c>
    </row>
    <row r="252" spans="1:1" x14ac:dyDescent="0.25">
      <c r="A252" s="16" t="str">
        <f ca="1">TEXT(Regen!A252,"000\,")&amp;TEXT(Regen!B252,"?00000000")&amp;TEXT(Regen!C252,""",""?0")&amp;SUBSTITUTE(TEXT(Regen!D252,""",""????0;"",""???-0;"",""????0;"", ////"""),"'","""")&amp;SUBSTITUTE(TEXT(Regen!E252,""",""?00;"",""?-00;"",""?00;"", //"""),"'","""")</f>
        <v>073, 19450908, 1,    0, 00</v>
      </c>
    </row>
    <row r="253" spans="1:1" x14ac:dyDescent="0.25">
      <c r="A253" s="16" t="str">
        <f ca="1">TEXT(Regen!A253,"000\,")&amp;TEXT(Regen!B253,"?00000000")&amp;TEXT(Regen!C253,""",""?0")&amp;SUBSTITUTE(TEXT(Regen!D253,""",""????0;"",""???-0;"",""????0;"", ////"""),"'","""")&amp;SUBSTITUTE(TEXT(Regen!E253,""",""?00;"",""?-00;"",""?00;"", //"""),"'","""")</f>
        <v>073, 19450909, 1,    0, 00</v>
      </c>
    </row>
    <row r="254" spans="1:1" x14ac:dyDescent="0.25">
      <c r="A254" s="16" t="str">
        <f ca="1">TEXT(Regen!A254,"000\,")&amp;TEXT(Regen!B254,"?00000000")&amp;TEXT(Regen!C254,""",""?0")&amp;SUBSTITUTE(TEXT(Regen!D254,""",""????0;"",""???-0;"",""????0;"", ////"""),"'","""")&amp;SUBSTITUTE(TEXT(Regen!E254,""",""?00;"",""?-00;"",""?00;"", //"""),"'","""")</f>
        <v>073, 19450910, 1,    0, 00</v>
      </c>
    </row>
    <row r="255" spans="1:1" x14ac:dyDescent="0.25">
      <c r="A255" s="16" t="str">
        <f ca="1">TEXT(Regen!A255,"000\,")&amp;TEXT(Regen!B255,"?00000000")&amp;TEXT(Regen!C255,""",""?0")&amp;SUBSTITUTE(TEXT(Regen!D255,""",""????0;"",""???-0;"",""????0;"", ////"""),"'","""")&amp;SUBSTITUTE(TEXT(Regen!E255,""",""?00;"",""?-00;"",""?00;"", //"""),"'","""")</f>
        <v>073, 19450911, 1,    0, 00</v>
      </c>
    </row>
    <row r="256" spans="1:1" x14ac:dyDescent="0.25">
      <c r="A256" s="16" t="str">
        <f ca="1">TEXT(Regen!A256,"000\,")&amp;TEXT(Regen!B256,"?00000000")&amp;TEXT(Regen!C256,""",""?0")&amp;SUBSTITUTE(TEXT(Regen!D256,""",""????0;"",""???-0;"",""????0;"", ////"""),"'","""")&amp;SUBSTITUTE(TEXT(Regen!E256,""",""?00;"",""?-00;"",""?00;"", //"""),"'","""")</f>
        <v>073, 19450912, 1,  153, 00</v>
      </c>
    </row>
    <row r="257" spans="1:1" x14ac:dyDescent="0.25">
      <c r="A257" s="16" t="str">
        <f ca="1">TEXT(Regen!A257,"000\,")&amp;TEXT(Regen!B257,"?00000000")&amp;TEXT(Regen!C257,""",""?0")&amp;SUBSTITUTE(TEXT(Regen!D257,""",""????0;"",""???-0;"",""????0;"", ////"""),"'","""")&amp;SUBSTITUTE(TEXT(Regen!E257,""",""?00;"",""?-00;"",""?00;"", //"""),"'","""")</f>
        <v>073, 19450913, 1,    0, 00</v>
      </c>
    </row>
    <row r="258" spans="1:1" x14ac:dyDescent="0.25">
      <c r="A258" s="16" t="str">
        <f ca="1">TEXT(Regen!A258,"000\,")&amp;TEXT(Regen!B258,"?00000000")&amp;TEXT(Regen!C258,""",""?0")&amp;SUBSTITUTE(TEXT(Regen!D258,""",""????0;"",""???-0;"",""????0;"", ////"""),"'","""")&amp;SUBSTITUTE(TEXT(Regen!E258,""",""?00;"",""?-00;"",""?00;"", //"""),"'","""")</f>
        <v>073, 19450914, 1,   59, 00</v>
      </c>
    </row>
    <row r="259" spans="1:1" x14ac:dyDescent="0.25">
      <c r="A259" s="16" t="str">
        <f ca="1">TEXT(Regen!A259,"000\,")&amp;TEXT(Regen!B259,"?00000000")&amp;TEXT(Regen!C259,""",""?0")&amp;SUBSTITUTE(TEXT(Regen!D259,""",""????0;"",""???-0;"",""????0;"", ////"""),"'","""")&amp;SUBSTITUTE(TEXT(Regen!E259,""",""?00;"",""?-00;"",""?00;"", //"""),"'","""")</f>
        <v>073, 19450915, 1,  113, 00</v>
      </c>
    </row>
    <row r="260" spans="1:1" x14ac:dyDescent="0.25">
      <c r="A260" s="16" t="str">
        <f ca="1">TEXT(Regen!A260,"000\,")&amp;TEXT(Regen!B260,"?00000000")&amp;TEXT(Regen!C260,""",""?0")&amp;SUBSTITUTE(TEXT(Regen!D260,""",""????0;"",""???-0;"",""????0;"", ////"""),"'","""")&amp;SUBSTITUTE(TEXT(Regen!E260,""",""?00;"",""?-00;"",""?00;"", //"""),"'","""")</f>
        <v>073, 19450916, 1,  265, 00</v>
      </c>
    </row>
    <row r="261" spans="1:1" x14ac:dyDescent="0.25">
      <c r="A261" s="16" t="str">
        <f ca="1">TEXT(Regen!A261,"000\,")&amp;TEXT(Regen!B261,"?00000000")&amp;TEXT(Regen!C261,""",""?0")&amp;SUBSTITUTE(TEXT(Regen!D261,""",""????0;"",""???-0;"",""????0;"", ////"""),"'","""")&amp;SUBSTITUTE(TEXT(Regen!E261,""",""?00;"",""?-00;"",""?00;"", //"""),"'","""")</f>
        <v>073, 19450917, 1,  270, 00</v>
      </c>
    </row>
    <row r="262" spans="1:1" x14ac:dyDescent="0.25">
      <c r="A262" s="16" t="str">
        <f ca="1">TEXT(Regen!A262,"000\,")&amp;TEXT(Regen!B262,"?00000000")&amp;TEXT(Regen!C262,""",""?0")&amp;SUBSTITUTE(TEXT(Regen!D262,""",""????0;"",""???-0;"",""????0;"", ////"""),"'","""")&amp;SUBSTITUTE(TEXT(Regen!E262,""",""?00;"",""?-00;"",""?00;"", //"""),"'","""")</f>
        <v>073, 19450918, 1,    0, 00</v>
      </c>
    </row>
    <row r="263" spans="1:1" x14ac:dyDescent="0.25">
      <c r="A263" s="16" t="str">
        <f ca="1">TEXT(Regen!A263,"000\,")&amp;TEXT(Regen!B263,"?00000000")&amp;TEXT(Regen!C263,""",""?0")&amp;SUBSTITUTE(TEXT(Regen!D263,""",""????0;"",""???-0;"",""????0;"", ////"""),"'","""")&amp;SUBSTITUTE(TEXT(Regen!E263,""",""?00;"",""?-00;"",""?00;"", //"""),"'","""")</f>
        <v>073, 19450919, 1,    0, 00</v>
      </c>
    </row>
    <row r="264" spans="1:1" x14ac:dyDescent="0.25">
      <c r="A264" s="16" t="str">
        <f ca="1">TEXT(Regen!A264,"000\,")&amp;TEXT(Regen!B264,"?00000000")&amp;TEXT(Regen!C264,""",""?0")&amp;SUBSTITUTE(TEXT(Regen!D264,""",""????0;"",""???-0;"",""????0;"", ////"""),"'","""")&amp;SUBSTITUTE(TEXT(Regen!E264,""",""?00;"",""?-00;"",""?00;"", //"""),"'","""")</f>
        <v>073, 19450920, 1,   78, 00</v>
      </c>
    </row>
    <row r="265" spans="1:1" x14ac:dyDescent="0.25">
      <c r="A265" s="16" t="str">
        <f ca="1">TEXT(Regen!A265,"000\,")&amp;TEXT(Regen!B265,"?00000000")&amp;TEXT(Regen!C265,""",""?0")&amp;SUBSTITUTE(TEXT(Regen!D265,""",""????0;"",""???-0;"",""????0;"", ////"""),"'","""")&amp;SUBSTITUTE(TEXT(Regen!E265,""",""?00;"",""?-00;"",""?00;"", //"""),"'","""")</f>
        <v>073, 19450921, 1,  225, 00</v>
      </c>
    </row>
    <row r="266" spans="1:1" x14ac:dyDescent="0.25">
      <c r="A266" s="16" t="str">
        <f ca="1">TEXT(Regen!A266,"000\,")&amp;TEXT(Regen!B266,"?00000000")&amp;TEXT(Regen!C266,""",""?0")&amp;SUBSTITUTE(TEXT(Regen!D266,""",""????0;"",""???-0;"",""????0;"", ////"""),"'","""")&amp;SUBSTITUTE(TEXT(Regen!E266,""",""?00;"",""?-00;"",""?00;"", //"""),"'","""")</f>
        <v>073, 19450922, 1,    0, 00</v>
      </c>
    </row>
    <row r="267" spans="1:1" x14ac:dyDescent="0.25">
      <c r="A267" s="16" t="str">
        <f ca="1">TEXT(Regen!A267,"000\,")&amp;TEXT(Regen!B267,"?00000000")&amp;TEXT(Regen!C267,""",""?0")&amp;SUBSTITUTE(TEXT(Regen!D267,""",""????0;"",""???-0;"",""????0;"", ////"""),"'","""")&amp;SUBSTITUTE(TEXT(Regen!E267,""",""?00;"",""?-00;"",""?00;"", //"""),"'","""")</f>
        <v>073, 19450923, 1,  198, 00</v>
      </c>
    </row>
    <row r="268" spans="1:1" x14ac:dyDescent="0.25">
      <c r="A268" s="16" t="str">
        <f ca="1">TEXT(Regen!A268,"000\,")&amp;TEXT(Regen!B268,"?00000000")&amp;TEXT(Regen!C268,""",""?0")&amp;SUBSTITUTE(TEXT(Regen!D268,""",""????0;"",""???-0;"",""????0;"", ////"""),"'","""")&amp;SUBSTITUTE(TEXT(Regen!E268,""",""?00;"",""?-00;"",""?00;"", //"""),"'","""")</f>
        <v>073, 19450924, 1,    0, 00</v>
      </c>
    </row>
    <row r="269" spans="1:1" x14ac:dyDescent="0.25">
      <c r="A269" s="16" t="str">
        <f ca="1">TEXT(Regen!A269,"000\,")&amp;TEXT(Regen!B269,"?00000000")&amp;TEXT(Regen!C269,""",""?0")&amp;SUBSTITUTE(TEXT(Regen!D269,""",""????0;"",""???-0;"",""????0;"", ////"""),"'","""")&amp;SUBSTITUTE(TEXT(Regen!E269,""",""?00;"",""?-00;"",""?00;"", //"""),"'","""")</f>
        <v>073, 19450925, 1,    0, 00</v>
      </c>
    </row>
    <row r="270" spans="1:1" x14ac:dyDescent="0.25">
      <c r="A270" s="16" t="str">
        <f ca="1">TEXT(Regen!A270,"000\,")&amp;TEXT(Regen!B270,"?00000000")&amp;TEXT(Regen!C270,""",""?0")&amp;SUBSTITUTE(TEXT(Regen!D270,""",""????0;"",""???-0;"",""????0;"", ////"""),"'","""")&amp;SUBSTITUTE(TEXT(Regen!E270,""",""?00;"",""?-00;"",""?00;"", //"""),"'","""")</f>
        <v>073, 19450926, 1,  108, 00</v>
      </c>
    </row>
    <row r="271" spans="1:1" x14ac:dyDescent="0.25">
      <c r="A271" s="16" t="str">
        <f ca="1">TEXT(Regen!A271,"000\,")&amp;TEXT(Regen!B271,"?00000000")&amp;TEXT(Regen!C271,""",""?0")&amp;SUBSTITUTE(TEXT(Regen!D271,""",""????0;"",""???-0;"",""????0;"", ////"""),"'","""")&amp;SUBSTITUTE(TEXT(Regen!E271,""",""?00;"",""?-00;"",""?00;"", //"""),"'","""")</f>
        <v>073, 19450927, 1,   28, 00</v>
      </c>
    </row>
    <row r="272" spans="1:1" x14ac:dyDescent="0.25">
      <c r="A272" s="16" t="str">
        <f ca="1">TEXT(Regen!A272,"000\,")&amp;TEXT(Regen!B272,"?00000000")&amp;TEXT(Regen!C272,""",""?0")&amp;SUBSTITUTE(TEXT(Regen!D272,""",""????0;"",""???-0;"",""????0;"", ////"""),"'","""")&amp;SUBSTITUTE(TEXT(Regen!E272,""",""?00;"",""?-00;"",""?00;"", //"""),"'","""")</f>
        <v>073, 19450928, 1,    0, 00</v>
      </c>
    </row>
    <row r="273" spans="1:1" x14ac:dyDescent="0.25">
      <c r="A273" s="16" t="str">
        <f ca="1">TEXT(Regen!A273,"000\,")&amp;TEXT(Regen!B273,"?00000000")&amp;TEXT(Regen!C273,""",""?0")&amp;SUBSTITUTE(TEXT(Regen!D273,""",""????0;"",""???-0;"",""????0;"", ////"""),"'","""")&amp;SUBSTITUTE(TEXT(Regen!E273,""",""?00;"",""?-00;"",""?00;"", //"""),"'","""")</f>
        <v>073, 19450929, 1,    0, 00</v>
      </c>
    </row>
    <row r="274" spans="1:1" x14ac:dyDescent="0.25">
      <c r="A274" s="16" t="str">
        <f ca="1">TEXT(Regen!A274,"000\,")&amp;TEXT(Regen!B274,"?00000000")&amp;TEXT(Regen!C274,""",""?0")&amp;SUBSTITUTE(TEXT(Regen!D274,""",""????0;"",""???-0;"",""????0;"", ////"""),"'","""")&amp;SUBSTITUTE(TEXT(Regen!E274,""",""?00;"",""?-00;"",""?00;"", //"""),"'","""")</f>
        <v>073, 19450930, 1,    0, 00</v>
      </c>
    </row>
    <row r="275" spans="1:1" x14ac:dyDescent="0.25">
      <c r="A275" s="16" t="str">
        <f ca="1">TEXT(Regen!A275,"000\,")&amp;TEXT(Regen!B275,"?00000000")&amp;TEXT(Regen!C275,""",""?0")&amp;SUBSTITUTE(TEXT(Regen!D275,""",""????0;"",""???-0;"",""????0;"", ////"""),"'","""")&amp;SUBSTITUTE(TEXT(Regen!E275,""",""?00;"",""?-00;"",""?00;"", //"""),"'","""")</f>
        <v>073, 19451001, 1,    0, 00</v>
      </c>
    </row>
    <row r="276" spans="1:1" x14ac:dyDescent="0.25">
      <c r="A276" s="16" t="str">
        <f ca="1">TEXT(Regen!A276,"000\,")&amp;TEXT(Regen!B276,"?00000000")&amp;TEXT(Regen!C276,""",""?0")&amp;SUBSTITUTE(TEXT(Regen!D276,""",""????0;"",""???-0;"",""????0;"", ////"""),"'","""")&amp;SUBSTITUTE(TEXT(Regen!E276,""",""?00;"",""?-00;"",""?00;"", //"""),"'","""")</f>
        <v>073, 19451002, 1,   63, 00</v>
      </c>
    </row>
    <row r="277" spans="1:1" x14ac:dyDescent="0.25">
      <c r="A277" s="16" t="str">
        <f ca="1">TEXT(Regen!A277,"000\,")&amp;TEXT(Regen!B277,"?00000000")&amp;TEXT(Regen!C277,""",""?0")&amp;SUBSTITUTE(TEXT(Regen!D277,""",""????0;"",""???-0;"",""????0;"", ////"""),"'","""")&amp;SUBSTITUTE(TEXT(Regen!E277,""",""?00;"",""?-00;"",""?00;"", //"""),"'","""")</f>
        <v>073, 19451003, 1,  151, 00</v>
      </c>
    </row>
    <row r="278" spans="1:1" x14ac:dyDescent="0.25">
      <c r="A278" s="16" t="str">
        <f ca="1">TEXT(Regen!A278,"000\,")&amp;TEXT(Regen!B278,"?00000000")&amp;TEXT(Regen!C278,""",""?0")&amp;SUBSTITUTE(TEXT(Regen!D278,""",""????0;"",""???-0;"",""????0;"", ////"""),"'","""")&amp;SUBSTITUTE(TEXT(Regen!E278,""",""?00;"",""?-00;"",""?00;"", //"""),"'","""")</f>
        <v>073, 19451004, 1,   18, 00</v>
      </c>
    </row>
    <row r="279" spans="1:1" x14ac:dyDescent="0.25">
      <c r="A279" s="16" t="str">
        <f ca="1">TEXT(Regen!A279,"000\,")&amp;TEXT(Regen!B279,"?00000000")&amp;TEXT(Regen!C279,""",""?0")&amp;SUBSTITUTE(TEXT(Regen!D279,""",""????0;"",""???-0;"",""????0;"", ////"""),"'","""")&amp;SUBSTITUTE(TEXT(Regen!E279,""",""?00;"",""?-00;"",""?00;"", //"""),"'","""")</f>
        <v>073, 19451005, 1,  614, 00</v>
      </c>
    </row>
    <row r="280" spans="1:1" x14ac:dyDescent="0.25">
      <c r="A280" s="16" t="str">
        <f ca="1">TEXT(Regen!A280,"000\,")&amp;TEXT(Regen!B280,"?00000000")&amp;TEXT(Regen!C280,""",""?0")&amp;SUBSTITUTE(TEXT(Regen!D280,""",""????0;"",""???-0;"",""????0;"", ////"""),"'","""")&amp;SUBSTITUTE(TEXT(Regen!E280,""",""?00;"",""?-00;"",""?00;"", //"""),"'","""")</f>
        <v>073, 19451006, 1,    0, 00</v>
      </c>
    </row>
    <row r="281" spans="1:1" x14ac:dyDescent="0.25">
      <c r="A281" s="16" t="str">
        <f ca="1">TEXT(Regen!A281,"000\,")&amp;TEXT(Regen!B281,"?00000000")&amp;TEXT(Regen!C281,""",""?0")&amp;SUBSTITUTE(TEXT(Regen!D281,""",""????0;"",""???-0;"",""????0;"", ////"""),"'","""")&amp;SUBSTITUTE(TEXT(Regen!E281,""",""?00;"",""?-00;"",""?00;"", //"""),"'","""")</f>
        <v>073, 19451007, 1,    0, 00</v>
      </c>
    </row>
    <row r="282" spans="1:1" x14ac:dyDescent="0.25">
      <c r="A282" s="16" t="str">
        <f ca="1">TEXT(Regen!A282,"000\,")&amp;TEXT(Regen!B282,"?00000000")&amp;TEXT(Regen!C282,""",""?0")&amp;SUBSTITUTE(TEXT(Regen!D282,""",""????0;"",""???-0;"",""????0;"", ////"""),"'","""")&amp;SUBSTITUTE(TEXT(Regen!E282,""",""?00;"",""?-00;"",""?00;"", //"""),"'","""")</f>
        <v>073, 19451008, 1,   27, 00</v>
      </c>
    </row>
    <row r="283" spans="1:1" x14ac:dyDescent="0.25">
      <c r="A283" s="16" t="str">
        <f ca="1">TEXT(Regen!A283,"000\,")&amp;TEXT(Regen!B283,"?00000000")&amp;TEXT(Regen!C283,""",""?0")&amp;SUBSTITUTE(TEXT(Regen!D283,""",""????0;"",""???-0;"",""????0;"", ////"""),"'","""")&amp;SUBSTITUTE(TEXT(Regen!E283,""",""?00;"",""?-00;"",""?00;"", //"""),"'","""")</f>
        <v>073, 19451009, 1,    0, 00</v>
      </c>
    </row>
    <row r="284" spans="1:1" x14ac:dyDescent="0.25">
      <c r="A284" s="16" t="str">
        <f ca="1">TEXT(Regen!A284,"000\,")&amp;TEXT(Regen!B284,"?00000000")&amp;TEXT(Regen!C284,""",""?0")&amp;SUBSTITUTE(TEXT(Regen!D284,""",""????0;"",""???-0;"",""????0;"", ////"""),"'","""")&amp;SUBSTITUTE(TEXT(Regen!E284,""",""?00;"",""?-00;"",""?00;"", //"""),"'","""")</f>
        <v>073, 19451010, 1,    0, 00</v>
      </c>
    </row>
    <row r="285" spans="1:1" x14ac:dyDescent="0.25">
      <c r="A285" s="16" t="str">
        <f ca="1">TEXT(Regen!A285,"000\,")&amp;TEXT(Regen!B285,"?00000000")&amp;TEXT(Regen!C285,""",""?0")&amp;SUBSTITUTE(TEXT(Regen!D285,""",""????0;"",""???-0;"",""????0;"", ////"""),"'","""")&amp;SUBSTITUTE(TEXT(Regen!E285,""",""?00;"",""?-00;"",""?00;"", //"""),"'","""")</f>
        <v>073, 19451011, 1,   32, 00</v>
      </c>
    </row>
    <row r="286" spans="1:1" x14ac:dyDescent="0.25">
      <c r="A286" s="16" t="str">
        <f ca="1">TEXT(Regen!A286,"000\,")&amp;TEXT(Regen!B286,"?00000000")&amp;TEXT(Regen!C286,""",""?0")&amp;SUBSTITUTE(TEXT(Regen!D286,""",""????0;"",""???-0;"",""????0;"", ////"""),"'","""")&amp;SUBSTITUTE(TEXT(Regen!E286,""",""?00;"",""?-00;"",""?00;"", //"""),"'","""")</f>
        <v>073, 19451012, 1,    0, 00</v>
      </c>
    </row>
    <row r="287" spans="1:1" x14ac:dyDescent="0.25">
      <c r="A287" s="16" t="str">
        <f ca="1">TEXT(Regen!A287,"000\,")&amp;TEXT(Regen!B287,"?00000000")&amp;TEXT(Regen!C287,""",""?0")&amp;SUBSTITUTE(TEXT(Regen!D287,""",""????0;"",""???-0;"",""????0;"", ////"""),"'","""")&amp;SUBSTITUTE(TEXT(Regen!E287,""",""?00;"",""?-00;"",""?00;"", //"""),"'","""")</f>
        <v>073, 19451013, 1,    0, 00</v>
      </c>
    </row>
    <row r="288" spans="1:1" x14ac:dyDescent="0.25">
      <c r="A288" s="16" t="str">
        <f ca="1">TEXT(Regen!A288,"000\,")&amp;TEXT(Regen!B288,"?00000000")&amp;TEXT(Regen!C288,""",""?0")&amp;SUBSTITUTE(TEXT(Regen!D288,""",""????0;"",""???-0;"",""????0;"", ////"""),"'","""")&amp;SUBSTITUTE(TEXT(Regen!E288,""",""?00;"",""?-00;"",""?00;"", //"""),"'","""")</f>
        <v>073, 19451014, 1,    0, 00</v>
      </c>
    </row>
    <row r="289" spans="1:1" x14ac:dyDescent="0.25">
      <c r="A289" s="16" t="str">
        <f ca="1">TEXT(Regen!A289,"000\,")&amp;TEXT(Regen!B289,"?00000000")&amp;TEXT(Regen!C289,""",""?0")&amp;SUBSTITUTE(TEXT(Regen!D289,""",""????0;"",""???-0;"",""????0;"", ////"""),"'","""")&amp;SUBSTITUTE(TEXT(Regen!E289,""",""?00;"",""?-00;"",""?00;"", //"""),"'","""")</f>
        <v>073, 19451015, 1,    0, 00</v>
      </c>
    </row>
    <row r="290" spans="1:1" x14ac:dyDescent="0.25">
      <c r="A290" s="16" t="str">
        <f ca="1">TEXT(Regen!A290,"000\,")&amp;TEXT(Regen!B290,"?00000000")&amp;TEXT(Regen!C290,""",""?0")&amp;SUBSTITUTE(TEXT(Regen!D290,""",""????0;"",""???-0;"",""????0;"", ////"""),"'","""")&amp;SUBSTITUTE(TEXT(Regen!E290,""",""?00;"",""?-00;"",""?00;"", //"""),"'","""")</f>
        <v>073, 19451016, 1,    0, 00</v>
      </c>
    </row>
    <row r="291" spans="1:1" x14ac:dyDescent="0.25">
      <c r="A291" s="16" t="str">
        <f ca="1">TEXT(Regen!A291,"000\,")&amp;TEXT(Regen!B291,"?00000000")&amp;TEXT(Regen!C291,""",""?0")&amp;SUBSTITUTE(TEXT(Regen!D291,""",""????0;"",""???-0;"",""????0;"", ////"""),"'","""")&amp;SUBSTITUTE(TEXT(Regen!E291,""",""?00;"",""?-00;"",""?00;"", //"""),"'","""")</f>
        <v>073, 19451017, 1,   41, 00</v>
      </c>
    </row>
    <row r="292" spans="1:1" x14ac:dyDescent="0.25">
      <c r="A292" s="16" t="str">
        <f ca="1">TEXT(Regen!A292,"000\,")&amp;TEXT(Regen!B292,"?00000000")&amp;TEXT(Regen!C292,""",""?0")&amp;SUBSTITUTE(TEXT(Regen!D292,""",""????0;"",""???-0;"",""????0;"", ////"""),"'","""")&amp;SUBSTITUTE(TEXT(Regen!E292,""",""?00;"",""?-00;"",""?00;"", //"""),"'","""")</f>
        <v>073, 19451018, 1,   38, 00</v>
      </c>
    </row>
    <row r="293" spans="1:1" x14ac:dyDescent="0.25">
      <c r="A293" s="16" t="str">
        <f ca="1">TEXT(Regen!A293,"000\,")&amp;TEXT(Regen!B293,"?00000000")&amp;TEXT(Regen!C293,""",""?0")&amp;SUBSTITUTE(TEXT(Regen!D293,""",""????0;"",""???-0;"",""????0;"", ////"""),"'","""")&amp;SUBSTITUTE(TEXT(Regen!E293,""",""?00;"",""?-00;"",""?00;"", //"""),"'","""")</f>
        <v>073, 19451019, 1,    0, 00</v>
      </c>
    </row>
    <row r="294" spans="1:1" x14ac:dyDescent="0.25">
      <c r="A294" s="16" t="str">
        <f ca="1">TEXT(Regen!A294,"000\,")&amp;TEXT(Regen!B294,"?00000000")&amp;TEXT(Regen!C294,""",""?0")&amp;SUBSTITUTE(TEXT(Regen!D294,""",""????0;"",""???-0;"",""????0;"", ////"""),"'","""")&amp;SUBSTITUTE(TEXT(Regen!E294,""",""?00;"",""?-00;"",""?00;"", //"""),"'","""")</f>
        <v>073, 19451020, 1,    0, 00</v>
      </c>
    </row>
    <row r="295" spans="1:1" x14ac:dyDescent="0.25">
      <c r="A295" s="16" t="str">
        <f ca="1">TEXT(Regen!A295,"000\,")&amp;TEXT(Regen!B295,"?00000000")&amp;TEXT(Regen!C295,""",""?0")&amp;SUBSTITUTE(TEXT(Regen!D295,""",""????0;"",""???-0;"",""????0;"", ////"""),"'","""")&amp;SUBSTITUTE(TEXT(Regen!E295,""",""?00;"",""?-00;"",""?00;"", //"""),"'","""")</f>
        <v>073, 19451021, 1,   32, 00</v>
      </c>
    </row>
    <row r="296" spans="1:1" x14ac:dyDescent="0.25">
      <c r="A296" s="16" t="str">
        <f ca="1">TEXT(Regen!A296,"000\,")&amp;TEXT(Regen!B296,"?00000000")&amp;TEXT(Regen!C296,""",""?0")&amp;SUBSTITUTE(TEXT(Regen!D296,""",""????0;"",""???-0;"",""????0;"", ////"""),"'","""")&amp;SUBSTITUTE(TEXT(Regen!E296,""",""?00;"",""?-00;"",""?00;"", //"""),"'","""")</f>
        <v>073, 19451022, 1,    0, 00</v>
      </c>
    </row>
    <row r="297" spans="1:1" x14ac:dyDescent="0.25">
      <c r="A297" s="16" t="str">
        <f ca="1">TEXT(Regen!A297,"000\,")&amp;TEXT(Regen!B297,"?00000000")&amp;TEXT(Regen!C297,""",""?0")&amp;SUBSTITUTE(TEXT(Regen!D297,""",""????0;"",""???-0;"",""????0;"", ////"""),"'","""")&amp;SUBSTITUTE(TEXT(Regen!E297,""",""?00;"",""?-00;"",""?00;"", //"""),"'","""")</f>
        <v>073, 19451023, 1,    0, 00</v>
      </c>
    </row>
    <row r="298" spans="1:1" x14ac:dyDescent="0.25">
      <c r="A298" s="16" t="str">
        <f ca="1">TEXT(Regen!A298,"000\,")&amp;TEXT(Regen!B298,"?00000000")&amp;TEXT(Regen!C298,""",""?0")&amp;SUBSTITUTE(TEXT(Regen!D298,""",""????0;"",""???-0;"",""????0;"", ////"""),"'","""")&amp;SUBSTITUTE(TEXT(Regen!E298,""",""?00;"",""?-00;"",""?00;"", //"""),"'","""")</f>
        <v>073, 19451024, 1,    0, 00</v>
      </c>
    </row>
    <row r="299" spans="1:1" x14ac:dyDescent="0.25">
      <c r="A299" s="16" t="str">
        <f ca="1">TEXT(Regen!A299,"000\,")&amp;TEXT(Regen!B299,"?00000000")&amp;TEXT(Regen!C299,""",""?0")&amp;SUBSTITUTE(TEXT(Regen!D299,""",""????0;"",""???-0;"",""????0;"", ////"""),"'","""")&amp;SUBSTITUTE(TEXT(Regen!E299,""",""?00;"",""?-00;"",""?00;"", //"""),"'","""")</f>
        <v>073, 19451025, 1,   16, 00</v>
      </c>
    </row>
    <row r="300" spans="1:1" x14ac:dyDescent="0.25">
      <c r="A300" s="16" t="str">
        <f ca="1">TEXT(Regen!A300,"000\,")&amp;TEXT(Regen!B300,"?00000000")&amp;TEXT(Regen!C300,""",""?0")&amp;SUBSTITUTE(TEXT(Regen!D300,""",""????0;"",""???-0;"",""????0;"", ////"""),"'","""")&amp;SUBSTITUTE(TEXT(Regen!E300,""",""?00;"",""?-00;"",""?00;"", //"""),"'","""")</f>
        <v>073, 19451026, 1,  121, 00</v>
      </c>
    </row>
    <row r="301" spans="1:1" x14ac:dyDescent="0.25">
      <c r="A301" s="16" t="str">
        <f ca="1">TEXT(Regen!A301,"000\,")&amp;TEXT(Regen!B301,"?00000000")&amp;TEXT(Regen!C301,""",""?0")&amp;SUBSTITUTE(TEXT(Regen!D301,""",""????0;"",""???-0;"",""????0;"", ////"""),"'","""")&amp;SUBSTITUTE(TEXT(Regen!E301,""",""?00;"",""?-00;"",""?00;"", //"""),"'","""")</f>
        <v>073, 19451027, 1,    0, 00</v>
      </c>
    </row>
    <row r="302" spans="1:1" x14ac:dyDescent="0.25">
      <c r="A302" s="16" t="str">
        <f ca="1">TEXT(Regen!A302,"000\,")&amp;TEXT(Regen!B302,"?00000000")&amp;TEXT(Regen!C302,""",""?0")&amp;SUBSTITUTE(TEXT(Regen!D302,""",""????0;"",""???-0;"",""????0;"", ////"""),"'","""")&amp;SUBSTITUTE(TEXT(Regen!E302,""",""?00;"",""?-00;"",""?00;"", //"""),"'","""")</f>
        <v>073, 19451028, 1,   72, 00</v>
      </c>
    </row>
    <row r="303" spans="1:1" x14ac:dyDescent="0.25">
      <c r="A303" s="16" t="str">
        <f ca="1">TEXT(Regen!A303,"000\,")&amp;TEXT(Regen!B303,"?00000000")&amp;TEXT(Regen!C303,""",""?0")&amp;SUBSTITUTE(TEXT(Regen!D303,""",""????0;"",""???-0;"",""????0;"", ////"""),"'","""")&amp;SUBSTITUTE(TEXT(Regen!E303,""",""?00;"",""?-00;"",""?00;"", //"""),"'","""")</f>
        <v>073, 19451029, 1,    0, 00</v>
      </c>
    </row>
    <row r="304" spans="1:1" x14ac:dyDescent="0.25">
      <c r="A304" s="16" t="str">
        <f ca="1">TEXT(Regen!A304,"000\,")&amp;TEXT(Regen!B304,"?00000000")&amp;TEXT(Regen!C304,""",""?0")&amp;SUBSTITUTE(TEXT(Regen!D304,""",""????0;"",""???-0;"",""????0;"", ////"""),"'","""")&amp;SUBSTITUTE(TEXT(Regen!E304,""",""?00;"",""?-00;"",""?00;"", //"""),"'","""")</f>
        <v>073, 19451030, 1,    0, 00</v>
      </c>
    </row>
    <row r="305" spans="1:1" x14ac:dyDescent="0.25">
      <c r="A305" s="16" t="str">
        <f ca="1">TEXT(Regen!A305,"000\,")&amp;TEXT(Regen!B305,"?00000000")&amp;TEXT(Regen!C305,""",""?0")&amp;SUBSTITUTE(TEXT(Regen!D305,""",""????0;"",""???-0;"",""????0;"", ////"""),"'","""")&amp;SUBSTITUTE(TEXT(Regen!E305,""",""?00;"",""?-00;"",""?00;"", //"""),"'","""")</f>
        <v>073, 19451031, 1,   72, 00</v>
      </c>
    </row>
    <row r="306" spans="1:1" x14ac:dyDescent="0.25">
      <c r="A306" s="16" t="str">
        <f ca="1">TEXT(Regen!A306,"000\,")&amp;TEXT(Regen!B306,"?00000000")&amp;TEXT(Regen!C306,""",""?0")&amp;SUBSTITUTE(TEXT(Regen!D306,""",""????0;"",""???-0;"",""????0;"", ////"""),"'","""")&amp;SUBSTITUTE(TEXT(Regen!E306,""",""?00;"",""?-00;"",""?00;"", //"""),"'","""")</f>
        <v>073, 19451101, 1,    6, 00</v>
      </c>
    </row>
    <row r="307" spans="1:1" x14ac:dyDescent="0.25">
      <c r="A307" s="16" t="str">
        <f ca="1">TEXT(Regen!A307,"000\,")&amp;TEXT(Regen!B307,"?00000000")&amp;TEXT(Regen!C307,""",""?0")&amp;SUBSTITUTE(TEXT(Regen!D307,""",""????0;"",""???-0;"",""????0;"", ////"""),"'","""")&amp;SUBSTITUTE(TEXT(Regen!E307,""",""?00;"",""?-00;"",""?00;"", //"""),"'","""")</f>
        <v>073, 19451102, 1,    0, 00</v>
      </c>
    </row>
    <row r="308" spans="1:1" x14ac:dyDescent="0.25">
      <c r="A308" s="16" t="str">
        <f ca="1">TEXT(Regen!A308,"000\,")&amp;TEXT(Regen!B308,"?00000000")&amp;TEXT(Regen!C308,""",""?0")&amp;SUBSTITUTE(TEXT(Regen!D308,""",""????0;"",""???-0;"",""????0;"", ////"""),"'","""")&amp;SUBSTITUTE(TEXT(Regen!E308,""",""?00;"",""?-00;"",""?00;"", //"""),"'","""")</f>
        <v>073, 19451103, 1,  657, 00</v>
      </c>
    </row>
    <row r="309" spans="1:1" x14ac:dyDescent="0.25">
      <c r="A309" s="16" t="str">
        <f ca="1">TEXT(Regen!A309,"000\,")&amp;TEXT(Regen!B309,"?00000000")&amp;TEXT(Regen!C309,""",""?0")&amp;SUBSTITUTE(TEXT(Regen!D309,""",""????0;"",""???-0;"",""????0;"", ////"""),"'","""")&amp;SUBSTITUTE(TEXT(Regen!E309,""",""?00;"",""?-00;"",""?00;"", //"""),"'","""")</f>
        <v>073, 19451104, 1,  340, 00</v>
      </c>
    </row>
    <row r="310" spans="1:1" x14ac:dyDescent="0.25">
      <c r="A310" s="16" t="str">
        <f ca="1">TEXT(Regen!A310,"000\,")&amp;TEXT(Regen!B310,"?00000000")&amp;TEXT(Regen!C310,""",""?0")&amp;SUBSTITUTE(TEXT(Regen!D310,""",""????0;"",""???-0;"",""????0;"", ////"""),"'","""")&amp;SUBSTITUTE(TEXT(Regen!E310,""",""?00;"",""?-00;"",""?00;"", //"""),"'","""")</f>
        <v>073, 19451105, 1,   15, 00</v>
      </c>
    </row>
    <row r="311" spans="1:1" x14ac:dyDescent="0.25">
      <c r="A311" s="16" t="str">
        <f ca="1">TEXT(Regen!A311,"000\,")&amp;TEXT(Regen!B311,"?00000000")&amp;TEXT(Regen!C311,""",""?0")&amp;SUBSTITUTE(TEXT(Regen!D311,""",""????0;"",""???-0;"",""????0;"", ////"""),"'","""")&amp;SUBSTITUTE(TEXT(Regen!E311,""",""?00;"",""?-00;"",""?00;"", //"""),"'","""")</f>
        <v>073, 19451106, 1,   60, 00</v>
      </c>
    </row>
    <row r="312" spans="1:1" x14ac:dyDescent="0.25">
      <c r="A312" s="16" t="str">
        <f ca="1">TEXT(Regen!A312,"000\,")&amp;TEXT(Regen!B312,"?00000000")&amp;TEXT(Regen!C312,""",""?0")&amp;SUBSTITUTE(TEXT(Regen!D312,""",""????0;"",""???-0;"",""????0;"", ////"""),"'","""")&amp;SUBSTITUTE(TEXT(Regen!E312,""",""?00;"",""?-00;"",""?00;"", //"""),"'","""")</f>
        <v>073, 19451107, 1,   65, 00</v>
      </c>
    </row>
    <row r="313" spans="1:1" x14ac:dyDescent="0.25">
      <c r="A313" s="16" t="str">
        <f ca="1">TEXT(Regen!A313,"000\,")&amp;TEXT(Regen!B313,"?00000000")&amp;TEXT(Regen!C313,""",""?0")&amp;SUBSTITUTE(TEXT(Regen!D313,""",""????0;"",""???-0;"",""????0;"", ////"""),"'","""")&amp;SUBSTITUTE(TEXT(Regen!E313,""",""?00;"",""?-00;"",""?00;"", //"""),"'","""")</f>
        <v>073, 19451108, 1,    0, 00</v>
      </c>
    </row>
    <row r="314" spans="1:1" x14ac:dyDescent="0.25">
      <c r="A314" s="16" t="str">
        <f ca="1">TEXT(Regen!A314,"000\,")&amp;TEXT(Regen!B314,"?00000000")&amp;TEXT(Regen!C314,""",""?0")&amp;SUBSTITUTE(TEXT(Regen!D314,""",""????0;"",""???-0;"",""????0;"", ////"""),"'","""")&amp;SUBSTITUTE(TEXT(Regen!E314,""",""?00;"",""?-00;"",""?00;"", //"""),"'","""")</f>
        <v>073, 19451109, 1,    0, 00</v>
      </c>
    </row>
    <row r="315" spans="1:1" x14ac:dyDescent="0.25">
      <c r="A315" s="16" t="str">
        <f ca="1">TEXT(Regen!A315,"000\,")&amp;TEXT(Regen!B315,"?00000000")&amp;TEXT(Regen!C315,""",""?0")&amp;SUBSTITUTE(TEXT(Regen!D315,""",""????0;"",""???-0;"",""????0;"", ////"""),"'","""")&amp;SUBSTITUTE(TEXT(Regen!E315,""",""?00;"",""?-00;"",""?00;"", //"""),"'","""")</f>
        <v>073, 19451110, 1,    0, 00</v>
      </c>
    </row>
    <row r="316" spans="1:1" x14ac:dyDescent="0.25">
      <c r="A316" s="16" t="str">
        <f ca="1">TEXT(Regen!A316,"000\,")&amp;TEXT(Regen!B316,"?00000000")&amp;TEXT(Regen!C316,""",""?0")&amp;SUBSTITUTE(TEXT(Regen!D316,""",""????0;"",""???-0;"",""????0;"", ////"""),"'","""")&amp;SUBSTITUTE(TEXT(Regen!E316,""",""?00;"",""?-00;"",""?00;"", //"""),"'","""")</f>
        <v>073, 19451111, 1,    0, 00</v>
      </c>
    </row>
    <row r="317" spans="1:1" x14ac:dyDescent="0.25">
      <c r="A317" s="16" t="str">
        <f ca="1">TEXT(Regen!A317,"000\,")&amp;TEXT(Regen!B317,"?00000000")&amp;TEXT(Regen!C317,""",""?0")&amp;SUBSTITUTE(TEXT(Regen!D317,""",""????0;"",""???-0;"",""????0;"", ////"""),"'","""")&amp;SUBSTITUTE(TEXT(Regen!E317,""",""?00;"",""?-00;"",""?00;"", //"""),"'","""")</f>
        <v>073, 19451112, 1,    0, 00</v>
      </c>
    </row>
    <row r="318" spans="1:1" x14ac:dyDescent="0.25">
      <c r="A318" s="16" t="str">
        <f ca="1">TEXT(Regen!A318,"000\,")&amp;TEXT(Regen!B318,"?00000000")&amp;TEXT(Regen!C318,""",""?0")&amp;SUBSTITUTE(TEXT(Regen!D318,""",""????0;"",""???-0;"",""????0;"", ////"""),"'","""")&amp;SUBSTITUTE(TEXT(Regen!E318,""",""?00;"",""?-00;"",""?00;"", //"""),"'","""")</f>
        <v>073, 19451113, 1,    0, 00</v>
      </c>
    </row>
    <row r="319" spans="1:1" x14ac:dyDescent="0.25">
      <c r="A319" s="16" t="str">
        <f ca="1">TEXT(Regen!A319,"000\,")&amp;TEXT(Regen!B319,"?00000000")&amp;TEXT(Regen!C319,""",""?0")&amp;SUBSTITUTE(TEXT(Regen!D319,""",""????0;"",""???-0;"",""????0;"", ////"""),"'","""")&amp;SUBSTITUTE(TEXT(Regen!E319,""",""?00;"",""?-00;"",""?00;"", //"""),"'","""")</f>
        <v>073, 19451114, 1,    0, 00</v>
      </c>
    </row>
    <row r="320" spans="1:1" x14ac:dyDescent="0.25">
      <c r="A320" s="16" t="str">
        <f ca="1">TEXT(Regen!A320,"000\,")&amp;TEXT(Regen!B320,"?00000000")&amp;TEXT(Regen!C320,""",""?0")&amp;SUBSTITUTE(TEXT(Regen!D320,""",""????0;"",""???-0;"",""????0;"", ////"""),"'","""")&amp;SUBSTITUTE(TEXT(Regen!E320,""",""?00;"",""?-00;"",""?00;"", //"""),"'","""")</f>
        <v>073, 19451115, 1,    0, 00</v>
      </c>
    </row>
    <row r="321" spans="1:1" x14ac:dyDescent="0.25">
      <c r="A321" s="16" t="str">
        <f ca="1">TEXT(Regen!A321,"000\,")&amp;TEXT(Regen!B321,"?00000000")&amp;TEXT(Regen!C321,""",""?0")&amp;SUBSTITUTE(TEXT(Regen!D321,""",""????0;"",""???-0;"",""????0;"", ////"""),"'","""")&amp;SUBSTITUTE(TEXT(Regen!E321,""",""?00;"",""?-00;"",""?00;"", //"""),"'","""")</f>
        <v>073, 19451116, 1,   14, 00</v>
      </c>
    </row>
    <row r="322" spans="1:1" x14ac:dyDescent="0.25">
      <c r="A322" s="16" t="str">
        <f ca="1">TEXT(Regen!A322,"000\,")&amp;TEXT(Regen!B322,"?00000000")&amp;TEXT(Regen!C322,""",""?0")&amp;SUBSTITUTE(TEXT(Regen!D322,""",""????0;"",""???-0;"",""????0;"", ////"""),"'","""")&amp;SUBSTITUTE(TEXT(Regen!E322,""",""?00;"",""?-00;"",""?00;"", //"""),"'","""")</f>
        <v>073, 19451117, 1,    0, 00</v>
      </c>
    </row>
    <row r="323" spans="1:1" x14ac:dyDescent="0.25">
      <c r="A323" s="16" t="str">
        <f ca="1">TEXT(Regen!A323,"000\,")&amp;TEXT(Regen!B323,"?00000000")&amp;TEXT(Regen!C323,""",""?0")&amp;SUBSTITUTE(TEXT(Regen!D323,""",""????0;"",""???-0;"",""????0;"", ////"""),"'","""")&amp;SUBSTITUTE(TEXT(Regen!E323,""",""?00;"",""?-00;"",""?00;"", //"""),"'","""")</f>
        <v>073, 19451118, 1,  136, 00</v>
      </c>
    </row>
    <row r="324" spans="1:1" x14ac:dyDescent="0.25">
      <c r="A324" s="16" t="str">
        <f ca="1">TEXT(Regen!A324,"000\,")&amp;TEXT(Regen!B324,"?00000000")&amp;TEXT(Regen!C324,""",""?0")&amp;SUBSTITUTE(TEXT(Regen!D324,""",""????0;"",""???-0;"",""????0;"", ////"""),"'","""")&amp;SUBSTITUTE(TEXT(Regen!E324,""",""?00;"",""?-00;"",""?00;"", //"""),"'","""")</f>
        <v>073, 19451119, 1,   65, 00</v>
      </c>
    </row>
    <row r="325" spans="1:1" x14ac:dyDescent="0.25">
      <c r="A325" s="16" t="str">
        <f ca="1">TEXT(Regen!A325,"000\,")&amp;TEXT(Regen!B325,"?00000000")&amp;TEXT(Regen!C325,""",""?0")&amp;SUBSTITUTE(TEXT(Regen!D325,""",""????0;"",""???-0;"",""????0;"", ////"""),"'","""")&amp;SUBSTITUTE(TEXT(Regen!E325,""",""?00;"",""?-00;"",""?00;"", //"""),"'","""")</f>
        <v>073, 19451120, 1,    0, 00</v>
      </c>
    </row>
    <row r="326" spans="1:1" x14ac:dyDescent="0.25">
      <c r="A326" s="16" t="str">
        <f ca="1">TEXT(Regen!A326,"000\,")&amp;TEXT(Regen!B326,"?00000000")&amp;TEXT(Regen!C326,""",""?0")&amp;SUBSTITUTE(TEXT(Regen!D326,""",""????0;"",""???-0;"",""????0;"", ////"""),"'","""")&amp;SUBSTITUTE(TEXT(Regen!E326,""",""?00;"",""?-00;"",""?00;"", //"""),"'","""")</f>
        <v>073, 19451121, 1,    0, 00</v>
      </c>
    </row>
    <row r="327" spans="1:1" x14ac:dyDescent="0.25">
      <c r="A327" s="16" t="str">
        <f ca="1">TEXT(Regen!A327,"000\,")&amp;TEXT(Regen!B327,"?00000000")&amp;TEXT(Regen!C327,""",""?0")&amp;SUBSTITUTE(TEXT(Regen!D327,""",""????0;"",""???-0;"",""????0;"", ////"""),"'","""")&amp;SUBSTITUTE(TEXT(Regen!E327,""",""?00;"",""?-00;"",""?00;"", //"""),"'","""")</f>
        <v>073, 19451122, 1,    0, 00</v>
      </c>
    </row>
    <row r="328" spans="1:1" x14ac:dyDescent="0.25">
      <c r="A328" s="16" t="str">
        <f ca="1">TEXT(Regen!A328,"000\,")&amp;TEXT(Regen!B328,"?00000000")&amp;TEXT(Regen!C328,""",""?0")&amp;SUBSTITUTE(TEXT(Regen!D328,""",""????0;"",""???-0;"",""????0;"", ////"""),"'","""")&amp;SUBSTITUTE(TEXT(Regen!E328,""",""?00;"",""?-00;"",""?00;"", //"""),"'","""")</f>
        <v>073, 19451123, 1,    0, 00</v>
      </c>
    </row>
    <row r="329" spans="1:1" x14ac:dyDescent="0.25">
      <c r="A329" s="16" t="str">
        <f ca="1">TEXT(Regen!A329,"000\,")&amp;TEXT(Regen!B329,"?00000000")&amp;TEXT(Regen!C329,""",""?0")&amp;SUBSTITUTE(TEXT(Regen!D329,""",""????0;"",""???-0;"",""????0;"", ////"""),"'","""")&amp;SUBSTITUTE(TEXT(Regen!E329,""",""?00;"",""?-00;"",""?00;"", //"""),"'","""")</f>
        <v>073, 19451124, 1,    0, 00</v>
      </c>
    </row>
    <row r="330" spans="1:1" x14ac:dyDescent="0.25">
      <c r="A330" s="16" t="str">
        <f ca="1">TEXT(Regen!A330,"000\,")&amp;TEXT(Regen!B330,"?00000000")&amp;TEXT(Regen!C330,""",""?0")&amp;SUBSTITUTE(TEXT(Regen!D330,""",""????0;"",""???-0;"",""????0;"", ////"""),"'","""")&amp;SUBSTITUTE(TEXT(Regen!E330,""",""?00;"",""?-00;"",""?00;"", //"""),"'","""")</f>
        <v>073, 19451125, 1,    0, 00</v>
      </c>
    </row>
    <row r="331" spans="1:1" x14ac:dyDescent="0.25">
      <c r="A331" s="16" t="str">
        <f ca="1">TEXT(Regen!A331,"000\,")&amp;TEXT(Regen!B331,"?00000000")&amp;TEXT(Regen!C331,""",""?0")&amp;SUBSTITUTE(TEXT(Regen!D331,""",""????0;"",""???-0;"",""????0;"", ////"""),"'","""")&amp;SUBSTITUTE(TEXT(Regen!E331,""",""?00;"",""?-00;"",""?00;"", //"""),"'","""")</f>
        <v>073, 19451126, 1,    0, 00</v>
      </c>
    </row>
    <row r="332" spans="1:1" x14ac:dyDescent="0.25">
      <c r="A332" s="16" t="str">
        <f ca="1">TEXT(Regen!A332,"000\,")&amp;TEXT(Regen!B332,"?00000000")&amp;TEXT(Regen!C332,""",""?0")&amp;SUBSTITUTE(TEXT(Regen!D332,""",""????0;"",""???-0;"",""????0;"", ////"""),"'","""")&amp;SUBSTITUTE(TEXT(Regen!E332,""",""?00;"",""?-00;"",""?00;"", //"""),"'","""")</f>
        <v>073, 19451127, 1,    0, 00</v>
      </c>
    </row>
    <row r="333" spans="1:1" x14ac:dyDescent="0.25">
      <c r="A333" s="16" t="str">
        <f ca="1">TEXT(Regen!A333,"000\,")&amp;TEXT(Regen!B333,"?00000000")&amp;TEXT(Regen!C333,""",""?0")&amp;SUBSTITUTE(TEXT(Regen!D333,""",""????0;"",""???-0;"",""????0;"", ////"""),"'","""")&amp;SUBSTITUTE(TEXT(Regen!E333,""",""?00;"",""?-00;"",""?00;"", //"""),"'","""")</f>
        <v>073, 19451128, 1,    0, 00</v>
      </c>
    </row>
    <row r="334" spans="1:1" x14ac:dyDescent="0.25">
      <c r="A334" s="16" t="str">
        <f ca="1">TEXT(Regen!A334,"000\,")&amp;TEXT(Regen!B334,"?00000000")&amp;TEXT(Regen!C334,""",""?0")&amp;SUBSTITUTE(TEXT(Regen!D334,""",""????0;"",""???-0;"",""????0;"", ////"""),"'","""")&amp;SUBSTITUTE(TEXT(Regen!E334,""",""?00;"",""?-00;"",""?00;"", //"""),"'","""")</f>
        <v>073, 19451129, 1,    0, 00</v>
      </c>
    </row>
    <row r="335" spans="1:1" x14ac:dyDescent="0.25">
      <c r="A335" s="16" t="str">
        <f ca="1">TEXT(Regen!A335,"000\,")&amp;TEXT(Regen!B335,"?00000000")&amp;TEXT(Regen!C335,""",""?0")&amp;SUBSTITUTE(TEXT(Regen!D335,""",""????0;"",""???-0;"",""????0;"", ////"""),"'","""")&amp;SUBSTITUTE(TEXT(Regen!E335,""",""?00;"",""?-00;"",""?00;"", //"""),"'","""")</f>
        <v>073, 19451130, 1,  111, 00</v>
      </c>
    </row>
    <row r="336" spans="1:1" x14ac:dyDescent="0.25">
      <c r="A336" s="16" t="str">
        <f ca="1">TEXT(Regen!A336,"000\,")&amp;TEXT(Regen!B336,"?00000000")&amp;TEXT(Regen!C336,""",""?0")&amp;SUBSTITUTE(TEXT(Regen!D336,""",""????0;"",""???-0;"",""????0;"", ////"""),"'","""")&amp;SUBSTITUTE(TEXT(Regen!E336,""",""?00;"",""?-00;"",""?00;"", //"""),"'","""")</f>
        <v>073, 19451201, 1,   12, 00</v>
      </c>
    </row>
    <row r="337" spans="1:1" x14ac:dyDescent="0.25">
      <c r="A337" s="16" t="str">
        <f ca="1">TEXT(Regen!A337,"000\,")&amp;TEXT(Regen!B337,"?00000000")&amp;TEXT(Regen!C337,""",""?0")&amp;SUBSTITUTE(TEXT(Regen!D337,""",""????0;"",""???-0;"",""????0;"", ////"""),"'","""")&amp;SUBSTITUTE(TEXT(Regen!E337,""",""?00;"",""?-00;"",""?00;"", //"""),"'","""")</f>
        <v>073, 19451202, 1,    0, 00</v>
      </c>
    </row>
    <row r="338" spans="1:1" x14ac:dyDescent="0.25">
      <c r="A338" s="16" t="str">
        <f ca="1">TEXT(Regen!A338,"000\,")&amp;TEXT(Regen!B338,"?00000000")&amp;TEXT(Regen!C338,""",""?0")&amp;SUBSTITUTE(TEXT(Regen!D338,""",""????0;"",""???-0;"",""????0;"", ////"""),"'","""")&amp;SUBSTITUTE(TEXT(Regen!E338,""",""?00;"",""?-00;"",""?00;"", //"""),"'","""")</f>
        <v>073, 19451203, 1,    0, 00</v>
      </c>
    </row>
    <row r="339" spans="1:1" x14ac:dyDescent="0.25">
      <c r="A339" s="16" t="str">
        <f ca="1">TEXT(Regen!A339,"000\,")&amp;TEXT(Regen!B339,"?00000000")&amp;TEXT(Regen!C339,""",""?0")&amp;SUBSTITUTE(TEXT(Regen!D339,""",""????0;"",""???-0;"",""????0;"", ////"""),"'","""")&amp;SUBSTITUTE(TEXT(Regen!E339,""",""?00;"",""?-00;"",""?00;"", //"""),"'","""")</f>
        <v>073, 19451204, 1,    0, 00</v>
      </c>
    </row>
    <row r="340" spans="1:1" x14ac:dyDescent="0.25">
      <c r="A340" s="16" t="str">
        <f ca="1">TEXT(Regen!A340,"000\,")&amp;TEXT(Regen!B340,"?00000000")&amp;TEXT(Regen!C340,""",""?0")&amp;SUBSTITUTE(TEXT(Regen!D340,""",""????0;"",""???-0;"",""????0;"", ////"""),"'","""")&amp;SUBSTITUTE(TEXT(Regen!E340,""",""?00;"",""?-00;"",""?00;"", //"""),"'","""")</f>
        <v>073, 19451205, 1,    0, 00</v>
      </c>
    </row>
    <row r="341" spans="1:1" x14ac:dyDescent="0.25">
      <c r="A341" s="16" t="str">
        <f ca="1">TEXT(Regen!A341,"000\,")&amp;TEXT(Regen!B341,"?00000000")&amp;TEXT(Regen!C341,""",""?0")&amp;SUBSTITUTE(TEXT(Regen!D341,""",""????0;"",""???-0;"",""????0;"", ////"""),"'","""")&amp;SUBSTITUTE(TEXT(Regen!E341,""",""?00;"",""?-00;"",""?00;"", //"""),"'","""")</f>
        <v>073, 19451206, 1,    0, 00</v>
      </c>
    </row>
    <row r="342" spans="1:1" x14ac:dyDescent="0.25">
      <c r="A342" s="16" t="str">
        <f ca="1">TEXT(Regen!A342,"000\,")&amp;TEXT(Regen!B342,"?00000000")&amp;TEXT(Regen!C342,""",""?0")&amp;SUBSTITUTE(TEXT(Regen!D342,""",""????0;"",""???-0;"",""????0;"", ////"""),"'","""")&amp;SUBSTITUTE(TEXT(Regen!E342,""",""?00;"",""?-00;"",""?00;"", //"""),"'","""")</f>
        <v>073, 19451207, 1,    0, 00</v>
      </c>
    </row>
    <row r="343" spans="1:1" x14ac:dyDescent="0.25">
      <c r="A343" s="16" t="str">
        <f ca="1">TEXT(Regen!A343,"000\,")&amp;TEXT(Regen!B343,"?00000000")&amp;TEXT(Regen!C343,""",""?0")&amp;SUBSTITUTE(TEXT(Regen!D343,""",""????0;"",""???-0;"",""????0;"", ////"""),"'","""")&amp;SUBSTITUTE(TEXT(Regen!E343,""",""?00;"",""?-00;"",""?00;"", //"""),"'","""")</f>
        <v>073, 19451208, 1,    0, 00</v>
      </c>
    </row>
    <row r="344" spans="1:1" x14ac:dyDescent="0.25">
      <c r="A344" s="16" t="str">
        <f ca="1">TEXT(Regen!A344,"000\,")&amp;TEXT(Regen!B344,"?00000000")&amp;TEXT(Regen!C344,""",""?0")&amp;SUBSTITUTE(TEXT(Regen!D344,""",""????0;"",""???-0;"",""????0;"", ////"""),"'","""")&amp;SUBSTITUTE(TEXT(Regen!E344,""",""?00;"",""?-00;"",""?00;"", //"""),"'","""")</f>
        <v>073, 19451209, 1,   31, 00</v>
      </c>
    </row>
    <row r="345" spans="1:1" x14ac:dyDescent="0.25">
      <c r="A345" s="16" t="str">
        <f ca="1">TEXT(Regen!A345,"000\,")&amp;TEXT(Regen!B345,"?00000000")&amp;TEXT(Regen!C345,""",""?0")&amp;SUBSTITUTE(TEXT(Regen!D345,""",""????0;"",""???-0;"",""????0;"", ////"""),"'","""")&amp;SUBSTITUTE(TEXT(Regen!E345,""",""?00;"",""?-00;"",""?00;"", //"""),"'","""")</f>
        <v>073, 19451210, 1,    0, 00</v>
      </c>
    </row>
    <row r="346" spans="1:1" x14ac:dyDescent="0.25">
      <c r="A346" s="16" t="str">
        <f ca="1">TEXT(Regen!A346,"000\,")&amp;TEXT(Regen!B346,"?00000000")&amp;TEXT(Regen!C346,""",""?0")&amp;SUBSTITUTE(TEXT(Regen!D346,""",""????0;"",""???-0;"",""????0;"", ////"""),"'","""")&amp;SUBSTITUTE(TEXT(Regen!E346,""",""?00;"",""?-00;"",""?00;"", //"""),"'","""")</f>
        <v>073, 19451211, 1,    0, 00</v>
      </c>
    </row>
    <row r="347" spans="1:1" x14ac:dyDescent="0.25">
      <c r="A347" s="16" t="str">
        <f ca="1">TEXT(Regen!A347,"000\,")&amp;TEXT(Regen!B347,"?00000000")&amp;TEXT(Regen!C347,""",""?0")&amp;SUBSTITUTE(TEXT(Regen!D347,""",""????0;"",""???-0;"",""????0;"", ////"""),"'","""")&amp;SUBSTITUTE(TEXT(Regen!E347,""",""?00;"",""?-00;"",""?00;"", //"""),"'","""")</f>
        <v>073, 19451212, 1,    0, 00</v>
      </c>
    </row>
    <row r="348" spans="1:1" x14ac:dyDescent="0.25">
      <c r="A348" s="16" t="str">
        <f ca="1">TEXT(Regen!A348,"000\,")&amp;TEXT(Regen!B348,"?00000000")&amp;TEXT(Regen!C348,""",""?0")&amp;SUBSTITUTE(TEXT(Regen!D348,""",""????0;"",""???-0;"",""????0;"", ////"""),"'","""")&amp;SUBSTITUTE(TEXT(Regen!E348,""",""?00;"",""?-00;"",""?00;"", //"""),"'","""")</f>
        <v>073, 19451213, 1,    0, 00</v>
      </c>
    </row>
    <row r="349" spans="1:1" x14ac:dyDescent="0.25">
      <c r="A349" s="16" t="str">
        <f ca="1">TEXT(Regen!A349,"000\,")&amp;TEXT(Regen!B349,"?00000000")&amp;TEXT(Regen!C349,""",""?0")&amp;SUBSTITUTE(TEXT(Regen!D349,""",""????0;"",""???-0;"",""????0;"", ////"""),"'","""")&amp;SUBSTITUTE(TEXT(Regen!E349,""",""?00;"",""?-00;"",""?00;"", //"""),"'","""")</f>
        <v>073, 19451214, 1,   12, 00</v>
      </c>
    </row>
    <row r="350" spans="1:1" x14ac:dyDescent="0.25">
      <c r="A350" s="16" t="str">
        <f ca="1">TEXT(Regen!A350,"000\,")&amp;TEXT(Regen!B350,"?00000000")&amp;TEXT(Regen!C350,""",""?0")&amp;SUBSTITUTE(TEXT(Regen!D350,""",""????0;"",""???-0;"",""????0;"", ////"""),"'","""")&amp;SUBSTITUTE(TEXT(Regen!E350,""",""?00;"",""?-00;"",""?00;"", //"""),"'","""")</f>
        <v>073, 19451215, 1,  167, 00</v>
      </c>
    </row>
    <row r="351" spans="1:1" x14ac:dyDescent="0.25">
      <c r="A351" s="16" t="str">
        <f ca="1">TEXT(Regen!A351,"000\,")&amp;TEXT(Regen!B351,"?00000000")&amp;TEXT(Regen!C351,""",""?0")&amp;SUBSTITUTE(TEXT(Regen!D351,""",""????0;"",""???-0;"",""????0;"", ////"""),"'","""")&amp;SUBSTITUTE(TEXT(Regen!E351,""",""?00;"",""?-00;"",""?00;"", //"""),"'","""")</f>
        <v>073, 19451216, 1,   23, 00</v>
      </c>
    </row>
    <row r="352" spans="1:1" x14ac:dyDescent="0.25">
      <c r="A352" s="16" t="str">
        <f ca="1">TEXT(Regen!A352,"000\,")&amp;TEXT(Regen!B352,"?00000000")&amp;TEXT(Regen!C352,""",""?0")&amp;SUBSTITUTE(TEXT(Regen!D352,""",""????0;"",""???-0;"",""????0;"", ////"""),"'","""")&amp;SUBSTITUTE(TEXT(Regen!E352,""",""?00;"",""?-00;"",""?00;"", //"""),"'","""")</f>
        <v>073, 19451217, 1,    8, 00</v>
      </c>
    </row>
    <row r="353" spans="1:1" x14ac:dyDescent="0.25">
      <c r="A353" s="16" t="str">
        <f ca="1">TEXT(Regen!A353,"000\,")&amp;TEXT(Regen!B353,"?00000000")&amp;TEXT(Regen!C353,""",""?0")&amp;SUBSTITUTE(TEXT(Regen!D353,""",""????0;"",""???-0;"",""????0;"", ////"""),"'","""")&amp;SUBSTITUTE(TEXT(Regen!E353,""",""?00;"",""?-00;"",""?00;"", //"""),"'","""")</f>
        <v>073, 19451218, 1,    0, 00</v>
      </c>
    </row>
    <row r="354" spans="1:1" x14ac:dyDescent="0.25">
      <c r="A354" s="16" t="str">
        <f ca="1">TEXT(Regen!A354,"000\,")&amp;TEXT(Regen!B354,"?00000000")&amp;TEXT(Regen!C354,""",""?0")&amp;SUBSTITUTE(TEXT(Regen!D354,""",""????0;"",""???-0;"",""????0;"", ////"""),"'","""")&amp;SUBSTITUTE(TEXT(Regen!E354,""",""?00;"",""?-00;"",""?00;"", //"""),"'","""")</f>
        <v>073, 19451219, 1,   75, 00</v>
      </c>
    </row>
    <row r="355" spans="1:1" x14ac:dyDescent="0.25">
      <c r="A355" s="16" t="str">
        <f ca="1">TEXT(Regen!A355,"000\,")&amp;TEXT(Regen!B355,"?00000000")&amp;TEXT(Regen!C355,""",""?0")&amp;SUBSTITUTE(TEXT(Regen!D355,""",""????0;"",""???-0;"",""????0;"", ////"""),"'","""")&amp;SUBSTITUTE(TEXT(Regen!E355,""",""?00;"",""?-00;"",""?00;"", //"""),"'","""")</f>
        <v>073, 19451220, 1,   13, 00</v>
      </c>
    </row>
    <row r="356" spans="1:1" x14ac:dyDescent="0.25">
      <c r="A356" s="16" t="str">
        <f ca="1">TEXT(Regen!A356,"000\,")&amp;TEXT(Regen!B356,"?00000000")&amp;TEXT(Regen!C356,""",""?0")&amp;SUBSTITUTE(TEXT(Regen!D356,""",""????0;"",""???-0;"",""????0;"", ////"""),"'","""")&amp;SUBSTITUTE(TEXT(Regen!E356,""",""?00;"",""?-00;"",""?00;"", //"""),"'","""")</f>
        <v>073, 19451221, 1,   27, 00</v>
      </c>
    </row>
    <row r="357" spans="1:1" x14ac:dyDescent="0.25">
      <c r="A357" s="16" t="str">
        <f ca="1">TEXT(Regen!A357,"000\,")&amp;TEXT(Regen!B357,"?00000000")&amp;TEXT(Regen!C357,""",""?0")&amp;SUBSTITUTE(TEXT(Regen!D357,""",""????0;"",""???-0;"",""????0;"", ////"""),"'","""")&amp;SUBSTITUTE(TEXT(Regen!E357,""",""?00;"",""?-00;"",""?00;"", //"""),"'","""")</f>
        <v>073, 19451222, 1,    0, 00</v>
      </c>
    </row>
    <row r="358" spans="1:1" x14ac:dyDescent="0.25">
      <c r="A358" s="16" t="str">
        <f ca="1">TEXT(Regen!A358,"000\,")&amp;TEXT(Regen!B358,"?00000000")&amp;TEXT(Regen!C358,""",""?0")&amp;SUBSTITUTE(TEXT(Regen!D358,""",""????0;"",""???-0;"",""????0;"", ////"""),"'","""")&amp;SUBSTITUTE(TEXT(Regen!E358,""",""?00;"",""?-00;"",""?00;"", //"""),"'","""")</f>
        <v>073, 19451223, 1,    0, 00</v>
      </c>
    </row>
    <row r="359" spans="1:1" x14ac:dyDescent="0.25">
      <c r="A359" s="16" t="str">
        <f ca="1">TEXT(Regen!A359,"000\,")&amp;TEXT(Regen!B359,"?00000000")&amp;TEXT(Regen!C359,""",""?0")&amp;SUBSTITUTE(TEXT(Regen!D359,""",""????0;"",""???-0;"",""????0;"", ////"""),"'","""")&amp;SUBSTITUTE(TEXT(Regen!E359,""",""?00;"",""?-00;"",""?00;"", //"""),"'","""")</f>
        <v>073, 19451224, 1,    0, 00</v>
      </c>
    </row>
    <row r="360" spans="1:1" x14ac:dyDescent="0.25">
      <c r="A360" s="16" t="str">
        <f ca="1">TEXT(Regen!A360,"000\,")&amp;TEXT(Regen!B360,"?00000000")&amp;TEXT(Regen!C360,""",""?0")&amp;SUBSTITUTE(TEXT(Regen!D360,""",""????0;"",""???-0;"",""????0;"", ////"""),"'","""")&amp;SUBSTITUTE(TEXT(Regen!E360,""",""?00;"",""?-00;"",""?00;"", //"""),"'","""")</f>
        <v>073, 19451225, 1,    0, 00</v>
      </c>
    </row>
    <row r="361" spans="1:1" x14ac:dyDescent="0.25">
      <c r="A361" s="16" t="str">
        <f ca="1">TEXT(Regen!A361,"000\,")&amp;TEXT(Regen!B361,"?00000000")&amp;TEXT(Regen!C361,""",""?0")&amp;SUBSTITUTE(TEXT(Regen!D361,""",""????0;"",""???-0;"",""????0;"", ////"""),"'","""")&amp;SUBSTITUTE(TEXT(Regen!E361,""",""?00;"",""?-00;"",""?00;"", //"""),"'","""")</f>
        <v>073, 19451226, 1,   16, 00</v>
      </c>
    </row>
    <row r="362" spans="1:1" x14ac:dyDescent="0.25">
      <c r="A362" s="16" t="str">
        <f ca="1">TEXT(Regen!A362,"000\,")&amp;TEXT(Regen!B362,"?00000000")&amp;TEXT(Regen!C362,""",""?0")&amp;SUBSTITUTE(TEXT(Regen!D362,""",""????0;"",""???-0;"",""????0;"", ////"""),"'","""")&amp;SUBSTITUTE(TEXT(Regen!E362,""",""?00;"",""?-00;"",""?00;"", //"""),"'","""")</f>
        <v>073, 19451227, 1,    0, 00</v>
      </c>
    </row>
    <row r="363" spans="1:1" x14ac:dyDescent="0.25">
      <c r="A363" s="16" t="str">
        <f ca="1">TEXT(Regen!A363,"000\,")&amp;TEXT(Regen!B363,"?00000000")&amp;TEXT(Regen!C363,""",""?0")&amp;SUBSTITUTE(TEXT(Regen!D363,""",""????0;"",""???-0;"",""????0;"", ////"""),"'","""")&amp;SUBSTITUTE(TEXT(Regen!E363,""",""?00;"",""?-00;"",""?00;"", //"""),"'","""")</f>
        <v>073, 19451228, 1,  564, 00</v>
      </c>
    </row>
    <row r="364" spans="1:1" x14ac:dyDescent="0.25">
      <c r="A364" s="16" t="str">
        <f ca="1">TEXT(Regen!A364,"000\,")&amp;TEXT(Regen!B364,"?00000000")&amp;TEXT(Regen!C364,""",""?0")&amp;SUBSTITUTE(TEXT(Regen!D364,""",""????0;"",""???-0;"",""????0;"", ////"""),"'","""")&amp;SUBSTITUTE(TEXT(Regen!E364,""",""?00;"",""?-00;"",""?00;"", //"""),"'","""")</f>
        <v>073, 19451229, 1,   12, 00</v>
      </c>
    </row>
    <row r="365" spans="1:1" x14ac:dyDescent="0.25">
      <c r="A365" s="16" t="str">
        <f ca="1">TEXT(Regen!A365,"000\,")&amp;TEXT(Regen!B365,"?00000000")&amp;TEXT(Regen!C365,""",""?0")&amp;SUBSTITUTE(TEXT(Regen!D365,""",""????0;"",""???-0;"",""????0;"", ////"""),"'","""")&amp;SUBSTITUTE(TEXT(Regen!E365,""",""?00;"",""?-00;"",""?00;"", //"""),"'","""")</f>
        <v>073, 19451230, 1,  155, 00</v>
      </c>
    </row>
    <row r="366" spans="1:1" x14ac:dyDescent="0.25">
      <c r="A366" s="16" t="str">
        <f ca="1">TEXT(Regen!A366,"000\,")&amp;TEXT(Regen!B366,"?00000000")&amp;TEXT(Regen!C366,""",""?0")&amp;SUBSTITUTE(TEXT(Regen!D366,""",""????0;"",""???-0;"",""????0;"", ////"""),"'","""")&amp;SUBSTITUTE(TEXT(Regen!E366,""",""?00;"",""?-00;"",""?00;"", //"""),"'","""")</f>
        <v>073, 19451231, 1,   20, 00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1:A1096"/>
  <sheetViews>
    <sheetView workbookViewId="0"/>
  </sheetViews>
  <sheetFormatPr defaultRowHeight="15" x14ac:dyDescent="0.25"/>
  <cols>
    <col min="1" max="1" width="39.7109375" customWidth="1"/>
  </cols>
  <sheetData>
    <row r="1" spans="1:1" x14ac:dyDescent="0.25">
      <c r="A1" s="16" t="str">
        <f>""""&amp;Overig!A1&amp;""", """&amp;Overig!B1&amp;""", """&amp;Overig!C1&amp;""", """&amp;Overig!D1&amp;""", """&amp;Overig!E1&amp;""""</f>
        <v>"Stn", "Datum", "Tijd", "P", "qP"</v>
      </c>
    </row>
    <row r="2" spans="1:1" x14ac:dyDescent="0.25">
      <c r="A2" s="16" t="str">
        <f ca="1">TEXT(Overig!A2,"000\,")&amp;TEXT(Overig!B2,"?00000000")&amp;TEXT(Overig!C2,""", ""@")&amp;SUBSTITUTE(TEXT(IF(ISTEXT(Overig!D2),Overig!D2,10*Overig!D2),""",""????0;"",""???-0;"",""????0;"", ////"""),"'","""")&amp;SUBSTITUTE(TEXT(Overig!E2,""",""?00;"",""?-00;"",""?00;"", //"""),"'","""")</f>
        <v>073, 19450101, 08.00, ////, 07</v>
      </c>
    </row>
    <row r="3" spans="1:1" x14ac:dyDescent="0.25">
      <c r="A3" s="16" t="str">
        <f ca="1">TEXT(Overig!A3,"000\,")&amp;TEXT(Overig!B3,"?00000000")&amp;TEXT(Overig!C3,""", ""@")&amp;SUBSTITUTE(TEXT(IF(ISTEXT(Overig!D3),Overig!D3,10*Overig!D3),""",""????0;"",""???-0;"",""????0;"", ////"""),"'","""")&amp;SUBSTITUTE(TEXT(Overig!E3,""",""?00;"",""?-00;"",""?00;"", //"""),"'","""")</f>
        <v>073, 19450101, 12.00, ////, 07</v>
      </c>
    </row>
    <row r="4" spans="1:1" x14ac:dyDescent="0.25">
      <c r="A4" s="16" t="str">
        <f ca="1">TEXT(Overig!A4,"000\,")&amp;TEXT(Overig!B4,"?00000000")&amp;TEXT(Overig!C4,""", ""@")&amp;SUBSTITUTE(TEXT(IF(ISTEXT(Overig!D4),Overig!D4,10*Overig!D4),""",""????0;"",""???-0;"",""????0;"", ////"""),"'","""")&amp;SUBSTITUTE(TEXT(Overig!E4,""",""?00;"",""?-00;"",""?00;"", //"""),"'","""")</f>
        <v>073, 19450101, 16.00, ////, 07</v>
      </c>
    </row>
    <row r="5" spans="1:1" x14ac:dyDescent="0.25">
      <c r="A5" s="16" t="str">
        <f ca="1">TEXT(Overig!A5,"000\,")&amp;TEXT(Overig!B5,"?00000000")&amp;TEXT(Overig!C5,""", ""@")&amp;SUBSTITUTE(TEXT(IF(ISTEXT(Overig!D5),Overig!D5,10*Overig!D5),""",""????0;"",""???-0;"",""????0;"", ////"""),"'","""")&amp;SUBSTITUTE(TEXT(Overig!E5,""",""?00;"",""?-00;"",""?00;"", //"""),"'","""")</f>
        <v>073, 19450102, 08.00, ////, 07</v>
      </c>
    </row>
    <row r="6" spans="1:1" x14ac:dyDescent="0.25">
      <c r="A6" s="16" t="str">
        <f ca="1">TEXT(Overig!A6,"000\,")&amp;TEXT(Overig!B6,"?00000000")&amp;TEXT(Overig!C6,""", ""@")&amp;SUBSTITUTE(TEXT(IF(ISTEXT(Overig!D6),Overig!D6,10*Overig!D6),""",""????0;"",""???-0;"",""????0;"", ////"""),"'","""")&amp;SUBSTITUTE(TEXT(Overig!E6,""",""?00;"",""?-00;"",""?00;"", //"""),"'","""")</f>
        <v>073, 19450102, 12.00, ////, 07</v>
      </c>
    </row>
    <row r="7" spans="1:1" x14ac:dyDescent="0.25">
      <c r="A7" s="16" t="str">
        <f ca="1">TEXT(Overig!A7,"000\,")&amp;TEXT(Overig!B7,"?00000000")&amp;TEXT(Overig!C7,""", ""@")&amp;SUBSTITUTE(TEXT(IF(ISTEXT(Overig!D7),Overig!D7,10*Overig!D7),""",""????0;"",""???-0;"",""????0;"", ////"""),"'","""")&amp;SUBSTITUTE(TEXT(Overig!E7,""",""?00;"",""?-00;"",""?00;"", //"""),"'","""")</f>
        <v>073, 19450102, 16.00, ////, 07</v>
      </c>
    </row>
    <row r="8" spans="1:1" x14ac:dyDescent="0.25">
      <c r="A8" s="16" t="str">
        <f ca="1">TEXT(Overig!A8,"000\,")&amp;TEXT(Overig!B8,"?00000000")&amp;TEXT(Overig!C8,""", ""@")&amp;SUBSTITUTE(TEXT(IF(ISTEXT(Overig!D8),Overig!D8,10*Overig!D8),""",""????0;"",""???-0;"",""????0;"", ////"""),"'","""")&amp;SUBSTITUTE(TEXT(Overig!E8,""",""?00;"",""?-00;"",""?00;"", //"""),"'","""")</f>
        <v>073, 19450103, 08.00, ////, 07</v>
      </c>
    </row>
    <row r="9" spans="1:1" x14ac:dyDescent="0.25">
      <c r="A9" s="16" t="str">
        <f ca="1">TEXT(Overig!A9,"000\,")&amp;TEXT(Overig!B9,"?00000000")&amp;TEXT(Overig!C9,""", ""@")&amp;SUBSTITUTE(TEXT(IF(ISTEXT(Overig!D9),Overig!D9,10*Overig!D9),""",""????0;"",""???-0;"",""????0;"", ////"""),"'","""")&amp;SUBSTITUTE(TEXT(Overig!E9,""",""?00;"",""?-00;"",""?00;"", //"""),"'","""")</f>
        <v>073, 19450103, 12.00, ////, 07</v>
      </c>
    </row>
    <row r="10" spans="1:1" x14ac:dyDescent="0.25">
      <c r="A10" s="16" t="str">
        <f ca="1">TEXT(Overig!A10,"000\,")&amp;TEXT(Overig!B10,"?00000000")&amp;TEXT(Overig!C10,""", ""@")&amp;SUBSTITUTE(TEXT(IF(ISTEXT(Overig!D10),Overig!D10,10*Overig!D10),""",""????0;"",""???-0;"",""????0;"", ////"""),"'","""")&amp;SUBSTITUTE(TEXT(Overig!E10,""",""?00;"",""?-00;"",""?00;"", //"""),"'","""")</f>
        <v>073, 19450103, 16.00, ////, 07</v>
      </c>
    </row>
    <row r="11" spans="1:1" x14ac:dyDescent="0.25">
      <c r="A11" s="16" t="str">
        <f ca="1">TEXT(Overig!A11,"000\,")&amp;TEXT(Overig!B11,"?00000000")&amp;TEXT(Overig!C11,""", ""@")&amp;SUBSTITUTE(TEXT(IF(ISTEXT(Overig!D11),Overig!D11,10*Overig!D11),""",""????0;"",""???-0;"",""????0;"", ////"""),"'","""")&amp;SUBSTITUTE(TEXT(Overig!E11,""",""?00;"",""?-00;"",""?00;"", //"""),"'","""")</f>
        <v>073, 19450104, 08.00, ////, 07</v>
      </c>
    </row>
    <row r="12" spans="1:1" x14ac:dyDescent="0.25">
      <c r="A12" s="16" t="str">
        <f ca="1">TEXT(Overig!A12,"000\,")&amp;TEXT(Overig!B12,"?00000000")&amp;TEXT(Overig!C12,""", ""@")&amp;SUBSTITUTE(TEXT(IF(ISTEXT(Overig!D12),Overig!D12,10*Overig!D12),""",""????0;"",""???-0;"",""????0;"", ////"""),"'","""")&amp;SUBSTITUTE(TEXT(Overig!E12,""",""?00;"",""?-00;"",""?00;"", //"""),"'","""")</f>
        <v>073, 19450104, 12.00, ////, 07</v>
      </c>
    </row>
    <row r="13" spans="1:1" x14ac:dyDescent="0.25">
      <c r="A13" s="16" t="str">
        <f ca="1">TEXT(Overig!A13,"000\,")&amp;TEXT(Overig!B13,"?00000000")&amp;TEXT(Overig!C13,""", ""@")&amp;SUBSTITUTE(TEXT(IF(ISTEXT(Overig!D13),Overig!D13,10*Overig!D13),""",""????0;"",""???-0;"",""????0;"", ////"""),"'","""")&amp;SUBSTITUTE(TEXT(Overig!E13,""",""?00;"",""?-00;"",""?00;"", //"""),"'","""")</f>
        <v>073, 19450104, 16.00, ////, 07</v>
      </c>
    </row>
    <row r="14" spans="1:1" x14ac:dyDescent="0.25">
      <c r="A14" s="16" t="str">
        <f ca="1">TEXT(Overig!A14,"000\,")&amp;TEXT(Overig!B14,"?00000000")&amp;TEXT(Overig!C14,""", ""@")&amp;SUBSTITUTE(TEXT(IF(ISTEXT(Overig!D14),Overig!D14,10*Overig!D14),""",""????0;"",""???-0;"",""????0;"", ////"""),"'","""")&amp;SUBSTITUTE(TEXT(Overig!E14,""",""?00;"",""?-00;"",""?00;"", //"""),"'","""")</f>
        <v>073, 19450105, 08.00, ////, 07</v>
      </c>
    </row>
    <row r="15" spans="1:1" x14ac:dyDescent="0.25">
      <c r="A15" s="16" t="str">
        <f ca="1">TEXT(Overig!A15,"000\,")&amp;TEXT(Overig!B15,"?00000000")&amp;TEXT(Overig!C15,""", ""@")&amp;SUBSTITUTE(TEXT(IF(ISTEXT(Overig!D15),Overig!D15,10*Overig!D15),""",""????0;"",""???-0;"",""????0;"", ////"""),"'","""")&amp;SUBSTITUTE(TEXT(Overig!E15,""",""?00;"",""?-00;"",""?00;"", //"""),"'","""")</f>
        <v>073, 19450105, 12.00, ////, 07</v>
      </c>
    </row>
    <row r="16" spans="1:1" x14ac:dyDescent="0.25">
      <c r="A16" s="16" t="str">
        <f ca="1">TEXT(Overig!A16,"000\,")&amp;TEXT(Overig!B16,"?00000000")&amp;TEXT(Overig!C16,""", ""@")&amp;SUBSTITUTE(TEXT(IF(ISTEXT(Overig!D16),Overig!D16,10*Overig!D16),""",""????0;"",""???-0;"",""????0;"", ////"""),"'","""")&amp;SUBSTITUTE(TEXT(Overig!E16,""",""?00;"",""?-00;"",""?00;"", //"""),"'","""")</f>
        <v>073, 19450105, 16.00, ////, 07</v>
      </c>
    </row>
    <row r="17" spans="1:1" x14ac:dyDescent="0.25">
      <c r="A17" s="16" t="str">
        <f ca="1">TEXT(Overig!A17,"000\,")&amp;TEXT(Overig!B17,"?00000000")&amp;TEXT(Overig!C17,""", ""@")&amp;SUBSTITUTE(TEXT(IF(ISTEXT(Overig!D17),Overig!D17,10*Overig!D17),""",""????0;"",""???-0;"",""????0;"", ////"""),"'","""")&amp;SUBSTITUTE(TEXT(Overig!E17,""",""?00;"",""?-00;"",""?00;"", //"""),"'","""")</f>
        <v>073, 19450106, 08.00, ////, 07</v>
      </c>
    </row>
    <row r="18" spans="1:1" x14ac:dyDescent="0.25">
      <c r="A18" s="16" t="str">
        <f ca="1">TEXT(Overig!A18,"000\,")&amp;TEXT(Overig!B18,"?00000000")&amp;TEXT(Overig!C18,""", ""@")&amp;SUBSTITUTE(TEXT(IF(ISTEXT(Overig!D18),Overig!D18,10*Overig!D18),""",""????0;"",""???-0;"",""????0;"", ////"""),"'","""")&amp;SUBSTITUTE(TEXT(Overig!E18,""",""?00;"",""?-00;"",""?00;"", //"""),"'","""")</f>
        <v>073, 19450106, 12.00, ////, 07</v>
      </c>
    </row>
    <row r="19" spans="1:1" x14ac:dyDescent="0.25">
      <c r="A19" s="16" t="str">
        <f ca="1">TEXT(Overig!A19,"000\,")&amp;TEXT(Overig!B19,"?00000000")&amp;TEXT(Overig!C19,""", ""@")&amp;SUBSTITUTE(TEXT(IF(ISTEXT(Overig!D19),Overig!D19,10*Overig!D19),""",""????0;"",""???-0;"",""????0;"", ////"""),"'","""")&amp;SUBSTITUTE(TEXT(Overig!E19,""",""?00;"",""?-00;"",""?00;"", //"""),"'","""")</f>
        <v>073, 19450106, 16.00, ////, 07</v>
      </c>
    </row>
    <row r="20" spans="1:1" x14ac:dyDescent="0.25">
      <c r="A20" s="16" t="str">
        <f ca="1">TEXT(Overig!A20,"000\,")&amp;TEXT(Overig!B20,"?00000000")&amp;TEXT(Overig!C20,""", ""@")&amp;SUBSTITUTE(TEXT(IF(ISTEXT(Overig!D20),Overig!D20,10*Overig!D20),""",""????0;"",""???-0;"",""????0;"", ////"""),"'","""")&amp;SUBSTITUTE(TEXT(Overig!E20,""",""?00;"",""?-00;"",""?00;"", //"""),"'","""")</f>
        <v>073, 19450107, 08.00, ////, 07</v>
      </c>
    </row>
    <row r="21" spans="1:1" x14ac:dyDescent="0.25">
      <c r="A21" s="16" t="str">
        <f ca="1">TEXT(Overig!A21,"000\,")&amp;TEXT(Overig!B21,"?00000000")&amp;TEXT(Overig!C21,""", ""@")&amp;SUBSTITUTE(TEXT(IF(ISTEXT(Overig!D21),Overig!D21,10*Overig!D21),""",""????0;"",""???-0;"",""????0;"", ////"""),"'","""")&amp;SUBSTITUTE(TEXT(Overig!E21,""",""?00;"",""?-00;"",""?00;"", //"""),"'","""")</f>
        <v>073, 19450107, 12.00, ////, 07</v>
      </c>
    </row>
    <row r="22" spans="1:1" x14ac:dyDescent="0.25">
      <c r="A22" s="16" t="str">
        <f ca="1">TEXT(Overig!A22,"000\,")&amp;TEXT(Overig!B22,"?00000000")&amp;TEXT(Overig!C22,""", ""@")&amp;SUBSTITUTE(TEXT(IF(ISTEXT(Overig!D22),Overig!D22,10*Overig!D22),""",""????0;"",""???-0;"",""????0;"", ////"""),"'","""")&amp;SUBSTITUTE(TEXT(Overig!E22,""",""?00;"",""?-00;"",""?00;"", //"""),"'","""")</f>
        <v>073, 19450107, 16.00, ////, 07</v>
      </c>
    </row>
    <row r="23" spans="1:1" x14ac:dyDescent="0.25">
      <c r="A23" s="16" t="str">
        <f ca="1">TEXT(Overig!A23,"000\,")&amp;TEXT(Overig!B23,"?00000000")&amp;TEXT(Overig!C23,""", ""@")&amp;SUBSTITUTE(TEXT(IF(ISTEXT(Overig!D23),Overig!D23,10*Overig!D23),""",""????0;"",""???-0;"",""????0;"", ////"""),"'","""")&amp;SUBSTITUTE(TEXT(Overig!E23,""",""?00;"",""?-00;"",""?00;"", //"""),"'","""")</f>
        <v>073, 19450108, 08.00, ////, 07</v>
      </c>
    </row>
    <row r="24" spans="1:1" x14ac:dyDescent="0.25">
      <c r="A24" s="16" t="str">
        <f ca="1">TEXT(Overig!A24,"000\,")&amp;TEXT(Overig!B24,"?00000000")&amp;TEXT(Overig!C24,""", ""@")&amp;SUBSTITUTE(TEXT(IF(ISTEXT(Overig!D24),Overig!D24,10*Overig!D24),""",""????0;"",""???-0;"",""????0;"", ////"""),"'","""")&amp;SUBSTITUTE(TEXT(Overig!E24,""",""?00;"",""?-00;"",""?00;"", //"""),"'","""")</f>
        <v>073, 19450108, 12.00, ////, 07</v>
      </c>
    </row>
    <row r="25" spans="1:1" x14ac:dyDescent="0.25">
      <c r="A25" s="16" t="str">
        <f ca="1">TEXT(Overig!A25,"000\,")&amp;TEXT(Overig!B25,"?00000000")&amp;TEXT(Overig!C25,""", ""@")&amp;SUBSTITUTE(TEXT(IF(ISTEXT(Overig!D25),Overig!D25,10*Overig!D25),""",""????0;"",""???-0;"",""????0;"", ////"""),"'","""")&amp;SUBSTITUTE(TEXT(Overig!E25,""",""?00;"",""?-00;"",""?00;"", //"""),"'","""")</f>
        <v>073, 19450108, 16.00, ////, 07</v>
      </c>
    </row>
    <row r="26" spans="1:1" x14ac:dyDescent="0.25">
      <c r="A26" s="16" t="str">
        <f ca="1">TEXT(Overig!A26,"000\,")&amp;TEXT(Overig!B26,"?00000000")&amp;TEXT(Overig!C26,""", ""@")&amp;SUBSTITUTE(TEXT(IF(ISTEXT(Overig!D26),Overig!D26,10*Overig!D26),""",""????0;"",""???-0;"",""????0;"", ////"""),"'","""")&amp;SUBSTITUTE(TEXT(Overig!E26,""",""?00;"",""?-00;"",""?00;"", //"""),"'","""")</f>
        <v>073, 19450109, 08.00, ////, 07</v>
      </c>
    </row>
    <row r="27" spans="1:1" x14ac:dyDescent="0.25">
      <c r="A27" s="16" t="str">
        <f ca="1">TEXT(Overig!A27,"000\,")&amp;TEXT(Overig!B27,"?00000000")&amp;TEXT(Overig!C27,""", ""@")&amp;SUBSTITUTE(TEXT(IF(ISTEXT(Overig!D27),Overig!D27,10*Overig!D27),""",""????0;"",""???-0;"",""????0;"", ////"""),"'","""")&amp;SUBSTITUTE(TEXT(Overig!E27,""",""?00;"",""?-00;"",""?00;"", //"""),"'","""")</f>
        <v>073, 19450109, 12.00, ////, 07</v>
      </c>
    </row>
    <row r="28" spans="1:1" x14ac:dyDescent="0.25">
      <c r="A28" s="16" t="str">
        <f ca="1">TEXT(Overig!A28,"000\,")&amp;TEXT(Overig!B28,"?00000000")&amp;TEXT(Overig!C28,""", ""@")&amp;SUBSTITUTE(TEXT(IF(ISTEXT(Overig!D28),Overig!D28,10*Overig!D28),""",""????0;"",""???-0;"",""????0;"", ////"""),"'","""")&amp;SUBSTITUTE(TEXT(Overig!E28,""",""?00;"",""?-00;"",""?00;"", //"""),"'","""")</f>
        <v>073, 19450109, 16.00, ////, 07</v>
      </c>
    </row>
    <row r="29" spans="1:1" x14ac:dyDescent="0.25">
      <c r="A29" s="16" t="str">
        <f ca="1">TEXT(Overig!A29,"000\,")&amp;TEXT(Overig!B29,"?00000000")&amp;TEXT(Overig!C29,""", ""@")&amp;SUBSTITUTE(TEXT(IF(ISTEXT(Overig!D29),Overig!D29,10*Overig!D29),""",""????0;"",""???-0;"",""????0;"", ////"""),"'","""")&amp;SUBSTITUTE(TEXT(Overig!E29,""",""?00;"",""?-00;"",""?00;"", //"""),"'","""")</f>
        <v>073, 19450110, 08.00, ////, 07</v>
      </c>
    </row>
    <row r="30" spans="1:1" x14ac:dyDescent="0.25">
      <c r="A30" s="16" t="str">
        <f ca="1">TEXT(Overig!A30,"000\,")&amp;TEXT(Overig!B30,"?00000000")&amp;TEXT(Overig!C30,""", ""@")&amp;SUBSTITUTE(TEXT(IF(ISTEXT(Overig!D30),Overig!D30,10*Overig!D30),""",""????0;"",""???-0;"",""????0;"", ////"""),"'","""")&amp;SUBSTITUTE(TEXT(Overig!E30,""",""?00;"",""?-00;"",""?00;"", //"""),"'","""")</f>
        <v>073, 19450110, 12.00, ////, 07</v>
      </c>
    </row>
    <row r="31" spans="1:1" x14ac:dyDescent="0.25">
      <c r="A31" s="16" t="str">
        <f ca="1">TEXT(Overig!A31,"000\,")&amp;TEXT(Overig!B31,"?00000000")&amp;TEXT(Overig!C31,""", ""@")&amp;SUBSTITUTE(TEXT(IF(ISTEXT(Overig!D31),Overig!D31,10*Overig!D31),""",""????0;"",""???-0;"",""????0;"", ////"""),"'","""")&amp;SUBSTITUTE(TEXT(Overig!E31,""",""?00;"",""?-00;"",""?00;"", //"""),"'","""")</f>
        <v>073, 19450110, 16.00, ////, 07</v>
      </c>
    </row>
    <row r="32" spans="1:1" x14ac:dyDescent="0.25">
      <c r="A32" s="16" t="str">
        <f ca="1">TEXT(Overig!A32,"000\,")&amp;TEXT(Overig!B32,"?00000000")&amp;TEXT(Overig!C32,""", ""@")&amp;SUBSTITUTE(TEXT(IF(ISTEXT(Overig!D32),Overig!D32,10*Overig!D32),""",""????0;"",""???-0;"",""????0;"", ////"""),"'","""")&amp;SUBSTITUTE(TEXT(Overig!E32,""",""?00;"",""?-00;"",""?00;"", //"""),"'","""")</f>
        <v>073, 19450111, 08.00, ////, 07</v>
      </c>
    </row>
    <row r="33" spans="1:1" x14ac:dyDescent="0.25">
      <c r="A33" s="16" t="str">
        <f ca="1">TEXT(Overig!A33,"000\,")&amp;TEXT(Overig!B33,"?00000000")&amp;TEXT(Overig!C33,""", ""@")&amp;SUBSTITUTE(TEXT(IF(ISTEXT(Overig!D33),Overig!D33,10*Overig!D33),""",""????0;"",""???-0;"",""????0;"", ////"""),"'","""")&amp;SUBSTITUTE(TEXT(Overig!E33,""",""?00;"",""?-00;"",""?00;"", //"""),"'","""")</f>
        <v>073, 19450111, 12.00, ////, 07</v>
      </c>
    </row>
    <row r="34" spans="1:1" x14ac:dyDescent="0.25">
      <c r="A34" s="16" t="str">
        <f ca="1">TEXT(Overig!A34,"000\,")&amp;TEXT(Overig!B34,"?00000000")&amp;TEXT(Overig!C34,""", ""@")&amp;SUBSTITUTE(TEXT(IF(ISTEXT(Overig!D34),Overig!D34,10*Overig!D34),""",""????0;"",""???-0;"",""????0;"", ////"""),"'","""")&amp;SUBSTITUTE(TEXT(Overig!E34,""",""?00;"",""?-00;"",""?00;"", //"""),"'","""")</f>
        <v>073, 19450111, 16.00, ////, 07</v>
      </c>
    </row>
    <row r="35" spans="1:1" x14ac:dyDescent="0.25">
      <c r="A35" s="16" t="str">
        <f ca="1">TEXT(Overig!A35,"000\,")&amp;TEXT(Overig!B35,"?00000000")&amp;TEXT(Overig!C35,""", ""@")&amp;SUBSTITUTE(TEXT(IF(ISTEXT(Overig!D35),Overig!D35,10*Overig!D35),""",""????0;"",""???-0;"",""????0;"", ////"""),"'","""")&amp;SUBSTITUTE(TEXT(Overig!E35,""",""?00;"",""?-00;"",""?00;"", //"""),"'","""")</f>
        <v>073, 19450112, 08.00, ////, 07</v>
      </c>
    </row>
    <row r="36" spans="1:1" x14ac:dyDescent="0.25">
      <c r="A36" s="16" t="str">
        <f ca="1">TEXT(Overig!A36,"000\,")&amp;TEXT(Overig!B36,"?00000000")&amp;TEXT(Overig!C36,""", ""@")&amp;SUBSTITUTE(TEXT(IF(ISTEXT(Overig!D36),Overig!D36,10*Overig!D36),""",""????0;"",""???-0;"",""????0;"", ////"""),"'","""")&amp;SUBSTITUTE(TEXT(Overig!E36,""",""?00;"",""?-00;"",""?00;"", //"""),"'","""")</f>
        <v>073, 19450112, 12.00, ////, 07</v>
      </c>
    </row>
    <row r="37" spans="1:1" x14ac:dyDescent="0.25">
      <c r="A37" s="16" t="str">
        <f ca="1">TEXT(Overig!A37,"000\,")&amp;TEXT(Overig!B37,"?00000000")&amp;TEXT(Overig!C37,""", ""@")&amp;SUBSTITUTE(TEXT(IF(ISTEXT(Overig!D37),Overig!D37,10*Overig!D37),""",""????0;"",""???-0;"",""????0;"", ////"""),"'","""")&amp;SUBSTITUTE(TEXT(Overig!E37,""",""?00;"",""?-00;"",""?00;"", //"""),"'","""")</f>
        <v>073, 19450112, 16.00, ////, 07</v>
      </c>
    </row>
    <row r="38" spans="1:1" x14ac:dyDescent="0.25">
      <c r="A38" s="16" t="str">
        <f ca="1">TEXT(Overig!A38,"000\,")&amp;TEXT(Overig!B38,"?00000000")&amp;TEXT(Overig!C38,""", ""@")&amp;SUBSTITUTE(TEXT(IF(ISTEXT(Overig!D38),Overig!D38,10*Overig!D38),""",""????0;"",""???-0;"",""????0;"", ////"""),"'","""")&amp;SUBSTITUTE(TEXT(Overig!E38,""",""?00;"",""?-00;"",""?00;"", //"""),"'","""")</f>
        <v>073, 19450113, 08.00, ////, 07</v>
      </c>
    </row>
    <row r="39" spans="1:1" x14ac:dyDescent="0.25">
      <c r="A39" s="16" t="str">
        <f ca="1">TEXT(Overig!A39,"000\,")&amp;TEXT(Overig!B39,"?00000000")&amp;TEXT(Overig!C39,""", ""@")&amp;SUBSTITUTE(TEXT(IF(ISTEXT(Overig!D39),Overig!D39,10*Overig!D39),""",""????0;"",""???-0;"",""????0;"", ////"""),"'","""")&amp;SUBSTITUTE(TEXT(Overig!E39,""",""?00;"",""?-00;"",""?00;"", //"""),"'","""")</f>
        <v>073, 19450113, 12.00, ////, 07</v>
      </c>
    </row>
    <row r="40" spans="1:1" x14ac:dyDescent="0.25">
      <c r="A40" s="16" t="str">
        <f ca="1">TEXT(Overig!A40,"000\,")&amp;TEXT(Overig!B40,"?00000000")&amp;TEXT(Overig!C40,""", ""@")&amp;SUBSTITUTE(TEXT(IF(ISTEXT(Overig!D40),Overig!D40,10*Overig!D40),""",""????0;"",""???-0;"",""????0;"", ////"""),"'","""")&amp;SUBSTITUTE(TEXT(Overig!E40,""",""?00;"",""?-00;"",""?00;"", //"""),"'","""")</f>
        <v>073, 19450113, 16.00, ////, 07</v>
      </c>
    </row>
    <row r="41" spans="1:1" x14ac:dyDescent="0.25">
      <c r="A41" s="16" t="str">
        <f ca="1">TEXT(Overig!A41,"000\,")&amp;TEXT(Overig!B41,"?00000000")&amp;TEXT(Overig!C41,""", ""@")&amp;SUBSTITUTE(TEXT(IF(ISTEXT(Overig!D41),Overig!D41,10*Overig!D41),""",""????0;"",""???-0;"",""????0;"", ////"""),"'","""")&amp;SUBSTITUTE(TEXT(Overig!E41,""",""?00;"",""?-00;"",""?00;"", //"""),"'","""")</f>
        <v>073, 19450114, 08.00, ////, 07</v>
      </c>
    </row>
    <row r="42" spans="1:1" x14ac:dyDescent="0.25">
      <c r="A42" s="16" t="str">
        <f ca="1">TEXT(Overig!A42,"000\,")&amp;TEXT(Overig!B42,"?00000000")&amp;TEXT(Overig!C42,""", ""@")&amp;SUBSTITUTE(TEXT(IF(ISTEXT(Overig!D42),Overig!D42,10*Overig!D42),""",""????0;"",""???-0;"",""????0;"", ////"""),"'","""")&amp;SUBSTITUTE(TEXT(Overig!E42,""",""?00;"",""?-00;"",""?00;"", //"""),"'","""")</f>
        <v>073, 19450114, 12.00, ////, 07</v>
      </c>
    </row>
    <row r="43" spans="1:1" x14ac:dyDescent="0.25">
      <c r="A43" s="16" t="str">
        <f ca="1">TEXT(Overig!A43,"000\,")&amp;TEXT(Overig!B43,"?00000000")&amp;TEXT(Overig!C43,""", ""@")&amp;SUBSTITUTE(TEXT(IF(ISTEXT(Overig!D43),Overig!D43,10*Overig!D43),""",""????0;"",""???-0;"",""????0;"", ////"""),"'","""")&amp;SUBSTITUTE(TEXT(Overig!E43,""",""?00;"",""?-00;"",""?00;"", //"""),"'","""")</f>
        <v>073, 19450114, 16.00, ////, 07</v>
      </c>
    </row>
    <row r="44" spans="1:1" x14ac:dyDescent="0.25">
      <c r="A44" s="16" t="str">
        <f ca="1">TEXT(Overig!A44,"000\,")&amp;TEXT(Overig!B44,"?00000000")&amp;TEXT(Overig!C44,""", ""@")&amp;SUBSTITUTE(TEXT(IF(ISTEXT(Overig!D44),Overig!D44,10*Overig!D44),""",""????0;"",""???-0;"",""????0;"", ////"""),"'","""")&amp;SUBSTITUTE(TEXT(Overig!E44,""",""?00;"",""?-00;"",""?00;"", //"""),"'","""")</f>
        <v>073, 19450115, 08.00, ////, 07</v>
      </c>
    </row>
    <row r="45" spans="1:1" x14ac:dyDescent="0.25">
      <c r="A45" s="16" t="str">
        <f ca="1">TEXT(Overig!A45,"000\,")&amp;TEXT(Overig!B45,"?00000000")&amp;TEXT(Overig!C45,""", ""@")&amp;SUBSTITUTE(TEXT(IF(ISTEXT(Overig!D45),Overig!D45,10*Overig!D45),""",""????0;"",""???-0;"",""????0;"", ////"""),"'","""")&amp;SUBSTITUTE(TEXT(Overig!E45,""",""?00;"",""?-00;"",""?00;"", //"""),"'","""")</f>
        <v>073, 19450115, 12.00, ////, 07</v>
      </c>
    </row>
    <row r="46" spans="1:1" x14ac:dyDescent="0.25">
      <c r="A46" s="16" t="str">
        <f ca="1">TEXT(Overig!A46,"000\,")&amp;TEXT(Overig!B46,"?00000000")&amp;TEXT(Overig!C46,""", ""@")&amp;SUBSTITUTE(TEXT(IF(ISTEXT(Overig!D46),Overig!D46,10*Overig!D46),""",""????0;"",""???-0;"",""????0;"", ////"""),"'","""")&amp;SUBSTITUTE(TEXT(Overig!E46,""",""?00;"",""?-00;"",""?00;"", //"""),"'","""")</f>
        <v>073, 19450115, 16.00, ////, 07</v>
      </c>
    </row>
    <row r="47" spans="1:1" x14ac:dyDescent="0.25">
      <c r="A47" s="16" t="str">
        <f ca="1">TEXT(Overig!A47,"000\,")&amp;TEXT(Overig!B47,"?00000000")&amp;TEXT(Overig!C47,""", ""@")&amp;SUBSTITUTE(TEXT(IF(ISTEXT(Overig!D47),Overig!D47,10*Overig!D47),""",""????0;"",""???-0;"",""????0;"", ////"""),"'","""")&amp;SUBSTITUTE(TEXT(Overig!E47,""",""?00;"",""?-00;"",""?00;"", //"""),"'","""")</f>
        <v>073, 19450116, 08.00, ////, 07</v>
      </c>
    </row>
    <row r="48" spans="1:1" x14ac:dyDescent="0.25">
      <c r="A48" s="16" t="str">
        <f ca="1">TEXT(Overig!A48,"000\,")&amp;TEXT(Overig!B48,"?00000000")&amp;TEXT(Overig!C48,""", ""@")&amp;SUBSTITUTE(TEXT(IF(ISTEXT(Overig!D48),Overig!D48,10*Overig!D48),""",""????0;"",""???-0;"",""????0;"", ////"""),"'","""")&amp;SUBSTITUTE(TEXT(Overig!E48,""",""?00;"",""?-00;"",""?00;"", //"""),"'","""")</f>
        <v>073, 19450116, 12.00, ////, 07</v>
      </c>
    </row>
    <row r="49" spans="1:1" x14ac:dyDescent="0.25">
      <c r="A49" s="16" t="str">
        <f ca="1">TEXT(Overig!A49,"000\,")&amp;TEXT(Overig!B49,"?00000000")&amp;TEXT(Overig!C49,""", ""@")&amp;SUBSTITUTE(TEXT(IF(ISTEXT(Overig!D49),Overig!D49,10*Overig!D49),""",""????0;"",""???-0;"",""????0;"", ////"""),"'","""")&amp;SUBSTITUTE(TEXT(Overig!E49,""",""?00;"",""?-00;"",""?00;"", //"""),"'","""")</f>
        <v>073, 19450116, 16.00, ////, 07</v>
      </c>
    </row>
    <row r="50" spans="1:1" x14ac:dyDescent="0.25">
      <c r="A50" s="16" t="str">
        <f ca="1">TEXT(Overig!A50,"000\,")&amp;TEXT(Overig!B50,"?00000000")&amp;TEXT(Overig!C50,""", ""@")&amp;SUBSTITUTE(TEXT(IF(ISTEXT(Overig!D50),Overig!D50,10*Overig!D50),""",""????0;"",""???-0;"",""????0;"", ////"""),"'","""")&amp;SUBSTITUTE(TEXT(Overig!E50,""",""?00;"",""?-00;"",""?00;"", //"""),"'","""")</f>
        <v>073, 19450117, 08.00, ////, 07</v>
      </c>
    </row>
    <row r="51" spans="1:1" x14ac:dyDescent="0.25">
      <c r="A51" s="16" t="str">
        <f ca="1">TEXT(Overig!A51,"000\,")&amp;TEXT(Overig!B51,"?00000000")&amp;TEXT(Overig!C51,""", ""@")&amp;SUBSTITUTE(TEXT(IF(ISTEXT(Overig!D51),Overig!D51,10*Overig!D51),""",""????0;"",""???-0;"",""????0;"", ////"""),"'","""")&amp;SUBSTITUTE(TEXT(Overig!E51,""",""?00;"",""?-00;"",""?00;"", //"""),"'","""")</f>
        <v>073, 19450117, 12.00, ////, 07</v>
      </c>
    </row>
    <row r="52" spans="1:1" x14ac:dyDescent="0.25">
      <c r="A52" s="16" t="str">
        <f ca="1">TEXT(Overig!A52,"000\,")&amp;TEXT(Overig!B52,"?00000000")&amp;TEXT(Overig!C52,""", ""@")&amp;SUBSTITUTE(TEXT(IF(ISTEXT(Overig!D52),Overig!D52,10*Overig!D52),""",""????0;"",""???-0;"",""????0;"", ////"""),"'","""")&amp;SUBSTITUTE(TEXT(Overig!E52,""",""?00;"",""?-00;"",""?00;"", //"""),"'","""")</f>
        <v>073, 19450117, 16.00, ////, 07</v>
      </c>
    </row>
    <row r="53" spans="1:1" x14ac:dyDescent="0.25">
      <c r="A53" s="16" t="str">
        <f ca="1">TEXT(Overig!A53,"000\,")&amp;TEXT(Overig!B53,"?00000000")&amp;TEXT(Overig!C53,""", ""@")&amp;SUBSTITUTE(TEXT(IF(ISTEXT(Overig!D53),Overig!D53,10*Overig!D53),""",""????0;"",""???-0;"",""????0;"", ////"""),"'","""")&amp;SUBSTITUTE(TEXT(Overig!E53,""",""?00;"",""?-00;"",""?00;"", //"""),"'","""")</f>
        <v>073, 19450118, 08.00, ////, 07</v>
      </c>
    </row>
    <row r="54" spans="1:1" x14ac:dyDescent="0.25">
      <c r="A54" s="16" t="str">
        <f ca="1">TEXT(Overig!A54,"000\,")&amp;TEXT(Overig!B54,"?00000000")&amp;TEXT(Overig!C54,""", ""@")&amp;SUBSTITUTE(TEXT(IF(ISTEXT(Overig!D54),Overig!D54,10*Overig!D54),""",""????0;"",""???-0;"",""????0;"", ////"""),"'","""")&amp;SUBSTITUTE(TEXT(Overig!E54,""",""?00;"",""?-00;"",""?00;"", //"""),"'","""")</f>
        <v>073, 19450118, 12.00, ////, 07</v>
      </c>
    </row>
    <row r="55" spans="1:1" x14ac:dyDescent="0.25">
      <c r="A55" s="16" t="str">
        <f ca="1">TEXT(Overig!A55,"000\,")&amp;TEXT(Overig!B55,"?00000000")&amp;TEXT(Overig!C55,""", ""@")&amp;SUBSTITUTE(TEXT(IF(ISTEXT(Overig!D55),Overig!D55,10*Overig!D55),""",""????0;"",""???-0;"",""????0;"", ////"""),"'","""")&amp;SUBSTITUTE(TEXT(Overig!E55,""",""?00;"",""?-00;"",""?00;"", //"""),"'","""")</f>
        <v>073, 19450118, 16.00, ////, 07</v>
      </c>
    </row>
    <row r="56" spans="1:1" x14ac:dyDescent="0.25">
      <c r="A56" s="16" t="str">
        <f ca="1">TEXT(Overig!A56,"000\,")&amp;TEXT(Overig!B56,"?00000000")&amp;TEXT(Overig!C56,""", ""@")&amp;SUBSTITUTE(TEXT(IF(ISTEXT(Overig!D56),Overig!D56,10*Overig!D56),""",""????0;"",""???-0;"",""????0;"", ////"""),"'","""")&amp;SUBSTITUTE(TEXT(Overig!E56,""",""?00;"",""?-00;"",""?00;"", //"""),"'","""")</f>
        <v>073, 19450119, 08.00, ////, 07</v>
      </c>
    </row>
    <row r="57" spans="1:1" x14ac:dyDescent="0.25">
      <c r="A57" s="16" t="str">
        <f ca="1">TEXT(Overig!A57,"000\,")&amp;TEXT(Overig!B57,"?00000000")&amp;TEXT(Overig!C57,""", ""@")&amp;SUBSTITUTE(TEXT(IF(ISTEXT(Overig!D57),Overig!D57,10*Overig!D57),""",""????0;"",""???-0;"",""????0;"", ////"""),"'","""")&amp;SUBSTITUTE(TEXT(Overig!E57,""",""?00;"",""?-00;"",""?00;"", //"""),"'","""")</f>
        <v>073, 19450119, 12.00, ////, 07</v>
      </c>
    </row>
    <row r="58" spans="1:1" x14ac:dyDescent="0.25">
      <c r="A58" s="16" t="str">
        <f ca="1">TEXT(Overig!A58,"000\,")&amp;TEXT(Overig!B58,"?00000000")&amp;TEXT(Overig!C58,""", ""@")&amp;SUBSTITUTE(TEXT(IF(ISTEXT(Overig!D58),Overig!D58,10*Overig!D58),""",""????0;"",""???-0;"",""????0;"", ////"""),"'","""")&amp;SUBSTITUTE(TEXT(Overig!E58,""",""?00;"",""?-00;"",""?00;"", //"""),"'","""")</f>
        <v>073, 19450119, 16.00, ////, 07</v>
      </c>
    </row>
    <row r="59" spans="1:1" x14ac:dyDescent="0.25">
      <c r="A59" s="16" t="str">
        <f ca="1">TEXT(Overig!A59,"000\,")&amp;TEXT(Overig!B59,"?00000000")&amp;TEXT(Overig!C59,""", ""@")&amp;SUBSTITUTE(TEXT(IF(ISTEXT(Overig!D59),Overig!D59,10*Overig!D59),""",""????0;"",""???-0;"",""????0;"", ////"""),"'","""")&amp;SUBSTITUTE(TEXT(Overig!E59,""",""?00;"",""?-00;"",""?00;"", //"""),"'","""")</f>
        <v>073, 19450120, 08.00, ////, 07</v>
      </c>
    </row>
    <row r="60" spans="1:1" x14ac:dyDescent="0.25">
      <c r="A60" s="16" t="str">
        <f ca="1">TEXT(Overig!A60,"000\,")&amp;TEXT(Overig!B60,"?00000000")&amp;TEXT(Overig!C60,""", ""@")&amp;SUBSTITUTE(TEXT(IF(ISTEXT(Overig!D60),Overig!D60,10*Overig!D60),""",""????0;"",""???-0;"",""????0;"", ////"""),"'","""")&amp;SUBSTITUTE(TEXT(Overig!E60,""",""?00;"",""?-00;"",""?00;"", //"""),"'","""")</f>
        <v>073, 19450120, 12.00, ////, 07</v>
      </c>
    </row>
    <row r="61" spans="1:1" x14ac:dyDescent="0.25">
      <c r="A61" s="16" t="str">
        <f ca="1">TEXT(Overig!A61,"000\,")&amp;TEXT(Overig!B61,"?00000000")&amp;TEXT(Overig!C61,""", ""@")&amp;SUBSTITUTE(TEXT(IF(ISTEXT(Overig!D61),Overig!D61,10*Overig!D61),""",""????0;"",""???-0;"",""????0;"", ////"""),"'","""")&amp;SUBSTITUTE(TEXT(Overig!E61,""",""?00;"",""?-00;"",""?00;"", //"""),"'","""")</f>
        <v>073, 19450120, 16.00, ////, 07</v>
      </c>
    </row>
    <row r="62" spans="1:1" x14ac:dyDescent="0.25">
      <c r="A62" s="16" t="str">
        <f ca="1">TEXT(Overig!A62,"000\,")&amp;TEXT(Overig!B62,"?00000000")&amp;TEXT(Overig!C62,""", ""@")&amp;SUBSTITUTE(TEXT(IF(ISTEXT(Overig!D62),Overig!D62,10*Overig!D62),""",""????0;"",""???-0;"",""????0;"", ////"""),"'","""")&amp;SUBSTITUTE(TEXT(Overig!E62,""",""?00;"",""?-00;"",""?00;"", //"""),"'","""")</f>
        <v>073, 19450121, 08.00, ////, 07</v>
      </c>
    </row>
    <row r="63" spans="1:1" x14ac:dyDescent="0.25">
      <c r="A63" s="16" t="str">
        <f ca="1">TEXT(Overig!A63,"000\,")&amp;TEXT(Overig!B63,"?00000000")&amp;TEXT(Overig!C63,""", ""@")&amp;SUBSTITUTE(TEXT(IF(ISTEXT(Overig!D63),Overig!D63,10*Overig!D63),""",""????0;"",""???-0;"",""????0;"", ////"""),"'","""")&amp;SUBSTITUTE(TEXT(Overig!E63,""",""?00;"",""?-00;"",""?00;"", //"""),"'","""")</f>
        <v>073, 19450121, 12.00, ////, 07</v>
      </c>
    </row>
    <row r="64" spans="1:1" x14ac:dyDescent="0.25">
      <c r="A64" s="16" t="str">
        <f ca="1">TEXT(Overig!A64,"000\,")&amp;TEXT(Overig!B64,"?00000000")&amp;TEXT(Overig!C64,""", ""@")&amp;SUBSTITUTE(TEXT(IF(ISTEXT(Overig!D64),Overig!D64,10*Overig!D64),""",""????0;"",""???-0;"",""????0;"", ////"""),"'","""")&amp;SUBSTITUTE(TEXT(Overig!E64,""",""?00;"",""?-00;"",""?00;"", //"""),"'","""")</f>
        <v>073, 19450121, 16.00, ////, 07</v>
      </c>
    </row>
    <row r="65" spans="1:1" x14ac:dyDescent="0.25">
      <c r="A65" s="16" t="str">
        <f ca="1">TEXT(Overig!A65,"000\,")&amp;TEXT(Overig!B65,"?00000000")&amp;TEXT(Overig!C65,""", ""@")&amp;SUBSTITUTE(TEXT(IF(ISTEXT(Overig!D65),Overig!D65,10*Overig!D65),""",""????0;"",""???-0;"",""????0;"", ////"""),"'","""")&amp;SUBSTITUTE(TEXT(Overig!E65,""",""?00;"",""?-00;"",""?00;"", //"""),"'","""")</f>
        <v>073, 19450122, 08.00, ////, 07</v>
      </c>
    </row>
    <row r="66" spans="1:1" x14ac:dyDescent="0.25">
      <c r="A66" s="16" t="str">
        <f ca="1">TEXT(Overig!A66,"000\,")&amp;TEXT(Overig!B66,"?00000000")&amp;TEXT(Overig!C66,""", ""@")&amp;SUBSTITUTE(TEXT(IF(ISTEXT(Overig!D66),Overig!D66,10*Overig!D66),""",""????0;"",""???-0;"",""????0;"", ////"""),"'","""")&amp;SUBSTITUTE(TEXT(Overig!E66,""",""?00;"",""?-00;"",""?00;"", //"""),"'","""")</f>
        <v>073, 19450122, 12.00, ////, 07</v>
      </c>
    </row>
    <row r="67" spans="1:1" x14ac:dyDescent="0.25">
      <c r="A67" s="16" t="str">
        <f ca="1">TEXT(Overig!A67,"000\,")&amp;TEXT(Overig!B67,"?00000000")&amp;TEXT(Overig!C67,""", ""@")&amp;SUBSTITUTE(TEXT(IF(ISTEXT(Overig!D67),Overig!D67,10*Overig!D67),""",""????0;"",""???-0;"",""????0;"", ////"""),"'","""")&amp;SUBSTITUTE(TEXT(Overig!E67,""",""?00;"",""?-00;"",""?00;"", //"""),"'","""")</f>
        <v>073, 19450122, 16.00, ////, 07</v>
      </c>
    </row>
    <row r="68" spans="1:1" x14ac:dyDescent="0.25">
      <c r="A68" s="16" t="str">
        <f ca="1">TEXT(Overig!A68,"000\,")&amp;TEXT(Overig!B68,"?00000000")&amp;TEXT(Overig!C68,""", ""@")&amp;SUBSTITUTE(TEXT(IF(ISTEXT(Overig!D68),Overig!D68,10*Overig!D68),""",""????0;"",""???-0;"",""????0;"", ////"""),"'","""")&amp;SUBSTITUTE(TEXT(Overig!E68,""",""?00;"",""?-00;"",""?00;"", //"""),"'","""")</f>
        <v>073, 19450123, 08.00, ////, 07</v>
      </c>
    </row>
    <row r="69" spans="1:1" x14ac:dyDescent="0.25">
      <c r="A69" s="16" t="str">
        <f ca="1">TEXT(Overig!A69,"000\,")&amp;TEXT(Overig!B69,"?00000000")&amp;TEXT(Overig!C69,""", ""@")&amp;SUBSTITUTE(TEXT(IF(ISTEXT(Overig!D69),Overig!D69,10*Overig!D69),""",""????0;"",""???-0;"",""????0;"", ////"""),"'","""")&amp;SUBSTITUTE(TEXT(Overig!E69,""",""?00;"",""?-00;"",""?00;"", //"""),"'","""")</f>
        <v>073, 19450123, 12.00, ////, 07</v>
      </c>
    </row>
    <row r="70" spans="1:1" x14ac:dyDescent="0.25">
      <c r="A70" s="16" t="str">
        <f ca="1">TEXT(Overig!A70,"000\,")&amp;TEXT(Overig!B70,"?00000000")&amp;TEXT(Overig!C70,""", ""@")&amp;SUBSTITUTE(TEXT(IF(ISTEXT(Overig!D70),Overig!D70,10*Overig!D70),""",""????0;"",""???-0;"",""????0;"", ////"""),"'","""")&amp;SUBSTITUTE(TEXT(Overig!E70,""",""?00;"",""?-00;"",""?00;"", //"""),"'","""")</f>
        <v>073, 19450123, 16.00, ////, 07</v>
      </c>
    </row>
    <row r="71" spans="1:1" x14ac:dyDescent="0.25">
      <c r="A71" s="16" t="str">
        <f ca="1">TEXT(Overig!A71,"000\,")&amp;TEXT(Overig!B71,"?00000000")&amp;TEXT(Overig!C71,""", ""@")&amp;SUBSTITUTE(TEXT(IF(ISTEXT(Overig!D71),Overig!D71,10*Overig!D71),""",""????0;"",""???-0;"",""????0;"", ////"""),"'","""")&amp;SUBSTITUTE(TEXT(Overig!E71,""",""?00;"",""?-00;"",""?00;"", //"""),"'","""")</f>
        <v>073, 19450124, 08.00, ////, 07</v>
      </c>
    </row>
    <row r="72" spans="1:1" x14ac:dyDescent="0.25">
      <c r="A72" s="16" t="str">
        <f ca="1">TEXT(Overig!A72,"000\,")&amp;TEXT(Overig!B72,"?00000000")&amp;TEXT(Overig!C72,""", ""@")&amp;SUBSTITUTE(TEXT(IF(ISTEXT(Overig!D72),Overig!D72,10*Overig!D72),""",""????0;"",""???-0;"",""????0;"", ////"""),"'","""")&amp;SUBSTITUTE(TEXT(Overig!E72,""",""?00;"",""?-00;"",""?00;"", //"""),"'","""")</f>
        <v>073, 19450124, 12.00, ////, 07</v>
      </c>
    </row>
    <row r="73" spans="1:1" x14ac:dyDescent="0.25">
      <c r="A73" s="16" t="str">
        <f ca="1">TEXT(Overig!A73,"000\,")&amp;TEXT(Overig!B73,"?00000000")&amp;TEXT(Overig!C73,""", ""@")&amp;SUBSTITUTE(TEXT(IF(ISTEXT(Overig!D73),Overig!D73,10*Overig!D73),""",""????0;"",""???-0;"",""????0;"", ////"""),"'","""")&amp;SUBSTITUTE(TEXT(Overig!E73,""",""?00;"",""?-00;"",""?00;"", //"""),"'","""")</f>
        <v>073, 19450124, 16.00, ////, 07</v>
      </c>
    </row>
    <row r="74" spans="1:1" x14ac:dyDescent="0.25">
      <c r="A74" s="16" t="str">
        <f ca="1">TEXT(Overig!A74,"000\,")&amp;TEXT(Overig!B74,"?00000000")&amp;TEXT(Overig!C74,""", ""@")&amp;SUBSTITUTE(TEXT(IF(ISTEXT(Overig!D74),Overig!D74,10*Overig!D74),""",""????0;"",""???-0;"",""????0;"", ////"""),"'","""")&amp;SUBSTITUTE(TEXT(Overig!E74,""",""?00;"",""?-00;"",""?00;"", //"""),"'","""")</f>
        <v>073, 19450125, 08.00, ////, 07</v>
      </c>
    </row>
    <row r="75" spans="1:1" x14ac:dyDescent="0.25">
      <c r="A75" s="16" t="str">
        <f ca="1">TEXT(Overig!A75,"000\,")&amp;TEXT(Overig!B75,"?00000000")&amp;TEXT(Overig!C75,""", ""@")&amp;SUBSTITUTE(TEXT(IF(ISTEXT(Overig!D75),Overig!D75,10*Overig!D75),""",""????0;"",""???-0;"",""????0;"", ////"""),"'","""")&amp;SUBSTITUTE(TEXT(Overig!E75,""",""?00;"",""?-00;"",""?00;"", //"""),"'","""")</f>
        <v>073, 19450125, 12.00, ////, 07</v>
      </c>
    </row>
    <row r="76" spans="1:1" x14ac:dyDescent="0.25">
      <c r="A76" s="16" t="str">
        <f ca="1">TEXT(Overig!A76,"000\,")&amp;TEXT(Overig!B76,"?00000000")&amp;TEXT(Overig!C76,""", ""@")&amp;SUBSTITUTE(TEXT(IF(ISTEXT(Overig!D76),Overig!D76,10*Overig!D76),""",""????0;"",""???-0;"",""????0;"", ////"""),"'","""")&amp;SUBSTITUTE(TEXT(Overig!E76,""",""?00;"",""?-00;"",""?00;"", //"""),"'","""")</f>
        <v>073, 19450125, 16.00, ////, 07</v>
      </c>
    </row>
    <row r="77" spans="1:1" x14ac:dyDescent="0.25">
      <c r="A77" s="16" t="str">
        <f ca="1">TEXT(Overig!A77,"000\,")&amp;TEXT(Overig!B77,"?00000000")&amp;TEXT(Overig!C77,""", ""@")&amp;SUBSTITUTE(TEXT(IF(ISTEXT(Overig!D77),Overig!D77,10*Overig!D77),""",""????0;"",""???-0;"",""????0;"", ////"""),"'","""")&amp;SUBSTITUTE(TEXT(Overig!E77,""",""?00;"",""?-00;"",""?00;"", //"""),"'","""")</f>
        <v>073, 19450126, 08.00, ////, 07</v>
      </c>
    </row>
    <row r="78" spans="1:1" x14ac:dyDescent="0.25">
      <c r="A78" s="16" t="str">
        <f ca="1">TEXT(Overig!A78,"000\,")&amp;TEXT(Overig!B78,"?00000000")&amp;TEXT(Overig!C78,""", ""@")&amp;SUBSTITUTE(TEXT(IF(ISTEXT(Overig!D78),Overig!D78,10*Overig!D78),""",""????0;"",""???-0;"",""????0;"", ////"""),"'","""")&amp;SUBSTITUTE(TEXT(Overig!E78,""",""?00;"",""?-00;"",""?00;"", //"""),"'","""")</f>
        <v>073, 19450126, 12.00, ////, 07</v>
      </c>
    </row>
    <row r="79" spans="1:1" x14ac:dyDescent="0.25">
      <c r="A79" s="16" t="str">
        <f ca="1">TEXT(Overig!A79,"000\,")&amp;TEXT(Overig!B79,"?00000000")&amp;TEXT(Overig!C79,""", ""@")&amp;SUBSTITUTE(TEXT(IF(ISTEXT(Overig!D79),Overig!D79,10*Overig!D79),""",""????0;"",""???-0;"",""????0;"", ////"""),"'","""")&amp;SUBSTITUTE(TEXT(Overig!E79,""",""?00;"",""?-00;"",""?00;"", //"""),"'","""")</f>
        <v>073, 19450126, 16.00, ////, 07</v>
      </c>
    </row>
    <row r="80" spans="1:1" x14ac:dyDescent="0.25">
      <c r="A80" s="16" t="str">
        <f ca="1">TEXT(Overig!A80,"000\,")&amp;TEXT(Overig!B80,"?00000000")&amp;TEXT(Overig!C80,""", ""@")&amp;SUBSTITUTE(TEXT(IF(ISTEXT(Overig!D80),Overig!D80,10*Overig!D80),""",""????0;"",""???-0;"",""????0;"", ////"""),"'","""")&amp;SUBSTITUTE(TEXT(Overig!E80,""",""?00;"",""?-00;"",""?00;"", //"""),"'","""")</f>
        <v>073, 19450127, 08.00, ////, 07</v>
      </c>
    </row>
    <row r="81" spans="1:1" x14ac:dyDescent="0.25">
      <c r="A81" s="16" t="str">
        <f ca="1">TEXT(Overig!A81,"000\,")&amp;TEXT(Overig!B81,"?00000000")&amp;TEXT(Overig!C81,""", ""@")&amp;SUBSTITUTE(TEXT(IF(ISTEXT(Overig!D81),Overig!D81,10*Overig!D81),""",""????0;"",""???-0;"",""????0;"", ////"""),"'","""")&amp;SUBSTITUTE(TEXT(Overig!E81,""",""?00;"",""?-00;"",""?00;"", //"""),"'","""")</f>
        <v>073, 19450127, 12.00, ////, 07</v>
      </c>
    </row>
    <row r="82" spans="1:1" x14ac:dyDescent="0.25">
      <c r="A82" s="16" t="str">
        <f ca="1">TEXT(Overig!A82,"000\,")&amp;TEXT(Overig!B82,"?00000000")&amp;TEXT(Overig!C82,""", ""@")&amp;SUBSTITUTE(TEXT(IF(ISTEXT(Overig!D82),Overig!D82,10*Overig!D82),""",""????0;"",""???-0;"",""????0;"", ////"""),"'","""")&amp;SUBSTITUTE(TEXT(Overig!E82,""",""?00;"",""?-00;"",""?00;"", //"""),"'","""")</f>
        <v>073, 19450127, 16.00, ////, 07</v>
      </c>
    </row>
    <row r="83" spans="1:1" x14ac:dyDescent="0.25">
      <c r="A83" s="16" t="str">
        <f ca="1">TEXT(Overig!A83,"000\,")&amp;TEXT(Overig!B83,"?00000000")&amp;TEXT(Overig!C83,""", ""@")&amp;SUBSTITUTE(TEXT(IF(ISTEXT(Overig!D83),Overig!D83,10*Overig!D83),""",""????0;"",""???-0;"",""????0;"", ////"""),"'","""")&amp;SUBSTITUTE(TEXT(Overig!E83,""",""?00;"",""?-00;"",""?00;"", //"""),"'","""")</f>
        <v>073, 19450128, 08.00, ////, 07</v>
      </c>
    </row>
    <row r="84" spans="1:1" x14ac:dyDescent="0.25">
      <c r="A84" s="16" t="str">
        <f ca="1">TEXT(Overig!A84,"000\,")&amp;TEXT(Overig!B84,"?00000000")&amp;TEXT(Overig!C84,""", ""@")&amp;SUBSTITUTE(TEXT(IF(ISTEXT(Overig!D84),Overig!D84,10*Overig!D84),""",""????0;"",""???-0;"",""????0;"", ////"""),"'","""")&amp;SUBSTITUTE(TEXT(Overig!E84,""",""?00;"",""?-00;"",""?00;"", //"""),"'","""")</f>
        <v>073, 19450128, 12.00, ////, 07</v>
      </c>
    </row>
    <row r="85" spans="1:1" x14ac:dyDescent="0.25">
      <c r="A85" s="16" t="str">
        <f ca="1">TEXT(Overig!A85,"000\,")&amp;TEXT(Overig!B85,"?00000000")&amp;TEXT(Overig!C85,""", ""@")&amp;SUBSTITUTE(TEXT(IF(ISTEXT(Overig!D85),Overig!D85,10*Overig!D85),""",""????0;"",""???-0;"",""????0;"", ////"""),"'","""")&amp;SUBSTITUTE(TEXT(Overig!E85,""",""?00;"",""?-00;"",""?00;"", //"""),"'","""")</f>
        <v>073, 19450128, 16.00, ////, 07</v>
      </c>
    </row>
    <row r="86" spans="1:1" x14ac:dyDescent="0.25">
      <c r="A86" s="16" t="str">
        <f ca="1">TEXT(Overig!A86,"000\,")&amp;TEXT(Overig!B86,"?00000000")&amp;TEXT(Overig!C86,""", ""@")&amp;SUBSTITUTE(TEXT(IF(ISTEXT(Overig!D86),Overig!D86,10*Overig!D86),""",""????0;"",""???-0;"",""????0;"", ////"""),"'","""")&amp;SUBSTITUTE(TEXT(Overig!E86,""",""?00;"",""?-00;"",""?00;"", //"""),"'","""")</f>
        <v>073, 19450129, 08.00, ////, 07</v>
      </c>
    </row>
    <row r="87" spans="1:1" x14ac:dyDescent="0.25">
      <c r="A87" s="16" t="str">
        <f ca="1">TEXT(Overig!A87,"000\,")&amp;TEXT(Overig!B87,"?00000000")&amp;TEXT(Overig!C87,""", ""@")&amp;SUBSTITUTE(TEXT(IF(ISTEXT(Overig!D87),Overig!D87,10*Overig!D87),""",""????0;"",""???-0;"",""????0;"", ////"""),"'","""")&amp;SUBSTITUTE(TEXT(Overig!E87,""",""?00;"",""?-00;"",""?00;"", //"""),"'","""")</f>
        <v>073, 19450129, 12.00, ////, 07</v>
      </c>
    </row>
    <row r="88" spans="1:1" x14ac:dyDescent="0.25">
      <c r="A88" s="16" t="str">
        <f ca="1">TEXT(Overig!A88,"000\,")&amp;TEXT(Overig!B88,"?00000000")&amp;TEXT(Overig!C88,""", ""@")&amp;SUBSTITUTE(TEXT(IF(ISTEXT(Overig!D88),Overig!D88,10*Overig!D88),""",""????0;"",""???-0;"",""????0;"", ////"""),"'","""")&amp;SUBSTITUTE(TEXT(Overig!E88,""",""?00;"",""?-00;"",""?00;"", //"""),"'","""")</f>
        <v>073, 19450129, 16.00, ////, 07</v>
      </c>
    </row>
    <row r="89" spans="1:1" x14ac:dyDescent="0.25">
      <c r="A89" s="16" t="str">
        <f ca="1">TEXT(Overig!A89,"000\,")&amp;TEXT(Overig!B89,"?00000000")&amp;TEXT(Overig!C89,""", ""@")&amp;SUBSTITUTE(TEXT(IF(ISTEXT(Overig!D89),Overig!D89,10*Overig!D89),""",""????0;"",""???-0;"",""????0;"", ////"""),"'","""")&amp;SUBSTITUTE(TEXT(Overig!E89,""",""?00;"",""?-00;"",""?00;"", //"""),"'","""")</f>
        <v>073, 19450130, 08.00, ////, 07</v>
      </c>
    </row>
    <row r="90" spans="1:1" x14ac:dyDescent="0.25">
      <c r="A90" s="16" t="str">
        <f ca="1">TEXT(Overig!A90,"000\,")&amp;TEXT(Overig!B90,"?00000000")&amp;TEXT(Overig!C90,""", ""@")&amp;SUBSTITUTE(TEXT(IF(ISTEXT(Overig!D90),Overig!D90,10*Overig!D90),""",""????0;"",""???-0;"",""????0;"", ////"""),"'","""")&amp;SUBSTITUTE(TEXT(Overig!E90,""",""?00;"",""?-00;"",""?00;"", //"""),"'","""")</f>
        <v>073, 19450130, 12.00, ////, 07</v>
      </c>
    </row>
    <row r="91" spans="1:1" x14ac:dyDescent="0.25">
      <c r="A91" s="16" t="str">
        <f ca="1">TEXT(Overig!A91,"000\,")&amp;TEXT(Overig!B91,"?00000000")&amp;TEXT(Overig!C91,""", ""@")&amp;SUBSTITUTE(TEXT(IF(ISTEXT(Overig!D91),Overig!D91,10*Overig!D91),""",""????0;"",""???-0;"",""????0;"", ////"""),"'","""")&amp;SUBSTITUTE(TEXT(Overig!E91,""",""?00;"",""?-00;"",""?00;"", //"""),"'","""")</f>
        <v>073, 19450130, 16.00, ////, 07</v>
      </c>
    </row>
    <row r="92" spans="1:1" x14ac:dyDescent="0.25">
      <c r="A92" s="16" t="str">
        <f ca="1">TEXT(Overig!A92,"000\,")&amp;TEXT(Overig!B92,"?00000000")&amp;TEXT(Overig!C92,""", ""@")&amp;SUBSTITUTE(TEXT(IF(ISTEXT(Overig!D92),Overig!D92,10*Overig!D92),""",""????0;"",""???-0;"",""????0;"", ////"""),"'","""")&amp;SUBSTITUTE(TEXT(Overig!E92,""",""?00;"",""?-00;"",""?00;"", //"""),"'","""")</f>
        <v>073, 19450131, 08.00, ////, 07</v>
      </c>
    </row>
    <row r="93" spans="1:1" x14ac:dyDescent="0.25">
      <c r="A93" s="16" t="str">
        <f ca="1">TEXT(Overig!A93,"000\,")&amp;TEXT(Overig!B93,"?00000000")&amp;TEXT(Overig!C93,""", ""@")&amp;SUBSTITUTE(TEXT(IF(ISTEXT(Overig!D93),Overig!D93,10*Overig!D93),""",""????0;"",""???-0;"",""????0;"", ////"""),"'","""")&amp;SUBSTITUTE(TEXT(Overig!E93,""",""?00;"",""?-00;"",""?00;"", //"""),"'","""")</f>
        <v>073, 19450131, 12.00, ////, 07</v>
      </c>
    </row>
    <row r="94" spans="1:1" x14ac:dyDescent="0.25">
      <c r="A94" s="16" t="str">
        <f ca="1">TEXT(Overig!A94,"000\,")&amp;TEXT(Overig!B94,"?00000000")&amp;TEXT(Overig!C94,""", ""@")&amp;SUBSTITUTE(TEXT(IF(ISTEXT(Overig!D94),Overig!D94,10*Overig!D94),""",""????0;"",""???-0;"",""????0;"", ////"""),"'","""")&amp;SUBSTITUTE(TEXT(Overig!E94,""",""?00;"",""?-00;"",""?00;"", //"""),"'","""")</f>
        <v>073, 19450131, 16.00, ////, 07</v>
      </c>
    </row>
    <row r="95" spans="1:1" x14ac:dyDescent="0.25">
      <c r="A95" s="16" t="str">
        <f ca="1">TEXT(Overig!A95,"000\,")&amp;TEXT(Overig!B95,"?00000000")&amp;TEXT(Overig!C95,""", ""@")&amp;SUBSTITUTE(TEXT(IF(ISTEXT(Overig!D95),Overig!D95,10*Overig!D95),""",""????0;"",""???-0;"",""????0;"", ////"""),"'","""")&amp;SUBSTITUTE(TEXT(Overig!E95,""",""?00;"",""?-00;"",""?00;"", //"""),"'","""")</f>
        <v>073, 19450201, 08.00, ////, 07</v>
      </c>
    </row>
    <row r="96" spans="1:1" x14ac:dyDescent="0.25">
      <c r="A96" s="16" t="str">
        <f ca="1">TEXT(Overig!A96,"000\,")&amp;TEXT(Overig!B96,"?00000000")&amp;TEXT(Overig!C96,""", ""@")&amp;SUBSTITUTE(TEXT(IF(ISTEXT(Overig!D96),Overig!D96,10*Overig!D96),""",""????0;"",""???-0;"",""????0;"", ////"""),"'","""")&amp;SUBSTITUTE(TEXT(Overig!E96,""",""?00;"",""?-00;"",""?00;"", //"""),"'","""")</f>
        <v>073, 19450201, 12.00, ////, 07</v>
      </c>
    </row>
    <row r="97" spans="1:1" x14ac:dyDescent="0.25">
      <c r="A97" s="16" t="str">
        <f ca="1">TEXT(Overig!A97,"000\,")&amp;TEXT(Overig!B97,"?00000000")&amp;TEXT(Overig!C97,""", ""@")&amp;SUBSTITUTE(TEXT(IF(ISTEXT(Overig!D97),Overig!D97,10*Overig!D97),""",""????0;"",""???-0;"",""????0;"", ////"""),"'","""")&amp;SUBSTITUTE(TEXT(Overig!E97,""",""?00;"",""?-00;"",""?00;"", //"""),"'","""")</f>
        <v>073, 19450201, 16.00, ////, 07</v>
      </c>
    </row>
    <row r="98" spans="1:1" x14ac:dyDescent="0.25">
      <c r="A98" s="16" t="str">
        <f ca="1">TEXT(Overig!A98,"000\,")&amp;TEXT(Overig!B98,"?00000000")&amp;TEXT(Overig!C98,""", ""@")&amp;SUBSTITUTE(TEXT(IF(ISTEXT(Overig!D98),Overig!D98,10*Overig!D98),""",""????0;"",""???-0;"",""????0;"", ////"""),"'","""")&amp;SUBSTITUTE(TEXT(Overig!E98,""",""?00;"",""?-00;"",""?00;"", //"""),"'","""")</f>
        <v>073, 19450202, 08.00, ////, 07</v>
      </c>
    </row>
    <row r="99" spans="1:1" x14ac:dyDescent="0.25">
      <c r="A99" s="16" t="str">
        <f ca="1">TEXT(Overig!A99,"000\,")&amp;TEXT(Overig!B99,"?00000000")&amp;TEXT(Overig!C99,""", ""@")&amp;SUBSTITUTE(TEXT(IF(ISTEXT(Overig!D99),Overig!D99,10*Overig!D99),""",""????0;"",""???-0;"",""????0;"", ////"""),"'","""")&amp;SUBSTITUTE(TEXT(Overig!E99,""",""?00;"",""?-00;"",""?00;"", //"""),"'","""")</f>
        <v>073, 19450202, 12.00, ////, 07</v>
      </c>
    </row>
    <row r="100" spans="1:1" x14ac:dyDescent="0.25">
      <c r="A100" s="16" t="str">
        <f ca="1">TEXT(Overig!A100,"000\,")&amp;TEXT(Overig!B100,"?00000000")&amp;TEXT(Overig!C100,""", ""@")&amp;SUBSTITUTE(TEXT(IF(ISTEXT(Overig!D100),Overig!D100,10*Overig!D100),""",""????0;"",""???-0;"",""????0;"", ////"""),"'","""")&amp;SUBSTITUTE(TEXT(Overig!E100,""",""?00;"",""?-00;"",""?00;"", //"""),"'","""")</f>
        <v>073, 19450202, 16.00, ////, 07</v>
      </c>
    </row>
    <row r="101" spans="1:1" x14ac:dyDescent="0.25">
      <c r="A101" s="16" t="str">
        <f ca="1">TEXT(Overig!A101,"000\,")&amp;TEXT(Overig!B101,"?00000000")&amp;TEXT(Overig!C101,""", ""@")&amp;SUBSTITUTE(TEXT(IF(ISTEXT(Overig!D101),Overig!D101,10*Overig!D101),""",""????0;"",""???-0;"",""????0;"", ////"""),"'","""")&amp;SUBSTITUTE(TEXT(Overig!E101,""",""?00;"",""?-00;"",""?00;"", //"""),"'","""")</f>
        <v>073, 19450203, 08.00, ////, 07</v>
      </c>
    </row>
    <row r="102" spans="1:1" x14ac:dyDescent="0.25">
      <c r="A102" s="16" t="str">
        <f ca="1">TEXT(Overig!A102,"000\,")&amp;TEXT(Overig!B102,"?00000000")&amp;TEXT(Overig!C102,""", ""@")&amp;SUBSTITUTE(TEXT(IF(ISTEXT(Overig!D102),Overig!D102,10*Overig!D102),""",""????0;"",""???-0;"",""????0;"", ////"""),"'","""")&amp;SUBSTITUTE(TEXT(Overig!E102,""",""?00;"",""?-00;"",""?00;"", //"""),"'","""")</f>
        <v>073, 19450203, 12.00, ////, 07</v>
      </c>
    </row>
    <row r="103" spans="1:1" x14ac:dyDescent="0.25">
      <c r="A103" s="16" t="str">
        <f ca="1">TEXT(Overig!A103,"000\,")&amp;TEXT(Overig!B103,"?00000000")&amp;TEXT(Overig!C103,""", ""@")&amp;SUBSTITUTE(TEXT(IF(ISTEXT(Overig!D103),Overig!D103,10*Overig!D103),""",""????0;"",""???-0;"",""????0;"", ////"""),"'","""")&amp;SUBSTITUTE(TEXT(Overig!E103,""",""?00;"",""?-00;"",""?00;"", //"""),"'","""")</f>
        <v>073, 19450203, 16.00, ////, 07</v>
      </c>
    </row>
    <row r="104" spans="1:1" x14ac:dyDescent="0.25">
      <c r="A104" s="16" t="str">
        <f ca="1">TEXT(Overig!A104,"000\,")&amp;TEXT(Overig!B104,"?00000000")&amp;TEXT(Overig!C104,""", ""@")&amp;SUBSTITUTE(TEXT(IF(ISTEXT(Overig!D104),Overig!D104,10*Overig!D104),""",""????0;"",""???-0;"",""????0;"", ////"""),"'","""")&amp;SUBSTITUTE(TEXT(Overig!E104,""",""?00;"",""?-00;"",""?00;"", //"""),"'","""")</f>
        <v>073, 19450204, 08.00, ////, 07</v>
      </c>
    </row>
    <row r="105" spans="1:1" x14ac:dyDescent="0.25">
      <c r="A105" s="16" t="str">
        <f ca="1">TEXT(Overig!A105,"000\,")&amp;TEXT(Overig!B105,"?00000000")&amp;TEXT(Overig!C105,""", ""@")&amp;SUBSTITUTE(TEXT(IF(ISTEXT(Overig!D105),Overig!D105,10*Overig!D105),""",""????0;"",""???-0;"",""????0;"", ////"""),"'","""")&amp;SUBSTITUTE(TEXT(Overig!E105,""",""?00;"",""?-00;"",""?00;"", //"""),"'","""")</f>
        <v>073, 19450204, 12.00, ////, 07</v>
      </c>
    </row>
    <row r="106" spans="1:1" x14ac:dyDescent="0.25">
      <c r="A106" s="16" t="str">
        <f ca="1">TEXT(Overig!A106,"000\,")&amp;TEXT(Overig!B106,"?00000000")&amp;TEXT(Overig!C106,""", ""@")&amp;SUBSTITUTE(TEXT(IF(ISTEXT(Overig!D106),Overig!D106,10*Overig!D106),""",""????0;"",""???-0;"",""????0;"", ////"""),"'","""")&amp;SUBSTITUTE(TEXT(Overig!E106,""",""?00;"",""?-00;"",""?00;"", //"""),"'","""")</f>
        <v>073, 19450204, 16.00, ////, 07</v>
      </c>
    </row>
    <row r="107" spans="1:1" x14ac:dyDescent="0.25">
      <c r="A107" s="16" t="str">
        <f ca="1">TEXT(Overig!A107,"000\,")&amp;TEXT(Overig!B107,"?00000000")&amp;TEXT(Overig!C107,""", ""@")&amp;SUBSTITUTE(TEXT(IF(ISTEXT(Overig!D107),Overig!D107,10*Overig!D107),""",""????0;"",""???-0;"",""????0;"", ////"""),"'","""")&amp;SUBSTITUTE(TEXT(Overig!E107,""",""?00;"",""?-00;"",""?00;"", //"""),"'","""")</f>
        <v>073, 19450205, 08.00, ////, 07</v>
      </c>
    </row>
    <row r="108" spans="1:1" x14ac:dyDescent="0.25">
      <c r="A108" s="16" t="str">
        <f ca="1">TEXT(Overig!A108,"000\,")&amp;TEXT(Overig!B108,"?00000000")&amp;TEXT(Overig!C108,""", ""@")&amp;SUBSTITUTE(TEXT(IF(ISTEXT(Overig!D108),Overig!D108,10*Overig!D108),""",""????0;"",""???-0;"",""????0;"", ////"""),"'","""")&amp;SUBSTITUTE(TEXT(Overig!E108,""",""?00;"",""?-00;"",""?00;"", //"""),"'","""")</f>
        <v>073, 19450205, 12.00, ////, 07</v>
      </c>
    </row>
    <row r="109" spans="1:1" x14ac:dyDescent="0.25">
      <c r="A109" s="16" t="str">
        <f ca="1">TEXT(Overig!A109,"000\,")&amp;TEXT(Overig!B109,"?00000000")&amp;TEXT(Overig!C109,""", ""@")&amp;SUBSTITUTE(TEXT(IF(ISTEXT(Overig!D109),Overig!D109,10*Overig!D109),""",""????0;"",""???-0;"",""????0;"", ////"""),"'","""")&amp;SUBSTITUTE(TEXT(Overig!E109,""",""?00;"",""?-00;"",""?00;"", //"""),"'","""")</f>
        <v>073, 19450205, 16.00, ////, 07</v>
      </c>
    </row>
    <row r="110" spans="1:1" x14ac:dyDescent="0.25">
      <c r="A110" s="16" t="str">
        <f ca="1">TEXT(Overig!A110,"000\,")&amp;TEXT(Overig!B110,"?00000000")&amp;TEXT(Overig!C110,""", ""@")&amp;SUBSTITUTE(TEXT(IF(ISTEXT(Overig!D110),Overig!D110,10*Overig!D110),""",""????0;"",""???-0;"",""????0;"", ////"""),"'","""")&amp;SUBSTITUTE(TEXT(Overig!E110,""",""?00;"",""?-00;"",""?00;"", //"""),"'","""")</f>
        <v>073, 19450206, 08.00, ////, 07</v>
      </c>
    </row>
    <row r="111" spans="1:1" x14ac:dyDescent="0.25">
      <c r="A111" s="16" t="str">
        <f ca="1">TEXT(Overig!A111,"000\,")&amp;TEXT(Overig!B111,"?00000000")&amp;TEXT(Overig!C111,""", ""@")&amp;SUBSTITUTE(TEXT(IF(ISTEXT(Overig!D111),Overig!D111,10*Overig!D111),""",""????0;"",""???-0;"",""????0;"", ////"""),"'","""")&amp;SUBSTITUTE(TEXT(Overig!E111,""",""?00;"",""?-00;"",""?00;"", //"""),"'","""")</f>
        <v>073, 19450206, 12.00, ////, 07</v>
      </c>
    </row>
    <row r="112" spans="1:1" x14ac:dyDescent="0.25">
      <c r="A112" s="16" t="str">
        <f ca="1">TEXT(Overig!A112,"000\,")&amp;TEXT(Overig!B112,"?00000000")&amp;TEXT(Overig!C112,""", ""@")&amp;SUBSTITUTE(TEXT(IF(ISTEXT(Overig!D112),Overig!D112,10*Overig!D112),""",""????0;"",""???-0;"",""????0;"", ////"""),"'","""")&amp;SUBSTITUTE(TEXT(Overig!E112,""",""?00;"",""?-00;"",""?00;"", //"""),"'","""")</f>
        <v>073, 19450206, 16.00, ////, 07</v>
      </c>
    </row>
    <row r="113" spans="1:1" x14ac:dyDescent="0.25">
      <c r="A113" s="16" t="str">
        <f ca="1">TEXT(Overig!A113,"000\,")&amp;TEXT(Overig!B113,"?00000000")&amp;TEXT(Overig!C113,""", ""@")&amp;SUBSTITUTE(TEXT(IF(ISTEXT(Overig!D113),Overig!D113,10*Overig!D113),""",""????0;"",""???-0;"",""????0;"", ////"""),"'","""")&amp;SUBSTITUTE(TEXT(Overig!E113,""",""?00;"",""?-00;"",""?00;"", //"""),"'","""")</f>
        <v>073, 19450207, 08.00, ////, 07</v>
      </c>
    </row>
    <row r="114" spans="1:1" x14ac:dyDescent="0.25">
      <c r="A114" s="16" t="str">
        <f ca="1">TEXT(Overig!A114,"000\,")&amp;TEXT(Overig!B114,"?00000000")&amp;TEXT(Overig!C114,""", ""@")&amp;SUBSTITUTE(TEXT(IF(ISTEXT(Overig!D114),Overig!D114,10*Overig!D114),""",""????0;"",""???-0;"",""????0;"", ////"""),"'","""")&amp;SUBSTITUTE(TEXT(Overig!E114,""",""?00;"",""?-00;"",""?00;"", //"""),"'","""")</f>
        <v>073, 19450207, 12.00, ////, 07</v>
      </c>
    </row>
    <row r="115" spans="1:1" x14ac:dyDescent="0.25">
      <c r="A115" s="16" t="str">
        <f ca="1">TEXT(Overig!A115,"000\,")&amp;TEXT(Overig!B115,"?00000000")&amp;TEXT(Overig!C115,""", ""@")&amp;SUBSTITUTE(TEXT(IF(ISTEXT(Overig!D115),Overig!D115,10*Overig!D115),""",""????0;"",""???-0;"",""????0;"", ////"""),"'","""")&amp;SUBSTITUTE(TEXT(Overig!E115,""",""?00;"",""?-00;"",""?00;"", //"""),"'","""")</f>
        <v>073, 19450207, 16.00, ////, 07</v>
      </c>
    </row>
    <row r="116" spans="1:1" x14ac:dyDescent="0.25">
      <c r="A116" s="16" t="str">
        <f ca="1">TEXT(Overig!A116,"000\,")&amp;TEXT(Overig!B116,"?00000000")&amp;TEXT(Overig!C116,""", ""@")&amp;SUBSTITUTE(TEXT(IF(ISTEXT(Overig!D116),Overig!D116,10*Overig!D116),""",""????0;"",""???-0;"",""????0;"", ////"""),"'","""")&amp;SUBSTITUTE(TEXT(Overig!E116,""",""?00;"",""?-00;"",""?00;"", //"""),"'","""")</f>
        <v>073, 19450208, 08.00, ////, 07</v>
      </c>
    </row>
    <row r="117" spans="1:1" x14ac:dyDescent="0.25">
      <c r="A117" s="16" t="str">
        <f ca="1">TEXT(Overig!A117,"000\,")&amp;TEXT(Overig!B117,"?00000000")&amp;TEXT(Overig!C117,""", ""@")&amp;SUBSTITUTE(TEXT(IF(ISTEXT(Overig!D117),Overig!D117,10*Overig!D117),""",""????0;"",""???-0;"",""????0;"", ////"""),"'","""")&amp;SUBSTITUTE(TEXT(Overig!E117,""",""?00;"",""?-00;"",""?00;"", //"""),"'","""")</f>
        <v>073, 19450208, 12.00, ////, 07</v>
      </c>
    </row>
    <row r="118" spans="1:1" x14ac:dyDescent="0.25">
      <c r="A118" s="16" t="str">
        <f ca="1">TEXT(Overig!A118,"000\,")&amp;TEXT(Overig!B118,"?00000000")&amp;TEXT(Overig!C118,""", ""@")&amp;SUBSTITUTE(TEXT(IF(ISTEXT(Overig!D118),Overig!D118,10*Overig!D118),""",""????0;"",""???-0;"",""????0;"", ////"""),"'","""")&amp;SUBSTITUTE(TEXT(Overig!E118,""",""?00;"",""?-00;"",""?00;"", //"""),"'","""")</f>
        <v>073, 19450208, 16.00, ////, 07</v>
      </c>
    </row>
    <row r="119" spans="1:1" x14ac:dyDescent="0.25">
      <c r="A119" s="16" t="str">
        <f ca="1">TEXT(Overig!A119,"000\,")&amp;TEXT(Overig!B119,"?00000000")&amp;TEXT(Overig!C119,""", ""@")&amp;SUBSTITUTE(TEXT(IF(ISTEXT(Overig!D119),Overig!D119,10*Overig!D119),""",""????0;"",""???-0;"",""????0;"", ////"""),"'","""")&amp;SUBSTITUTE(TEXT(Overig!E119,""",""?00;"",""?-00;"",""?00;"", //"""),"'","""")</f>
        <v>073, 19450209, 08.00, ////, 07</v>
      </c>
    </row>
    <row r="120" spans="1:1" x14ac:dyDescent="0.25">
      <c r="A120" s="16" t="str">
        <f ca="1">TEXT(Overig!A120,"000\,")&amp;TEXT(Overig!B120,"?00000000")&amp;TEXT(Overig!C120,""", ""@")&amp;SUBSTITUTE(TEXT(IF(ISTEXT(Overig!D120),Overig!D120,10*Overig!D120),""",""????0;"",""???-0;"",""????0;"", ////"""),"'","""")&amp;SUBSTITUTE(TEXT(Overig!E120,""",""?00;"",""?-00;"",""?00;"", //"""),"'","""")</f>
        <v>073, 19450209, 12.00, ////, 07</v>
      </c>
    </row>
    <row r="121" spans="1:1" x14ac:dyDescent="0.25">
      <c r="A121" s="16" t="str">
        <f ca="1">TEXT(Overig!A121,"000\,")&amp;TEXT(Overig!B121,"?00000000")&amp;TEXT(Overig!C121,""", ""@")&amp;SUBSTITUTE(TEXT(IF(ISTEXT(Overig!D121),Overig!D121,10*Overig!D121),""",""????0;"",""???-0;"",""????0;"", ////"""),"'","""")&amp;SUBSTITUTE(TEXT(Overig!E121,""",""?00;"",""?-00;"",""?00;"", //"""),"'","""")</f>
        <v>073, 19450209, 16.00, ////, 07</v>
      </c>
    </row>
    <row r="122" spans="1:1" x14ac:dyDescent="0.25">
      <c r="A122" s="16" t="str">
        <f ca="1">TEXT(Overig!A122,"000\,")&amp;TEXT(Overig!B122,"?00000000")&amp;TEXT(Overig!C122,""", ""@")&amp;SUBSTITUTE(TEXT(IF(ISTEXT(Overig!D122),Overig!D122,10*Overig!D122),""",""????0;"",""???-0;"",""????0;"", ////"""),"'","""")&amp;SUBSTITUTE(TEXT(Overig!E122,""",""?00;"",""?-00;"",""?00;"", //"""),"'","""")</f>
        <v>073, 19450210, 08.00, ////, 07</v>
      </c>
    </row>
    <row r="123" spans="1:1" x14ac:dyDescent="0.25">
      <c r="A123" s="16" t="str">
        <f ca="1">TEXT(Overig!A123,"000\,")&amp;TEXT(Overig!B123,"?00000000")&amp;TEXT(Overig!C123,""", ""@")&amp;SUBSTITUTE(TEXT(IF(ISTEXT(Overig!D123),Overig!D123,10*Overig!D123),""",""????0;"",""???-0;"",""????0;"", ////"""),"'","""")&amp;SUBSTITUTE(TEXT(Overig!E123,""",""?00;"",""?-00;"",""?00;"", //"""),"'","""")</f>
        <v>073, 19450210, 12.00, ////, 07</v>
      </c>
    </row>
    <row r="124" spans="1:1" x14ac:dyDescent="0.25">
      <c r="A124" s="16" t="str">
        <f ca="1">TEXT(Overig!A124,"000\,")&amp;TEXT(Overig!B124,"?00000000")&amp;TEXT(Overig!C124,""", ""@")&amp;SUBSTITUTE(TEXT(IF(ISTEXT(Overig!D124),Overig!D124,10*Overig!D124),""",""????0;"",""???-0;"",""????0;"", ////"""),"'","""")&amp;SUBSTITUTE(TEXT(Overig!E124,""",""?00;"",""?-00;"",""?00;"", //"""),"'","""")</f>
        <v>073, 19450210, 16.00, ////, 07</v>
      </c>
    </row>
    <row r="125" spans="1:1" x14ac:dyDescent="0.25">
      <c r="A125" s="16" t="str">
        <f ca="1">TEXT(Overig!A125,"000\,")&amp;TEXT(Overig!B125,"?00000000")&amp;TEXT(Overig!C125,""", ""@")&amp;SUBSTITUTE(TEXT(IF(ISTEXT(Overig!D125),Overig!D125,10*Overig!D125),""",""????0;"",""???-0;"",""????0;"", ////"""),"'","""")&amp;SUBSTITUTE(TEXT(Overig!E125,""",""?00;"",""?-00;"",""?00;"", //"""),"'","""")</f>
        <v>073, 19450211, 08.00, ////, 07</v>
      </c>
    </row>
    <row r="126" spans="1:1" x14ac:dyDescent="0.25">
      <c r="A126" s="16" t="str">
        <f ca="1">TEXT(Overig!A126,"000\,")&amp;TEXT(Overig!B126,"?00000000")&amp;TEXT(Overig!C126,""", ""@")&amp;SUBSTITUTE(TEXT(IF(ISTEXT(Overig!D126),Overig!D126,10*Overig!D126),""",""????0;"",""???-0;"",""????0;"", ////"""),"'","""")&amp;SUBSTITUTE(TEXT(Overig!E126,""",""?00;"",""?-00;"",""?00;"", //"""),"'","""")</f>
        <v>073, 19450211, 12.00, ////, 07</v>
      </c>
    </row>
    <row r="127" spans="1:1" x14ac:dyDescent="0.25">
      <c r="A127" s="16" t="str">
        <f ca="1">TEXT(Overig!A127,"000\,")&amp;TEXT(Overig!B127,"?00000000")&amp;TEXT(Overig!C127,""", ""@")&amp;SUBSTITUTE(TEXT(IF(ISTEXT(Overig!D127),Overig!D127,10*Overig!D127),""",""????0;"",""???-0;"",""????0;"", ////"""),"'","""")&amp;SUBSTITUTE(TEXT(Overig!E127,""",""?00;"",""?-00;"",""?00;"", //"""),"'","""")</f>
        <v>073, 19450211, 16.00, ////, 07</v>
      </c>
    </row>
    <row r="128" spans="1:1" x14ac:dyDescent="0.25">
      <c r="A128" s="16" t="str">
        <f ca="1">TEXT(Overig!A128,"000\,")&amp;TEXT(Overig!B128,"?00000000")&amp;TEXT(Overig!C128,""", ""@")&amp;SUBSTITUTE(TEXT(IF(ISTEXT(Overig!D128),Overig!D128,10*Overig!D128),""",""????0;"",""???-0;"",""????0;"", ////"""),"'","""")&amp;SUBSTITUTE(TEXT(Overig!E128,""",""?00;"",""?-00;"",""?00;"", //"""),"'","""")</f>
        <v>073, 19450212, 08.00, ////, 07</v>
      </c>
    </row>
    <row r="129" spans="1:1" x14ac:dyDescent="0.25">
      <c r="A129" s="16" t="str">
        <f ca="1">TEXT(Overig!A129,"000\,")&amp;TEXT(Overig!B129,"?00000000")&amp;TEXT(Overig!C129,""", ""@")&amp;SUBSTITUTE(TEXT(IF(ISTEXT(Overig!D129),Overig!D129,10*Overig!D129),""",""????0;"",""???-0;"",""????0;"", ////"""),"'","""")&amp;SUBSTITUTE(TEXT(Overig!E129,""",""?00;"",""?-00;"",""?00;"", //"""),"'","""")</f>
        <v>073, 19450212, 12.00, ////, 07</v>
      </c>
    </row>
    <row r="130" spans="1:1" x14ac:dyDescent="0.25">
      <c r="A130" s="16" t="str">
        <f ca="1">TEXT(Overig!A130,"000\,")&amp;TEXT(Overig!B130,"?00000000")&amp;TEXT(Overig!C130,""", ""@")&amp;SUBSTITUTE(TEXT(IF(ISTEXT(Overig!D130),Overig!D130,10*Overig!D130),""",""????0;"",""???-0;"",""????0;"", ////"""),"'","""")&amp;SUBSTITUTE(TEXT(Overig!E130,""",""?00;"",""?-00;"",""?00;"", //"""),"'","""")</f>
        <v>073, 19450212, 16.00, ////, 07</v>
      </c>
    </row>
    <row r="131" spans="1:1" x14ac:dyDescent="0.25">
      <c r="A131" s="16" t="str">
        <f ca="1">TEXT(Overig!A131,"000\,")&amp;TEXT(Overig!B131,"?00000000")&amp;TEXT(Overig!C131,""", ""@")&amp;SUBSTITUTE(TEXT(IF(ISTEXT(Overig!D131),Overig!D131,10*Overig!D131),""",""????0;"",""???-0;"",""????0;"", ////"""),"'","""")&amp;SUBSTITUTE(TEXT(Overig!E131,""",""?00;"",""?-00;"",""?00;"", //"""),"'","""")</f>
        <v>073, 19450213, 08.00, ////, 07</v>
      </c>
    </row>
    <row r="132" spans="1:1" x14ac:dyDescent="0.25">
      <c r="A132" s="16" t="str">
        <f ca="1">TEXT(Overig!A132,"000\,")&amp;TEXT(Overig!B132,"?00000000")&amp;TEXT(Overig!C132,""", ""@")&amp;SUBSTITUTE(TEXT(IF(ISTEXT(Overig!D132),Overig!D132,10*Overig!D132),""",""????0;"",""???-0;"",""????0;"", ////"""),"'","""")&amp;SUBSTITUTE(TEXT(Overig!E132,""",""?00;"",""?-00;"",""?00;"", //"""),"'","""")</f>
        <v>073, 19450213, 12.00, ////, 07</v>
      </c>
    </row>
    <row r="133" spans="1:1" x14ac:dyDescent="0.25">
      <c r="A133" s="16" t="str">
        <f ca="1">TEXT(Overig!A133,"000\,")&amp;TEXT(Overig!B133,"?00000000")&amp;TEXT(Overig!C133,""", ""@")&amp;SUBSTITUTE(TEXT(IF(ISTEXT(Overig!D133),Overig!D133,10*Overig!D133),""",""????0;"",""???-0;"",""????0;"", ////"""),"'","""")&amp;SUBSTITUTE(TEXT(Overig!E133,""",""?00;"",""?-00;"",""?00;"", //"""),"'","""")</f>
        <v>073, 19450213, 16.00, ////, 07</v>
      </c>
    </row>
    <row r="134" spans="1:1" x14ac:dyDescent="0.25">
      <c r="A134" s="16" t="str">
        <f ca="1">TEXT(Overig!A134,"000\,")&amp;TEXT(Overig!B134,"?00000000")&amp;TEXT(Overig!C134,""", ""@")&amp;SUBSTITUTE(TEXT(IF(ISTEXT(Overig!D134),Overig!D134,10*Overig!D134),""",""????0;"",""???-0;"",""????0;"", ////"""),"'","""")&amp;SUBSTITUTE(TEXT(Overig!E134,""",""?00;"",""?-00;"",""?00;"", //"""),"'","""")</f>
        <v>073, 19450214, 08.00, ////, 07</v>
      </c>
    </row>
    <row r="135" spans="1:1" x14ac:dyDescent="0.25">
      <c r="A135" s="16" t="str">
        <f ca="1">TEXT(Overig!A135,"000\,")&amp;TEXT(Overig!B135,"?00000000")&amp;TEXT(Overig!C135,""", ""@")&amp;SUBSTITUTE(TEXT(IF(ISTEXT(Overig!D135),Overig!D135,10*Overig!D135),""",""????0;"",""???-0;"",""????0;"", ////"""),"'","""")&amp;SUBSTITUTE(TEXT(Overig!E135,""",""?00;"",""?-00;"",""?00;"", //"""),"'","""")</f>
        <v>073, 19450214, 12.00, ////, 07</v>
      </c>
    </row>
    <row r="136" spans="1:1" x14ac:dyDescent="0.25">
      <c r="A136" s="16" t="str">
        <f ca="1">TEXT(Overig!A136,"000\,")&amp;TEXT(Overig!B136,"?00000000")&amp;TEXT(Overig!C136,""", ""@")&amp;SUBSTITUTE(TEXT(IF(ISTEXT(Overig!D136),Overig!D136,10*Overig!D136),""",""????0;"",""???-0;"",""????0;"", ////"""),"'","""")&amp;SUBSTITUTE(TEXT(Overig!E136,""",""?00;"",""?-00;"",""?00;"", //"""),"'","""")</f>
        <v>073, 19450214, 16.00, ////, 07</v>
      </c>
    </row>
    <row r="137" spans="1:1" x14ac:dyDescent="0.25">
      <c r="A137" s="16" t="str">
        <f ca="1">TEXT(Overig!A137,"000\,")&amp;TEXT(Overig!B137,"?00000000")&amp;TEXT(Overig!C137,""", ""@")&amp;SUBSTITUTE(TEXT(IF(ISTEXT(Overig!D137),Overig!D137,10*Overig!D137),""",""????0;"",""???-0;"",""????0;"", ////"""),"'","""")&amp;SUBSTITUTE(TEXT(Overig!E137,""",""?00;"",""?-00;"",""?00;"", //"""),"'","""")</f>
        <v>073, 19450215, 08.00, ////, 07</v>
      </c>
    </row>
    <row r="138" spans="1:1" x14ac:dyDescent="0.25">
      <c r="A138" s="16" t="str">
        <f ca="1">TEXT(Overig!A138,"000\,")&amp;TEXT(Overig!B138,"?00000000")&amp;TEXT(Overig!C138,""", ""@")&amp;SUBSTITUTE(TEXT(IF(ISTEXT(Overig!D138),Overig!D138,10*Overig!D138),""",""????0;"",""???-0;"",""????0;"", ////"""),"'","""")&amp;SUBSTITUTE(TEXT(Overig!E138,""",""?00;"",""?-00;"",""?00;"", //"""),"'","""")</f>
        <v>073, 19450215, 12.00, ////, 07</v>
      </c>
    </row>
    <row r="139" spans="1:1" x14ac:dyDescent="0.25">
      <c r="A139" s="16" t="str">
        <f ca="1">TEXT(Overig!A139,"000\,")&amp;TEXT(Overig!B139,"?00000000")&amp;TEXT(Overig!C139,""", ""@")&amp;SUBSTITUTE(TEXT(IF(ISTEXT(Overig!D139),Overig!D139,10*Overig!D139),""",""????0;"",""???-0;"",""????0;"", ////"""),"'","""")&amp;SUBSTITUTE(TEXT(Overig!E139,""",""?00;"",""?-00;"",""?00;"", //"""),"'","""")</f>
        <v>073, 19450215, 16.00, ////, 07</v>
      </c>
    </row>
    <row r="140" spans="1:1" x14ac:dyDescent="0.25">
      <c r="A140" s="16" t="str">
        <f ca="1">TEXT(Overig!A140,"000\,")&amp;TEXT(Overig!B140,"?00000000")&amp;TEXT(Overig!C140,""", ""@")&amp;SUBSTITUTE(TEXT(IF(ISTEXT(Overig!D140),Overig!D140,10*Overig!D140),""",""????0;"",""???-0;"",""????0;"", ////"""),"'","""")&amp;SUBSTITUTE(TEXT(Overig!E140,""",""?00;"",""?-00;"",""?00;"", //"""),"'","""")</f>
        <v>073, 19450216, 08.00, ////, 07</v>
      </c>
    </row>
    <row r="141" spans="1:1" x14ac:dyDescent="0.25">
      <c r="A141" s="16" t="str">
        <f ca="1">TEXT(Overig!A141,"000\,")&amp;TEXT(Overig!B141,"?00000000")&amp;TEXT(Overig!C141,""", ""@")&amp;SUBSTITUTE(TEXT(IF(ISTEXT(Overig!D141),Overig!D141,10*Overig!D141),""",""????0;"",""???-0;"",""????0;"", ////"""),"'","""")&amp;SUBSTITUTE(TEXT(Overig!E141,""",""?00;"",""?-00;"",""?00;"", //"""),"'","""")</f>
        <v>073, 19450216, 12.00, ////, 07</v>
      </c>
    </row>
    <row r="142" spans="1:1" x14ac:dyDescent="0.25">
      <c r="A142" s="16" t="str">
        <f ca="1">TEXT(Overig!A142,"000\,")&amp;TEXT(Overig!B142,"?00000000")&amp;TEXT(Overig!C142,""", ""@")&amp;SUBSTITUTE(TEXT(IF(ISTEXT(Overig!D142),Overig!D142,10*Overig!D142),""",""????0;"",""???-0;"",""????0;"", ////"""),"'","""")&amp;SUBSTITUTE(TEXT(Overig!E142,""",""?00;"",""?-00;"",""?00;"", //"""),"'","""")</f>
        <v>073, 19450216, 16.00, ////, 07</v>
      </c>
    </row>
    <row r="143" spans="1:1" x14ac:dyDescent="0.25">
      <c r="A143" s="16" t="str">
        <f ca="1">TEXT(Overig!A143,"000\,")&amp;TEXT(Overig!B143,"?00000000")&amp;TEXT(Overig!C143,""", ""@")&amp;SUBSTITUTE(TEXT(IF(ISTEXT(Overig!D143),Overig!D143,10*Overig!D143),""",""????0;"",""???-0;"",""????0;"", ////"""),"'","""")&amp;SUBSTITUTE(TEXT(Overig!E143,""",""?00;"",""?-00;"",""?00;"", //"""),"'","""")</f>
        <v>073, 19450217, 08.00, ////, 07</v>
      </c>
    </row>
    <row r="144" spans="1:1" x14ac:dyDescent="0.25">
      <c r="A144" s="16" t="str">
        <f ca="1">TEXT(Overig!A144,"000\,")&amp;TEXT(Overig!B144,"?00000000")&amp;TEXT(Overig!C144,""", ""@")&amp;SUBSTITUTE(TEXT(IF(ISTEXT(Overig!D144),Overig!D144,10*Overig!D144),""",""????0;"",""???-0;"",""????0;"", ////"""),"'","""")&amp;SUBSTITUTE(TEXT(Overig!E144,""",""?00;"",""?-00;"",""?00;"", //"""),"'","""")</f>
        <v>073, 19450217, 12.00, ////, 07</v>
      </c>
    </row>
    <row r="145" spans="1:1" x14ac:dyDescent="0.25">
      <c r="A145" s="16" t="str">
        <f ca="1">TEXT(Overig!A145,"000\,")&amp;TEXT(Overig!B145,"?00000000")&amp;TEXT(Overig!C145,""", ""@")&amp;SUBSTITUTE(TEXT(IF(ISTEXT(Overig!D145),Overig!D145,10*Overig!D145),""",""????0;"",""???-0;"",""????0;"", ////"""),"'","""")&amp;SUBSTITUTE(TEXT(Overig!E145,""",""?00;"",""?-00;"",""?00;"", //"""),"'","""")</f>
        <v>073, 19450217, 16.00, ////, 07</v>
      </c>
    </row>
    <row r="146" spans="1:1" x14ac:dyDescent="0.25">
      <c r="A146" s="16" t="str">
        <f ca="1">TEXT(Overig!A146,"000\,")&amp;TEXT(Overig!B146,"?00000000")&amp;TEXT(Overig!C146,""", ""@")&amp;SUBSTITUTE(TEXT(IF(ISTEXT(Overig!D146),Overig!D146,10*Overig!D146),""",""????0;"",""???-0;"",""????0;"", ////"""),"'","""")&amp;SUBSTITUTE(TEXT(Overig!E146,""",""?00;"",""?-00;"",""?00;"", //"""),"'","""")</f>
        <v>073, 19450218, 08.00, ////, 07</v>
      </c>
    </row>
    <row r="147" spans="1:1" x14ac:dyDescent="0.25">
      <c r="A147" s="16" t="str">
        <f ca="1">TEXT(Overig!A147,"000\,")&amp;TEXT(Overig!B147,"?00000000")&amp;TEXT(Overig!C147,""", ""@")&amp;SUBSTITUTE(TEXT(IF(ISTEXT(Overig!D147),Overig!D147,10*Overig!D147),""",""????0;"",""???-0;"",""????0;"", ////"""),"'","""")&amp;SUBSTITUTE(TEXT(Overig!E147,""",""?00;"",""?-00;"",""?00;"", //"""),"'","""")</f>
        <v>073, 19450218, 12.00, ////, 07</v>
      </c>
    </row>
    <row r="148" spans="1:1" x14ac:dyDescent="0.25">
      <c r="A148" s="16" t="str">
        <f ca="1">TEXT(Overig!A148,"000\,")&amp;TEXT(Overig!B148,"?00000000")&amp;TEXT(Overig!C148,""", ""@")&amp;SUBSTITUTE(TEXT(IF(ISTEXT(Overig!D148),Overig!D148,10*Overig!D148),""",""????0;"",""???-0;"",""????0;"", ////"""),"'","""")&amp;SUBSTITUTE(TEXT(Overig!E148,""",""?00;"",""?-00;"",""?00;"", //"""),"'","""")</f>
        <v>073, 19450218, 16.00, ////, 07</v>
      </c>
    </row>
    <row r="149" spans="1:1" x14ac:dyDescent="0.25">
      <c r="A149" s="16" t="str">
        <f ca="1">TEXT(Overig!A149,"000\,")&amp;TEXT(Overig!B149,"?00000000")&amp;TEXT(Overig!C149,""", ""@")&amp;SUBSTITUTE(TEXT(IF(ISTEXT(Overig!D149),Overig!D149,10*Overig!D149),""",""????0;"",""???-0;"",""????0;"", ////"""),"'","""")&amp;SUBSTITUTE(TEXT(Overig!E149,""",""?00;"",""?-00;"",""?00;"", //"""),"'","""")</f>
        <v>073, 19450219, 08.00, ////, 07</v>
      </c>
    </row>
    <row r="150" spans="1:1" x14ac:dyDescent="0.25">
      <c r="A150" s="16" t="str">
        <f ca="1">TEXT(Overig!A150,"000\,")&amp;TEXT(Overig!B150,"?00000000")&amp;TEXT(Overig!C150,""", ""@")&amp;SUBSTITUTE(TEXT(IF(ISTEXT(Overig!D150),Overig!D150,10*Overig!D150),""",""????0;"",""???-0;"",""????0;"", ////"""),"'","""")&amp;SUBSTITUTE(TEXT(Overig!E150,""",""?00;"",""?-00;"",""?00;"", //"""),"'","""")</f>
        <v>073, 19450219, 12.00, ////, 07</v>
      </c>
    </row>
    <row r="151" spans="1:1" x14ac:dyDescent="0.25">
      <c r="A151" s="16" t="str">
        <f ca="1">TEXT(Overig!A151,"000\,")&amp;TEXT(Overig!B151,"?00000000")&amp;TEXT(Overig!C151,""", ""@")&amp;SUBSTITUTE(TEXT(IF(ISTEXT(Overig!D151),Overig!D151,10*Overig!D151),""",""????0;"",""???-0;"",""????0;"", ////"""),"'","""")&amp;SUBSTITUTE(TEXT(Overig!E151,""",""?00;"",""?-00;"",""?00;"", //"""),"'","""")</f>
        <v>073, 19450219, 16.00, ////, 07</v>
      </c>
    </row>
    <row r="152" spans="1:1" x14ac:dyDescent="0.25">
      <c r="A152" s="16" t="str">
        <f ca="1">TEXT(Overig!A152,"000\,")&amp;TEXT(Overig!B152,"?00000000")&amp;TEXT(Overig!C152,""", ""@")&amp;SUBSTITUTE(TEXT(IF(ISTEXT(Overig!D152),Overig!D152,10*Overig!D152),""",""????0;"",""???-0;"",""????0;"", ////"""),"'","""")&amp;SUBSTITUTE(TEXT(Overig!E152,""",""?00;"",""?-00;"",""?00;"", //"""),"'","""")</f>
        <v>073, 19450220, 08.00, ////, 07</v>
      </c>
    </row>
    <row r="153" spans="1:1" x14ac:dyDescent="0.25">
      <c r="A153" s="16" t="str">
        <f ca="1">TEXT(Overig!A153,"000\,")&amp;TEXT(Overig!B153,"?00000000")&amp;TEXT(Overig!C153,""", ""@")&amp;SUBSTITUTE(TEXT(IF(ISTEXT(Overig!D153),Overig!D153,10*Overig!D153),""",""????0;"",""???-0;"",""????0;"", ////"""),"'","""")&amp;SUBSTITUTE(TEXT(Overig!E153,""",""?00;"",""?-00;"",""?00;"", //"""),"'","""")</f>
        <v>073, 19450220, 12.00, ////, 07</v>
      </c>
    </row>
    <row r="154" spans="1:1" x14ac:dyDescent="0.25">
      <c r="A154" s="16" t="str">
        <f ca="1">TEXT(Overig!A154,"000\,")&amp;TEXT(Overig!B154,"?00000000")&amp;TEXT(Overig!C154,""", ""@")&amp;SUBSTITUTE(TEXT(IF(ISTEXT(Overig!D154),Overig!D154,10*Overig!D154),""",""????0;"",""???-0;"",""????0;"", ////"""),"'","""")&amp;SUBSTITUTE(TEXT(Overig!E154,""",""?00;"",""?-00;"",""?00;"", //"""),"'","""")</f>
        <v>073, 19450220, 16.00, ////, 07</v>
      </c>
    </row>
    <row r="155" spans="1:1" x14ac:dyDescent="0.25">
      <c r="A155" s="16" t="str">
        <f ca="1">TEXT(Overig!A155,"000\,")&amp;TEXT(Overig!B155,"?00000000")&amp;TEXT(Overig!C155,""", ""@")&amp;SUBSTITUTE(TEXT(IF(ISTEXT(Overig!D155),Overig!D155,10*Overig!D155),""",""????0;"",""???-0;"",""????0;"", ////"""),"'","""")&amp;SUBSTITUTE(TEXT(Overig!E155,""",""?00;"",""?-00;"",""?00;"", //"""),"'","""")</f>
        <v>073, 19450221, 08.00, ////, 07</v>
      </c>
    </row>
    <row r="156" spans="1:1" x14ac:dyDescent="0.25">
      <c r="A156" s="16" t="str">
        <f ca="1">TEXT(Overig!A156,"000\,")&amp;TEXT(Overig!B156,"?00000000")&amp;TEXT(Overig!C156,""", ""@")&amp;SUBSTITUTE(TEXT(IF(ISTEXT(Overig!D156),Overig!D156,10*Overig!D156),""",""????0;"",""???-0;"",""????0;"", ////"""),"'","""")&amp;SUBSTITUTE(TEXT(Overig!E156,""",""?00;"",""?-00;"",""?00;"", //"""),"'","""")</f>
        <v>073, 19450221, 12.00, ////, 07</v>
      </c>
    </row>
    <row r="157" spans="1:1" x14ac:dyDescent="0.25">
      <c r="A157" s="16" t="str">
        <f ca="1">TEXT(Overig!A157,"000\,")&amp;TEXT(Overig!B157,"?00000000")&amp;TEXT(Overig!C157,""", ""@")&amp;SUBSTITUTE(TEXT(IF(ISTEXT(Overig!D157),Overig!D157,10*Overig!D157),""",""????0;"",""???-0;"",""????0;"", ////"""),"'","""")&amp;SUBSTITUTE(TEXT(Overig!E157,""",""?00;"",""?-00;"",""?00;"", //"""),"'","""")</f>
        <v>073, 19450221, 16.00, ////, 07</v>
      </c>
    </row>
    <row r="158" spans="1:1" x14ac:dyDescent="0.25">
      <c r="A158" s="16" t="str">
        <f ca="1">TEXT(Overig!A158,"000\,")&amp;TEXT(Overig!B158,"?00000000")&amp;TEXT(Overig!C158,""", ""@")&amp;SUBSTITUTE(TEXT(IF(ISTEXT(Overig!D158),Overig!D158,10*Overig!D158),""",""????0;"",""???-0;"",""????0;"", ////"""),"'","""")&amp;SUBSTITUTE(TEXT(Overig!E158,""",""?00;"",""?-00;"",""?00;"", //"""),"'","""")</f>
        <v>073, 19450222, 08.00, ////, 07</v>
      </c>
    </row>
    <row r="159" spans="1:1" x14ac:dyDescent="0.25">
      <c r="A159" s="16" t="str">
        <f ca="1">TEXT(Overig!A159,"000\,")&amp;TEXT(Overig!B159,"?00000000")&amp;TEXT(Overig!C159,""", ""@")&amp;SUBSTITUTE(TEXT(IF(ISTEXT(Overig!D159),Overig!D159,10*Overig!D159),""",""????0;"",""???-0;"",""????0;"", ////"""),"'","""")&amp;SUBSTITUTE(TEXT(Overig!E159,""",""?00;"",""?-00;"",""?00;"", //"""),"'","""")</f>
        <v>073, 19450222, 12.00, ////, 07</v>
      </c>
    </row>
    <row r="160" spans="1:1" x14ac:dyDescent="0.25">
      <c r="A160" s="16" t="str">
        <f ca="1">TEXT(Overig!A160,"000\,")&amp;TEXT(Overig!B160,"?00000000")&amp;TEXT(Overig!C160,""", ""@")&amp;SUBSTITUTE(TEXT(IF(ISTEXT(Overig!D160),Overig!D160,10*Overig!D160),""",""????0;"",""???-0;"",""????0;"", ////"""),"'","""")&amp;SUBSTITUTE(TEXT(Overig!E160,""",""?00;"",""?-00;"",""?00;"", //"""),"'","""")</f>
        <v>073, 19450222, 16.00, ////, 07</v>
      </c>
    </row>
    <row r="161" spans="1:1" x14ac:dyDescent="0.25">
      <c r="A161" s="16" t="str">
        <f ca="1">TEXT(Overig!A161,"000\,")&amp;TEXT(Overig!B161,"?00000000")&amp;TEXT(Overig!C161,""", ""@")&amp;SUBSTITUTE(TEXT(IF(ISTEXT(Overig!D161),Overig!D161,10*Overig!D161),""",""????0;"",""???-0;"",""????0;"", ////"""),"'","""")&amp;SUBSTITUTE(TEXT(Overig!E161,""",""?00;"",""?-00;"",""?00;"", //"""),"'","""")</f>
        <v>073, 19450223, 08.00, ////, 07</v>
      </c>
    </row>
    <row r="162" spans="1:1" x14ac:dyDescent="0.25">
      <c r="A162" s="16" t="str">
        <f ca="1">TEXT(Overig!A162,"000\,")&amp;TEXT(Overig!B162,"?00000000")&amp;TEXT(Overig!C162,""", ""@")&amp;SUBSTITUTE(TEXT(IF(ISTEXT(Overig!D162),Overig!D162,10*Overig!D162),""",""????0;"",""???-0;"",""????0;"", ////"""),"'","""")&amp;SUBSTITUTE(TEXT(Overig!E162,""",""?00;"",""?-00;"",""?00;"", //"""),"'","""")</f>
        <v>073, 19450223, 12.00, ////, 07</v>
      </c>
    </row>
    <row r="163" spans="1:1" x14ac:dyDescent="0.25">
      <c r="A163" s="16" t="str">
        <f ca="1">TEXT(Overig!A163,"000\,")&amp;TEXT(Overig!B163,"?00000000")&amp;TEXT(Overig!C163,""", ""@")&amp;SUBSTITUTE(TEXT(IF(ISTEXT(Overig!D163),Overig!D163,10*Overig!D163),""",""????0;"",""???-0;"",""????0;"", ////"""),"'","""")&amp;SUBSTITUTE(TEXT(Overig!E163,""",""?00;"",""?-00;"",""?00;"", //"""),"'","""")</f>
        <v>073, 19450223, 16.00, ////, 07</v>
      </c>
    </row>
    <row r="164" spans="1:1" x14ac:dyDescent="0.25">
      <c r="A164" s="16" t="str">
        <f ca="1">TEXT(Overig!A164,"000\,")&amp;TEXT(Overig!B164,"?00000000")&amp;TEXT(Overig!C164,""", ""@")&amp;SUBSTITUTE(TEXT(IF(ISTEXT(Overig!D164),Overig!D164,10*Overig!D164),""",""????0;"",""???-0;"",""????0;"", ////"""),"'","""")&amp;SUBSTITUTE(TEXT(Overig!E164,""",""?00;"",""?-00;"",""?00;"", //"""),"'","""")</f>
        <v>073, 19450224, 08.00, ////, 07</v>
      </c>
    </row>
    <row r="165" spans="1:1" x14ac:dyDescent="0.25">
      <c r="A165" s="16" t="str">
        <f ca="1">TEXT(Overig!A165,"000\,")&amp;TEXT(Overig!B165,"?00000000")&amp;TEXT(Overig!C165,""", ""@")&amp;SUBSTITUTE(TEXT(IF(ISTEXT(Overig!D165),Overig!D165,10*Overig!D165),""",""????0;"",""???-0;"",""????0;"", ////"""),"'","""")&amp;SUBSTITUTE(TEXT(Overig!E165,""",""?00;"",""?-00;"",""?00;"", //"""),"'","""")</f>
        <v>073, 19450224, 12.00, ////, 07</v>
      </c>
    </row>
    <row r="166" spans="1:1" x14ac:dyDescent="0.25">
      <c r="A166" s="16" t="str">
        <f ca="1">TEXT(Overig!A166,"000\,")&amp;TEXT(Overig!B166,"?00000000")&amp;TEXT(Overig!C166,""", ""@")&amp;SUBSTITUTE(TEXT(IF(ISTEXT(Overig!D166),Overig!D166,10*Overig!D166),""",""????0;"",""???-0;"",""????0;"", ////"""),"'","""")&amp;SUBSTITUTE(TEXT(Overig!E166,""",""?00;"",""?-00;"",""?00;"", //"""),"'","""")</f>
        <v>073, 19450224, 16.00, ////, 07</v>
      </c>
    </row>
    <row r="167" spans="1:1" x14ac:dyDescent="0.25">
      <c r="A167" s="16" t="str">
        <f ca="1">TEXT(Overig!A167,"000\,")&amp;TEXT(Overig!B167,"?00000000")&amp;TEXT(Overig!C167,""", ""@")&amp;SUBSTITUTE(TEXT(IF(ISTEXT(Overig!D167),Overig!D167,10*Overig!D167),""",""????0;"",""???-0;"",""????0;"", ////"""),"'","""")&amp;SUBSTITUTE(TEXT(Overig!E167,""",""?00;"",""?-00;"",""?00;"", //"""),"'","""")</f>
        <v>073, 19450225, 08.00, ////, 07</v>
      </c>
    </row>
    <row r="168" spans="1:1" x14ac:dyDescent="0.25">
      <c r="A168" s="16" t="str">
        <f ca="1">TEXT(Overig!A168,"000\,")&amp;TEXT(Overig!B168,"?00000000")&amp;TEXT(Overig!C168,""", ""@")&amp;SUBSTITUTE(TEXT(IF(ISTEXT(Overig!D168),Overig!D168,10*Overig!D168),""",""????0;"",""???-0;"",""????0;"", ////"""),"'","""")&amp;SUBSTITUTE(TEXT(Overig!E168,""",""?00;"",""?-00;"",""?00;"", //"""),"'","""")</f>
        <v>073, 19450225, 12.00, ////, 07</v>
      </c>
    </row>
    <row r="169" spans="1:1" x14ac:dyDescent="0.25">
      <c r="A169" s="16" t="str">
        <f ca="1">TEXT(Overig!A169,"000\,")&amp;TEXT(Overig!B169,"?00000000")&amp;TEXT(Overig!C169,""", ""@")&amp;SUBSTITUTE(TEXT(IF(ISTEXT(Overig!D169),Overig!D169,10*Overig!D169),""",""????0;"",""???-0;"",""????0;"", ////"""),"'","""")&amp;SUBSTITUTE(TEXT(Overig!E169,""",""?00;"",""?-00;"",""?00;"", //"""),"'","""")</f>
        <v>073, 19450225, 16.00, ////, 07</v>
      </c>
    </row>
    <row r="170" spans="1:1" x14ac:dyDescent="0.25">
      <c r="A170" s="16" t="str">
        <f ca="1">TEXT(Overig!A170,"000\,")&amp;TEXT(Overig!B170,"?00000000")&amp;TEXT(Overig!C170,""", ""@")&amp;SUBSTITUTE(TEXT(IF(ISTEXT(Overig!D170),Overig!D170,10*Overig!D170),""",""????0;"",""???-0;"",""????0;"", ////"""),"'","""")&amp;SUBSTITUTE(TEXT(Overig!E170,""",""?00;"",""?-00;"",""?00;"", //"""),"'","""")</f>
        <v>073, 19450226, 08.00, ////, 07</v>
      </c>
    </row>
    <row r="171" spans="1:1" x14ac:dyDescent="0.25">
      <c r="A171" s="16" t="str">
        <f ca="1">TEXT(Overig!A171,"000\,")&amp;TEXT(Overig!B171,"?00000000")&amp;TEXT(Overig!C171,""", ""@")&amp;SUBSTITUTE(TEXT(IF(ISTEXT(Overig!D171),Overig!D171,10*Overig!D171),""",""????0;"",""???-0;"",""????0;"", ////"""),"'","""")&amp;SUBSTITUTE(TEXT(Overig!E171,""",""?00;"",""?-00;"",""?00;"", //"""),"'","""")</f>
        <v>073, 19450226, 12.00, ////, 07</v>
      </c>
    </row>
    <row r="172" spans="1:1" x14ac:dyDescent="0.25">
      <c r="A172" s="16" t="str">
        <f ca="1">TEXT(Overig!A172,"000\,")&amp;TEXT(Overig!B172,"?00000000")&amp;TEXT(Overig!C172,""", ""@")&amp;SUBSTITUTE(TEXT(IF(ISTEXT(Overig!D172),Overig!D172,10*Overig!D172),""",""????0;"",""???-0;"",""????0;"", ////"""),"'","""")&amp;SUBSTITUTE(TEXT(Overig!E172,""",""?00;"",""?-00;"",""?00;"", //"""),"'","""")</f>
        <v>073, 19450226, 16.00, ////, 07</v>
      </c>
    </row>
    <row r="173" spans="1:1" x14ac:dyDescent="0.25">
      <c r="A173" s="16" t="str">
        <f ca="1">TEXT(Overig!A173,"000\,")&amp;TEXT(Overig!B173,"?00000000")&amp;TEXT(Overig!C173,""", ""@")&amp;SUBSTITUTE(TEXT(IF(ISTEXT(Overig!D173),Overig!D173,10*Overig!D173),""",""????0;"",""???-0;"",""????0;"", ////"""),"'","""")&amp;SUBSTITUTE(TEXT(Overig!E173,""",""?00;"",""?-00;"",""?00;"", //"""),"'","""")</f>
        <v>073, 19450227, 08.00, ////, 07</v>
      </c>
    </row>
    <row r="174" spans="1:1" x14ac:dyDescent="0.25">
      <c r="A174" s="16" t="str">
        <f ca="1">TEXT(Overig!A174,"000\,")&amp;TEXT(Overig!B174,"?00000000")&amp;TEXT(Overig!C174,""", ""@")&amp;SUBSTITUTE(TEXT(IF(ISTEXT(Overig!D174),Overig!D174,10*Overig!D174),""",""????0;"",""???-0;"",""????0;"", ////"""),"'","""")&amp;SUBSTITUTE(TEXT(Overig!E174,""",""?00;"",""?-00;"",""?00;"", //"""),"'","""")</f>
        <v>073, 19450227, 12.00, ////, 07</v>
      </c>
    </row>
    <row r="175" spans="1:1" x14ac:dyDescent="0.25">
      <c r="A175" s="16" t="str">
        <f ca="1">TEXT(Overig!A175,"000\,")&amp;TEXT(Overig!B175,"?00000000")&amp;TEXT(Overig!C175,""", ""@")&amp;SUBSTITUTE(TEXT(IF(ISTEXT(Overig!D175),Overig!D175,10*Overig!D175),""",""????0;"",""???-0;"",""????0;"", ////"""),"'","""")&amp;SUBSTITUTE(TEXT(Overig!E175,""",""?00;"",""?-00;"",""?00;"", //"""),"'","""")</f>
        <v>073, 19450227, 16.00, ////, 07</v>
      </c>
    </row>
    <row r="176" spans="1:1" x14ac:dyDescent="0.25">
      <c r="A176" s="16" t="str">
        <f ca="1">TEXT(Overig!A176,"000\,")&amp;TEXT(Overig!B176,"?00000000")&amp;TEXT(Overig!C176,""", ""@")&amp;SUBSTITUTE(TEXT(IF(ISTEXT(Overig!D176),Overig!D176,10*Overig!D176),""",""????0;"",""???-0;"",""????0;"", ////"""),"'","""")&amp;SUBSTITUTE(TEXT(Overig!E176,""",""?00;"",""?-00;"",""?00;"", //"""),"'","""")</f>
        <v>073, 19450228, 08.00, ////, 07</v>
      </c>
    </row>
    <row r="177" spans="1:1" x14ac:dyDescent="0.25">
      <c r="A177" s="16" t="str">
        <f ca="1">TEXT(Overig!A177,"000\,")&amp;TEXT(Overig!B177,"?00000000")&amp;TEXT(Overig!C177,""", ""@")&amp;SUBSTITUTE(TEXT(IF(ISTEXT(Overig!D177),Overig!D177,10*Overig!D177),""",""????0;"",""???-0;"",""????0;"", ////"""),"'","""")&amp;SUBSTITUTE(TEXT(Overig!E177,""",""?00;"",""?-00;"",""?00;"", //"""),"'","""")</f>
        <v>073, 19450228, 12.00, ////, 07</v>
      </c>
    </row>
    <row r="178" spans="1:1" x14ac:dyDescent="0.25">
      <c r="A178" s="16" t="str">
        <f ca="1">TEXT(Overig!A178,"000\,")&amp;TEXT(Overig!B178,"?00000000")&amp;TEXT(Overig!C178,""", ""@")&amp;SUBSTITUTE(TEXT(IF(ISTEXT(Overig!D178),Overig!D178,10*Overig!D178),""",""????0;"",""???-0;"",""????0;"", ////"""),"'","""")&amp;SUBSTITUTE(TEXT(Overig!E178,""",""?00;"",""?-00;"",""?00;"", //"""),"'","""")</f>
        <v>073, 19450228, 16.00, ////, 07</v>
      </c>
    </row>
    <row r="179" spans="1:1" x14ac:dyDescent="0.25">
      <c r="A179" s="16" t="str">
        <f ca="1">TEXT(Overig!A179,"000\,")&amp;TEXT(Overig!B179,"?00000000")&amp;TEXT(Overig!C179,""", ""@")&amp;SUBSTITUTE(TEXT(IF(ISTEXT(Overig!D179),Overig!D179,10*Overig!D179),""",""????0;"",""???-0;"",""????0;"", ////"""),"'","""")&amp;SUBSTITUTE(TEXT(Overig!E179,""",""?00;"",""?-00;"",""?00;"", //"""),"'","""")</f>
        <v>073, 19450301, 08.00, ////, 07</v>
      </c>
    </row>
    <row r="180" spans="1:1" x14ac:dyDescent="0.25">
      <c r="A180" s="16" t="str">
        <f ca="1">TEXT(Overig!A180,"000\,")&amp;TEXT(Overig!B180,"?00000000")&amp;TEXT(Overig!C180,""", ""@")&amp;SUBSTITUTE(TEXT(IF(ISTEXT(Overig!D180),Overig!D180,10*Overig!D180),""",""????0;"",""???-0;"",""????0;"", ////"""),"'","""")&amp;SUBSTITUTE(TEXT(Overig!E180,""",""?00;"",""?-00;"",""?00;"", //"""),"'","""")</f>
        <v>073, 19450301, 12.00, ////, 07</v>
      </c>
    </row>
    <row r="181" spans="1:1" x14ac:dyDescent="0.25">
      <c r="A181" s="16" t="str">
        <f ca="1">TEXT(Overig!A181,"000\,")&amp;TEXT(Overig!B181,"?00000000")&amp;TEXT(Overig!C181,""", ""@")&amp;SUBSTITUTE(TEXT(IF(ISTEXT(Overig!D181),Overig!D181,10*Overig!D181),""",""????0;"",""???-0;"",""????0;"", ////"""),"'","""")&amp;SUBSTITUTE(TEXT(Overig!E181,""",""?00;"",""?-00;"",""?00;"", //"""),"'","""")</f>
        <v>073, 19450301, 16.00, ////, 07</v>
      </c>
    </row>
    <row r="182" spans="1:1" x14ac:dyDescent="0.25">
      <c r="A182" s="16" t="str">
        <f ca="1">TEXT(Overig!A182,"000\,")&amp;TEXT(Overig!B182,"?00000000")&amp;TEXT(Overig!C182,""", ""@")&amp;SUBSTITUTE(TEXT(IF(ISTEXT(Overig!D182),Overig!D182,10*Overig!D182),""",""????0;"",""???-0;"",""????0;"", ////"""),"'","""")&amp;SUBSTITUTE(TEXT(Overig!E182,""",""?00;"",""?-00;"",""?00;"", //"""),"'","""")</f>
        <v>073, 19450302, 08.00, ////, 07</v>
      </c>
    </row>
    <row r="183" spans="1:1" x14ac:dyDescent="0.25">
      <c r="A183" s="16" t="str">
        <f ca="1">TEXT(Overig!A183,"000\,")&amp;TEXT(Overig!B183,"?00000000")&amp;TEXT(Overig!C183,""", ""@")&amp;SUBSTITUTE(TEXT(IF(ISTEXT(Overig!D183),Overig!D183,10*Overig!D183),""",""????0;"",""???-0;"",""????0;"", ////"""),"'","""")&amp;SUBSTITUTE(TEXT(Overig!E183,""",""?00;"",""?-00;"",""?00;"", //"""),"'","""")</f>
        <v>073, 19450302, 12.00, ////, 07</v>
      </c>
    </row>
    <row r="184" spans="1:1" x14ac:dyDescent="0.25">
      <c r="A184" s="16" t="str">
        <f ca="1">TEXT(Overig!A184,"000\,")&amp;TEXT(Overig!B184,"?00000000")&amp;TEXT(Overig!C184,""", ""@")&amp;SUBSTITUTE(TEXT(IF(ISTEXT(Overig!D184),Overig!D184,10*Overig!D184),""",""????0;"",""???-0;"",""????0;"", ////"""),"'","""")&amp;SUBSTITUTE(TEXT(Overig!E184,""",""?00;"",""?-00;"",""?00;"", //"""),"'","""")</f>
        <v>073, 19450302, 16.00, ////, 07</v>
      </c>
    </row>
    <row r="185" spans="1:1" x14ac:dyDescent="0.25">
      <c r="A185" s="16" t="str">
        <f ca="1">TEXT(Overig!A185,"000\,")&amp;TEXT(Overig!B185,"?00000000")&amp;TEXT(Overig!C185,""", ""@")&amp;SUBSTITUTE(TEXT(IF(ISTEXT(Overig!D185),Overig!D185,10*Overig!D185),""",""????0;"",""???-0;"",""????0;"", ////"""),"'","""")&amp;SUBSTITUTE(TEXT(Overig!E185,""",""?00;"",""?-00;"",""?00;"", //"""),"'","""")</f>
        <v>073, 19450303, 08.00, ////, 07</v>
      </c>
    </row>
    <row r="186" spans="1:1" x14ac:dyDescent="0.25">
      <c r="A186" s="16" t="str">
        <f ca="1">TEXT(Overig!A186,"000\,")&amp;TEXT(Overig!B186,"?00000000")&amp;TEXT(Overig!C186,""", ""@")&amp;SUBSTITUTE(TEXT(IF(ISTEXT(Overig!D186),Overig!D186,10*Overig!D186),""",""????0;"",""???-0;"",""????0;"", ////"""),"'","""")&amp;SUBSTITUTE(TEXT(Overig!E186,""",""?00;"",""?-00;"",""?00;"", //"""),"'","""")</f>
        <v>073, 19450303, 12.00, ////, 07</v>
      </c>
    </row>
    <row r="187" spans="1:1" x14ac:dyDescent="0.25">
      <c r="A187" s="16" t="str">
        <f ca="1">TEXT(Overig!A187,"000\,")&amp;TEXT(Overig!B187,"?00000000")&amp;TEXT(Overig!C187,""", ""@")&amp;SUBSTITUTE(TEXT(IF(ISTEXT(Overig!D187),Overig!D187,10*Overig!D187),""",""????0;"",""???-0;"",""????0;"", ////"""),"'","""")&amp;SUBSTITUTE(TEXT(Overig!E187,""",""?00;"",""?-00;"",""?00;"", //"""),"'","""")</f>
        <v>073, 19450303, 16.00, ////, 07</v>
      </c>
    </row>
    <row r="188" spans="1:1" x14ac:dyDescent="0.25">
      <c r="A188" s="16" t="str">
        <f ca="1">TEXT(Overig!A188,"000\,")&amp;TEXT(Overig!B188,"?00000000")&amp;TEXT(Overig!C188,""", ""@")&amp;SUBSTITUTE(TEXT(IF(ISTEXT(Overig!D188),Overig!D188,10*Overig!D188),""",""????0;"",""???-0;"",""????0;"", ////"""),"'","""")&amp;SUBSTITUTE(TEXT(Overig!E188,""",""?00;"",""?-00;"",""?00;"", //"""),"'","""")</f>
        <v>073, 19450304, 08.00, ////, 07</v>
      </c>
    </row>
    <row r="189" spans="1:1" x14ac:dyDescent="0.25">
      <c r="A189" s="16" t="str">
        <f ca="1">TEXT(Overig!A189,"000\,")&amp;TEXT(Overig!B189,"?00000000")&amp;TEXT(Overig!C189,""", ""@")&amp;SUBSTITUTE(TEXT(IF(ISTEXT(Overig!D189),Overig!D189,10*Overig!D189),""",""????0;"",""???-0;"",""????0;"", ////"""),"'","""")&amp;SUBSTITUTE(TEXT(Overig!E189,""",""?00;"",""?-00;"",""?00;"", //"""),"'","""")</f>
        <v>073, 19450304, 12.00, ////, 07</v>
      </c>
    </row>
    <row r="190" spans="1:1" x14ac:dyDescent="0.25">
      <c r="A190" s="16" t="str">
        <f ca="1">TEXT(Overig!A190,"000\,")&amp;TEXT(Overig!B190,"?00000000")&amp;TEXT(Overig!C190,""", ""@")&amp;SUBSTITUTE(TEXT(IF(ISTEXT(Overig!D190),Overig!D190,10*Overig!D190),""",""????0;"",""???-0;"",""????0;"", ////"""),"'","""")&amp;SUBSTITUTE(TEXT(Overig!E190,""",""?00;"",""?-00;"",""?00;"", //"""),"'","""")</f>
        <v>073, 19450304, 16.00, ////, 07</v>
      </c>
    </row>
    <row r="191" spans="1:1" x14ac:dyDescent="0.25">
      <c r="A191" s="16" t="str">
        <f ca="1">TEXT(Overig!A191,"000\,")&amp;TEXT(Overig!B191,"?00000000")&amp;TEXT(Overig!C191,""", ""@")&amp;SUBSTITUTE(TEXT(IF(ISTEXT(Overig!D191),Overig!D191,10*Overig!D191),""",""????0;"",""???-0;"",""????0;"", ////"""),"'","""")&amp;SUBSTITUTE(TEXT(Overig!E191,""",""?00;"",""?-00;"",""?00;"", //"""),"'","""")</f>
        <v>073, 19450305, 08.00, ////, 07</v>
      </c>
    </row>
    <row r="192" spans="1:1" x14ac:dyDescent="0.25">
      <c r="A192" s="16" t="str">
        <f ca="1">TEXT(Overig!A192,"000\,")&amp;TEXT(Overig!B192,"?00000000")&amp;TEXT(Overig!C192,""", ""@")&amp;SUBSTITUTE(TEXT(IF(ISTEXT(Overig!D192),Overig!D192,10*Overig!D192),""",""????0;"",""???-0;"",""????0;"", ////"""),"'","""")&amp;SUBSTITUTE(TEXT(Overig!E192,""",""?00;"",""?-00;"",""?00;"", //"""),"'","""")</f>
        <v>073, 19450305, 12.00, ////, 07</v>
      </c>
    </row>
    <row r="193" spans="1:1" x14ac:dyDescent="0.25">
      <c r="A193" s="16" t="str">
        <f ca="1">TEXT(Overig!A193,"000\,")&amp;TEXT(Overig!B193,"?00000000")&amp;TEXT(Overig!C193,""", ""@")&amp;SUBSTITUTE(TEXT(IF(ISTEXT(Overig!D193),Overig!D193,10*Overig!D193),""",""????0;"",""???-0;"",""????0;"", ////"""),"'","""")&amp;SUBSTITUTE(TEXT(Overig!E193,""",""?00;"",""?-00;"",""?00;"", //"""),"'","""")</f>
        <v>073, 19450305, 16.00, ////, 07</v>
      </c>
    </row>
    <row r="194" spans="1:1" x14ac:dyDescent="0.25">
      <c r="A194" s="16" t="str">
        <f ca="1">TEXT(Overig!A194,"000\,")&amp;TEXT(Overig!B194,"?00000000")&amp;TEXT(Overig!C194,""", ""@")&amp;SUBSTITUTE(TEXT(IF(ISTEXT(Overig!D194),Overig!D194,10*Overig!D194),""",""????0;"",""???-0;"",""????0;"", ////"""),"'","""")&amp;SUBSTITUTE(TEXT(Overig!E194,""",""?00;"",""?-00;"",""?00;"", //"""),"'","""")</f>
        <v>073, 19450306, 08.00, ////, 07</v>
      </c>
    </row>
    <row r="195" spans="1:1" x14ac:dyDescent="0.25">
      <c r="A195" s="16" t="str">
        <f ca="1">TEXT(Overig!A195,"000\,")&amp;TEXT(Overig!B195,"?00000000")&amp;TEXT(Overig!C195,""", ""@")&amp;SUBSTITUTE(TEXT(IF(ISTEXT(Overig!D195),Overig!D195,10*Overig!D195),""",""????0;"",""???-0;"",""????0;"", ////"""),"'","""")&amp;SUBSTITUTE(TEXT(Overig!E195,""",""?00;"",""?-00;"",""?00;"", //"""),"'","""")</f>
        <v>073, 19450306, 12.00, ////, 07</v>
      </c>
    </row>
    <row r="196" spans="1:1" x14ac:dyDescent="0.25">
      <c r="A196" s="16" t="str">
        <f ca="1">TEXT(Overig!A196,"000\,")&amp;TEXT(Overig!B196,"?00000000")&amp;TEXT(Overig!C196,""", ""@")&amp;SUBSTITUTE(TEXT(IF(ISTEXT(Overig!D196),Overig!D196,10*Overig!D196),""",""????0;"",""???-0;"",""????0;"", ////"""),"'","""")&amp;SUBSTITUTE(TEXT(Overig!E196,""",""?00;"",""?-00;"",""?00;"", //"""),"'","""")</f>
        <v>073, 19450306, 16.00, ////, 07</v>
      </c>
    </row>
    <row r="197" spans="1:1" x14ac:dyDescent="0.25">
      <c r="A197" s="16" t="str">
        <f ca="1">TEXT(Overig!A197,"000\,")&amp;TEXT(Overig!B197,"?00000000")&amp;TEXT(Overig!C197,""", ""@")&amp;SUBSTITUTE(TEXT(IF(ISTEXT(Overig!D197),Overig!D197,10*Overig!D197),""",""????0;"",""???-0;"",""????0;"", ////"""),"'","""")&amp;SUBSTITUTE(TEXT(Overig!E197,""",""?00;"",""?-00;"",""?00;"", //"""),"'","""")</f>
        <v>073, 19450307, 08.00, ////, 07</v>
      </c>
    </row>
    <row r="198" spans="1:1" x14ac:dyDescent="0.25">
      <c r="A198" s="16" t="str">
        <f ca="1">TEXT(Overig!A198,"000\,")&amp;TEXT(Overig!B198,"?00000000")&amp;TEXT(Overig!C198,""", ""@")&amp;SUBSTITUTE(TEXT(IF(ISTEXT(Overig!D198),Overig!D198,10*Overig!D198),""",""????0;"",""???-0;"",""????0;"", ////"""),"'","""")&amp;SUBSTITUTE(TEXT(Overig!E198,""",""?00;"",""?-00;"",""?00;"", //"""),"'","""")</f>
        <v>073, 19450307, 12.00, ////, 07</v>
      </c>
    </row>
    <row r="199" spans="1:1" x14ac:dyDescent="0.25">
      <c r="A199" s="16" t="str">
        <f ca="1">TEXT(Overig!A199,"000\,")&amp;TEXT(Overig!B199,"?00000000")&amp;TEXT(Overig!C199,""", ""@")&amp;SUBSTITUTE(TEXT(IF(ISTEXT(Overig!D199),Overig!D199,10*Overig!D199),""",""????0;"",""???-0;"",""????0;"", ////"""),"'","""")&amp;SUBSTITUTE(TEXT(Overig!E199,""",""?00;"",""?-00;"",""?00;"", //"""),"'","""")</f>
        <v>073, 19450307, 16.00, ////, 07</v>
      </c>
    </row>
    <row r="200" spans="1:1" x14ac:dyDescent="0.25">
      <c r="A200" s="16" t="str">
        <f ca="1">TEXT(Overig!A200,"000\,")&amp;TEXT(Overig!B200,"?00000000")&amp;TEXT(Overig!C200,""", ""@")&amp;SUBSTITUTE(TEXT(IF(ISTEXT(Overig!D200),Overig!D200,10*Overig!D200),""",""????0;"",""???-0;"",""????0;"", ////"""),"'","""")&amp;SUBSTITUTE(TEXT(Overig!E200,""",""?00;"",""?-00;"",""?00;"", //"""),"'","""")</f>
        <v>073, 19450308, 08.00, ////, 07</v>
      </c>
    </row>
    <row r="201" spans="1:1" x14ac:dyDescent="0.25">
      <c r="A201" s="16" t="str">
        <f ca="1">TEXT(Overig!A201,"000\,")&amp;TEXT(Overig!B201,"?00000000")&amp;TEXT(Overig!C201,""", ""@")&amp;SUBSTITUTE(TEXT(IF(ISTEXT(Overig!D201),Overig!D201,10*Overig!D201),""",""????0;"",""???-0;"",""????0;"", ////"""),"'","""")&amp;SUBSTITUTE(TEXT(Overig!E201,""",""?00;"",""?-00;"",""?00;"", //"""),"'","""")</f>
        <v>073, 19450308, 12.00, ////, 07</v>
      </c>
    </row>
    <row r="202" spans="1:1" x14ac:dyDescent="0.25">
      <c r="A202" s="16" t="str">
        <f ca="1">TEXT(Overig!A202,"000\,")&amp;TEXT(Overig!B202,"?00000000")&amp;TEXT(Overig!C202,""", ""@")&amp;SUBSTITUTE(TEXT(IF(ISTEXT(Overig!D202),Overig!D202,10*Overig!D202),""",""????0;"",""???-0;"",""????0;"", ////"""),"'","""")&amp;SUBSTITUTE(TEXT(Overig!E202,""",""?00;"",""?-00;"",""?00;"", //"""),"'","""")</f>
        <v>073, 19450308, 16.00, ////, 07</v>
      </c>
    </row>
    <row r="203" spans="1:1" x14ac:dyDescent="0.25">
      <c r="A203" s="16" t="str">
        <f ca="1">TEXT(Overig!A203,"000\,")&amp;TEXT(Overig!B203,"?00000000")&amp;TEXT(Overig!C203,""", ""@")&amp;SUBSTITUTE(TEXT(IF(ISTEXT(Overig!D203),Overig!D203,10*Overig!D203),""",""????0;"",""???-0;"",""????0;"", ////"""),"'","""")&amp;SUBSTITUTE(TEXT(Overig!E203,""",""?00;"",""?-00;"",""?00;"", //"""),"'","""")</f>
        <v>073, 19450309, 08.00, ////, 07</v>
      </c>
    </row>
    <row r="204" spans="1:1" x14ac:dyDescent="0.25">
      <c r="A204" s="16" t="str">
        <f ca="1">TEXT(Overig!A204,"000\,")&amp;TEXT(Overig!B204,"?00000000")&amp;TEXT(Overig!C204,""", ""@")&amp;SUBSTITUTE(TEXT(IF(ISTEXT(Overig!D204),Overig!D204,10*Overig!D204),""",""????0;"",""???-0;"",""????0;"", ////"""),"'","""")&amp;SUBSTITUTE(TEXT(Overig!E204,""",""?00;"",""?-00;"",""?00;"", //"""),"'","""")</f>
        <v>073, 19450309, 12.00, ////, 07</v>
      </c>
    </row>
    <row r="205" spans="1:1" x14ac:dyDescent="0.25">
      <c r="A205" s="16" t="str">
        <f ca="1">TEXT(Overig!A205,"000\,")&amp;TEXT(Overig!B205,"?00000000")&amp;TEXT(Overig!C205,""", ""@")&amp;SUBSTITUTE(TEXT(IF(ISTEXT(Overig!D205),Overig!D205,10*Overig!D205),""",""????0;"",""???-0;"",""????0;"", ////"""),"'","""")&amp;SUBSTITUTE(TEXT(Overig!E205,""",""?00;"",""?-00;"",""?00;"", //"""),"'","""")</f>
        <v>073, 19450309, 16.00, ////, 07</v>
      </c>
    </row>
    <row r="206" spans="1:1" x14ac:dyDescent="0.25">
      <c r="A206" s="16" t="str">
        <f ca="1">TEXT(Overig!A206,"000\,")&amp;TEXT(Overig!B206,"?00000000")&amp;TEXT(Overig!C206,""", ""@")&amp;SUBSTITUTE(TEXT(IF(ISTEXT(Overig!D206),Overig!D206,10*Overig!D206),""",""????0;"",""???-0;"",""????0;"", ////"""),"'","""")&amp;SUBSTITUTE(TEXT(Overig!E206,""",""?00;"",""?-00;"",""?00;"", //"""),"'","""")</f>
        <v>073, 19450310, 08.00, ////, 07</v>
      </c>
    </row>
    <row r="207" spans="1:1" x14ac:dyDescent="0.25">
      <c r="A207" s="16" t="str">
        <f ca="1">TEXT(Overig!A207,"000\,")&amp;TEXT(Overig!B207,"?00000000")&amp;TEXT(Overig!C207,""", ""@")&amp;SUBSTITUTE(TEXT(IF(ISTEXT(Overig!D207),Overig!D207,10*Overig!D207),""",""????0;"",""???-0;"",""????0;"", ////"""),"'","""")&amp;SUBSTITUTE(TEXT(Overig!E207,""",""?00;"",""?-00;"",""?00;"", //"""),"'","""")</f>
        <v>073, 19450310, 12.00, ////, 07</v>
      </c>
    </row>
    <row r="208" spans="1:1" x14ac:dyDescent="0.25">
      <c r="A208" s="16" t="str">
        <f ca="1">TEXT(Overig!A208,"000\,")&amp;TEXT(Overig!B208,"?00000000")&amp;TEXT(Overig!C208,""", ""@")&amp;SUBSTITUTE(TEXT(IF(ISTEXT(Overig!D208),Overig!D208,10*Overig!D208),""",""????0;"",""???-0;"",""????0;"", ////"""),"'","""")&amp;SUBSTITUTE(TEXT(Overig!E208,""",""?00;"",""?-00;"",""?00;"", //"""),"'","""")</f>
        <v>073, 19450310, 16.00, ////, 07</v>
      </c>
    </row>
    <row r="209" spans="1:1" x14ac:dyDescent="0.25">
      <c r="A209" s="16" t="str">
        <f ca="1">TEXT(Overig!A209,"000\,")&amp;TEXT(Overig!B209,"?00000000")&amp;TEXT(Overig!C209,""", ""@")&amp;SUBSTITUTE(TEXT(IF(ISTEXT(Overig!D209),Overig!D209,10*Overig!D209),""",""????0;"",""???-0;"",""????0;"", ////"""),"'","""")&amp;SUBSTITUTE(TEXT(Overig!E209,""",""?00;"",""?-00;"",""?00;"", //"""),"'","""")</f>
        <v>073, 19450311, 08.00, ////, 07</v>
      </c>
    </row>
    <row r="210" spans="1:1" x14ac:dyDescent="0.25">
      <c r="A210" s="16" t="str">
        <f ca="1">TEXT(Overig!A210,"000\,")&amp;TEXT(Overig!B210,"?00000000")&amp;TEXT(Overig!C210,""", ""@")&amp;SUBSTITUTE(TEXT(IF(ISTEXT(Overig!D210),Overig!D210,10*Overig!D210),""",""????0;"",""???-0;"",""????0;"", ////"""),"'","""")&amp;SUBSTITUTE(TEXT(Overig!E210,""",""?00;"",""?-00;"",""?00;"", //"""),"'","""")</f>
        <v>073, 19450311, 12.00, ////, 07</v>
      </c>
    </row>
    <row r="211" spans="1:1" x14ac:dyDescent="0.25">
      <c r="A211" s="16" t="str">
        <f ca="1">TEXT(Overig!A211,"000\,")&amp;TEXT(Overig!B211,"?00000000")&amp;TEXT(Overig!C211,""", ""@")&amp;SUBSTITUTE(TEXT(IF(ISTEXT(Overig!D211),Overig!D211,10*Overig!D211),""",""????0;"",""???-0;"",""????0;"", ////"""),"'","""")&amp;SUBSTITUTE(TEXT(Overig!E211,""",""?00;"",""?-00;"",""?00;"", //"""),"'","""")</f>
        <v>073, 19450311, 16.00, ////, 07</v>
      </c>
    </row>
    <row r="212" spans="1:1" x14ac:dyDescent="0.25">
      <c r="A212" s="16" t="str">
        <f ca="1">TEXT(Overig!A212,"000\,")&amp;TEXT(Overig!B212,"?00000000")&amp;TEXT(Overig!C212,""", ""@")&amp;SUBSTITUTE(TEXT(IF(ISTEXT(Overig!D212),Overig!D212,10*Overig!D212),""",""????0;"",""???-0;"",""????0;"", ////"""),"'","""")&amp;SUBSTITUTE(TEXT(Overig!E212,""",""?00;"",""?-00;"",""?00;"", //"""),"'","""")</f>
        <v>073, 19450312, 08.00, ////, 07</v>
      </c>
    </row>
    <row r="213" spans="1:1" x14ac:dyDescent="0.25">
      <c r="A213" s="16" t="str">
        <f ca="1">TEXT(Overig!A213,"000\,")&amp;TEXT(Overig!B213,"?00000000")&amp;TEXT(Overig!C213,""", ""@")&amp;SUBSTITUTE(TEXT(IF(ISTEXT(Overig!D213),Overig!D213,10*Overig!D213),""",""????0;"",""???-0;"",""????0;"", ////"""),"'","""")&amp;SUBSTITUTE(TEXT(Overig!E213,""",""?00;"",""?-00;"",""?00;"", //"""),"'","""")</f>
        <v>073, 19450312, 12.00, ////, 07</v>
      </c>
    </row>
    <row r="214" spans="1:1" x14ac:dyDescent="0.25">
      <c r="A214" s="16" t="str">
        <f ca="1">TEXT(Overig!A214,"000\,")&amp;TEXT(Overig!B214,"?00000000")&amp;TEXT(Overig!C214,""", ""@")&amp;SUBSTITUTE(TEXT(IF(ISTEXT(Overig!D214),Overig!D214,10*Overig!D214),""",""????0;"",""???-0;"",""????0;"", ////"""),"'","""")&amp;SUBSTITUTE(TEXT(Overig!E214,""",""?00;"",""?-00;"",""?00;"", //"""),"'","""")</f>
        <v>073, 19450312, 16.00, ////, 07</v>
      </c>
    </row>
    <row r="215" spans="1:1" x14ac:dyDescent="0.25">
      <c r="A215" s="16" t="str">
        <f ca="1">TEXT(Overig!A215,"000\,")&amp;TEXT(Overig!B215,"?00000000")&amp;TEXT(Overig!C215,""", ""@")&amp;SUBSTITUTE(TEXT(IF(ISTEXT(Overig!D215),Overig!D215,10*Overig!D215),""",""????0;"",""???-0;"",""????0;"", ////"""),"'","""")&amp;SUBSTITUTE(TEXT(Overig!E215,""",""?00;"",""?-00;"",""?00;"", //"""),"'","""")</f>
        <v>073, 19450313, 08.00, ////, 07</v>
      </c>
    </row>
    <row r="216" spans="1:1" x14ac:dyDescent="0.25">
      <c r="A216" s="16" t="str">
        <f ca="1">TEXT(Overig!A216,"000\,")&amp;TEXT(Overig!B216,"?00000000")&amp;TEXT(Overig!C216,""", ""@")&amp;SUBSTITUTE(TEXT(IF(ISTEXT(Overig!D216),Overig!D216,10*Overig!D216),""",""????0;"",""???-0;"",""????0;"", ////"""),"'","""")&amp;SUBSTITUTE(TEXT(Overig!E216,""",""?00;"",""?-00;"",""?00;"", //"""),"'","""")</f>
        <v>073, 19450313, 12.00, ////, 07</v>
      </c>
    </row>
    <row r="217" spans="1:1" x14ac:dyDescent="0.25">
      <c r="A217" s="16" t="str">
        <f ca="1">TEXT(Overig!A217,"000\,")&amp;TEXT(Overig!B217,"?00000000")&amp;TEXT(Overig!C217,""", ""@")&amp;SUBSTITUTE(TEXT(IF(ISTEXT(Overig!D217),Overig!D217,10*Overig!D217),""",""????0;"",""???-0;"",""????0;"", ////"""),"'","""")&amp;SUBSTITUTE(TEXT(Overig!E217,""",""?00;"",""?-00;"",""?00;"", //"""),"'","""")</f>
        <v>073, 19450313, 16.00, ////, 07</v>
      </c>
    </row>
    <row r="218" spans="1:1" x14ac:dyDescent="0.25">
      <c r="A218" s="16" t="str">
        <f ca="1">TEXT(Overig!A218,"000\,")&amp;TEXT(Overig!B218,"?00000000")&amp;TEXT(Overig!C218,""", ""@")&amp;SUBSTITUTE(TEXT(IF(ISTEXT(Overig!D218),Overig!D218,10*Overig!D218),""",""????0;"",""???-0;"",""????0;"", ////"""),"'","""")&amp;SUBSTITUTE(TEXT(Overig!E218,""",""?00;"",""?-00;"",""?00;"", //"""),"'","""")</f>
        <v>073, 19450314, 08.00, ////, 07</v>
      </c>
    </row>
    <row r="219" spans="1:1" x14ac:dyDescent="0.25">
      <c r="A219" s="16" t="str">
        <f ca="1">TEXT(Overig!A219,"000\,")&amp;TEXT(Overig!B219,"?00000000")&amp;TEXT(Overig!C219,""", ""@")&amp;SUBSTITUTE(TEXT(IF(ISTEXT(Overig!D219),Overig!D219,10*Overig!D219),""",""????0;"",""???-0;"",""????0;"", ////"""),"'","""")&amp;SUBSTITUTE(TEXT(Overig!E219,""",""?00;"",""?-00;"",""?00;"", //"""),"'","""")</f>
        <v>073, 19450314, 12.00, ////, 07</v>
      </c>
    </row>
    <row r="220" spans="1:1" x14ac:dyDescent="0.25">
      <c r="A220" s="16" t="str">
        <f ca="1">TEXT(Overig!A220,"000\,")&amp;TEXT(Overig!B220,"?00000000")&amp;TEXT(Overig!C220,""", ""@")&amp;SUBSTITUTE(TEXT(IF(ISTEXT(Overig!D220),Overig!D220,10*Overig!D220),""",""????0;"",""???-0;"",""????0;"", ////"""),"'","""")&amp;SUBSTITUTE(TEXT(Overig!E220,""",""?00;"",""?-00;"",""?00;"", //"""),"'","""")</f>
        <v>073, 19450314, 16.00, ////, 07</v>
      </c>
    </row>
    <row r="221" spans="1:1" x14ac:dyDescent="0.25">
      <c r="A221" s="16" t="str">
        <f ca="1">TEXT(Overig!A221,"000\,")&amp;TEXT(Overig!B221,"?00000000")&amp;TEXT(Overig!C221,""", ""@")&amp;SUBSTITUTE(TEXT(IF(ISTEXT(Overig!D221),Overig!D221,10*Overig!D221),""",""????0;"",""???-0;"",""????0;"", ////"""),"'","""")&amp;SUBSTITUTE(TEXT(Overig!E221,""",""?00;"",""?-00;"",""?00;"", //"""),"'","""")</f>
        <v>073, 19450315, 08.00, ////, 07</v>
      </c>
    </row>
    <row r="222" spans="1:1" x14ac:dyDescent="0.25">
      <c r="A222" s="16" t="str">
        <f ca="1">TEXT(Overig!A222,"000\,")&amp;TEXT(Overig!B222,"?00000000")&amp;TEXT(Overig!C222,""", ""@")&amp;SUBSTITUTE(TEXT(IF(ISTEXT(Overig!D222),Overig!D222,10*Overig!D222),""",""????0;"",""???-0;"",""????0;"", ////"""),"'","""")&amp;SUBSTITUTE(TEXT(Overig!E222,""",""?00;"",""?-00;"",""?00;"", //"""),"'","""")</f>
        <v>073, 19450315, 12.00, ////, 07</v>
      </c>
    </row>
    <row r="223" spans="1:1" x14ac:dyDescent="0.25">
      <c r="A223" s="16" t="str">
        <f ca="1">TEXT(Overig!A223,"000\,")&amp;TEXT(Overig!B223,"?00000000")&amp;TEXT(Overig!C223,""", ""@")&amp;SUBSTITUTE(TEXT(IF(ISTEXT(Overig!D223),Overig!D223,10*Overig!D223),""",""????0;"",""???-0;"",""????0;"", ////"""),"'","""")&amp;SUBSTITUTE(TEXT(Overig!E223,""",""?00;"",""?-00;"",""?00;"", //"""),"'","""")</f>
        <v>073, 19450315, 16.00, ////, 07</v>
      </c>
    </row>
    <row r="224" spans="1:1" x14ac:dyDescent="0.25">
      <c r="A224" s="16" t="str">
        <f ca="1">TEXT(Overig!A224,"000\,")&amp;TEXT(Overig!B224,"?00000000")&amp;TEXT(Overig!C224,""", ""@")&amp;SUBSTITUTE(TEXT(IF(ISTEXT(Overig!D224),Overig!D224,10*Overig!D224),""",""????0;"",""???-0;"",""????0;"", ////"""),"'","""")&amp;SUBSTITUTE(TEXT(Overig!E224,""",""?00;"",""?-00;"",""?00;"", //"""),"'","""")</f>
        <v>073, 19450316, 08.00, ////, 07</v>
      </c>
    </row>
    <row r="225" spans="1:1" x14ac:dyDescent="0.25">
      <c r="A225" s="16" t="str">
        <f ca="1">TEXT(Overig!A225,"000\,")&amp;TEXT(Overig!B225,"?00000000")&amp;TEXT(Overig!C225,""", ""@")&amp;SUBSTITUTE(TEXT(IF(ISTEXT(Overig!D225),Overig!D225,10*Overig!D225),""",""????0;"",""???-0;"",""????0;"", ////"""),"'","""")&amp;SUBSTITUTE(TEXT(Overig!E225,""",""?00;"",""?-00;"",""?00;"", //"""),"'","""")</f>
        <v>073, 19450316, 12.00, ////, 07</v>
      </c>
    </row>
    <row r="226" spans="1:1" x14ac:dyDescent="0.25">
      <c r="A226" s="16" t="str">
        <f ca="1">TEXT(Overig!A226,"000\,")&amp;TEXT(Overig!B226,"?00000000")&amp;TEXT(Overig!C226,""", ""@")&amp;SUBSTITUTE(TEXT(IF(ISTEXT(Overig!D226),Overig!D226,10*Overig!D226),""",""????0;"",""???-0;"",""????0;"", ////"""),"'","""")&amp;SUBSTITUTE(TEXT(Overig!E226,""",""?00;"",""?-00;"",""?00;"", //"""),"'","""")</f>
        <v>073, 19450316, 16.00, ////, 07</v>
      </c>
    </row>
    <row r="227" spans="1:1" x14ac:dyDescent="0.25">
      <c r="A227" s="16" t="str">
        <f ca="1">TEXT(Overig!A227,"000\,")&amp;TEXT(Overig!B227,"?00000000")&amp;TEXT(Overig!C227,""", ""@")&amp;SUBSTITUTE(TEXT(IF(ISTEXT(Overig!D227),Overig!D227,10*Overig!D227),""",""????0;"",""???-0;"",""????0;"", ////"""),"'","""")&amp;SUBSTITUTE(TEXT(Overig!E227,""",""?00;"",""?-00;"",""?00;"", //"""),"'","""")</f>
        <v>073, 19450317, 08.00, ////, 07</v>
      </c>
    </row>
    <row r="228" spans="1:1" x14ac:dyDescent="0.25">
      <c r="A228" s="16" t="str">
        <f ca="1">TEXT(Overig!A228,"000\,")&amp;TEXT(Overig!B228,"?00000000")&amp;TEXT(Overig!C228,""", ""@")&amp;SUBSTITUTE(TEXT(IF(ISTEXT(Overig!D228),Overig!D228,10*Overig!D228),""",""????0;"",""???-0;"",""????0;"", ////"""),"'","""")&amp;SUBSTITUTE(TEXT(Overig!E228,""",""?00;"",""?-00;"",""?00;"", //"""),"'","""")</f>
        <v>073, 19450317, 12.00, ////, 07</v>
      </c>
    </row>
    <row r="229" spans="1:1" x14ac:dyDescent="0.25">
      <c r="A229" s="16" t="str">
        <f ca="1">TEXT(Overig!A229,"000\,")&amp;TEXT(Overig!B229,"?00000000")&amp;TEXT(Overig!C229,""", ""@")&amp;SUBSTITUTE(TEXT(IF(ISTEXT(Overig!D229),Overig!D229,10*Overig!D229),""",""????0;"",""???-0;"",""????0;"", ////"""),"'","""")&amp;SUBSTITUTE(TEXT(Overig!E229,""",""?00;"",""?-00;"",""?00;"", //"""),"'","""")</f>
        <v>073, 19450317, 16.00, ////, 07</v>
      </c>
    </row>
    <row r="230" spans="1:1" x14ac:dyDescent="0.25">
      <c r="A230" s="16" t="str">
        <f ca="1">TEXT(Overig!A230,"000\,")&amp;TEXT(Overig!B230,"?00000000")&amp;TEXT(Overig!C230,""", ""@")&amp;SUBSTITUTE(TEXT(IF(ISTEXT(Overig!D230),Overig!D230,10*Overig!D230),""",""????0;"",""???-0;"",""????0;"", ////"""),"'","""")&amp;SUBSTITUTE(TEXT(Overig!E230,""",""?00;"",""?-00;"",""?00;"", //"""),"'","""")</f>
        <v>073, 19450318, 08.00, ////, 07</v>
      </c>
    </row>
    <row r="231" spans="1:1" x14ac:dyDescent="0.25">
      <c r="A231" s="16" t="str">
        <f ca="1">TEXT(Overig!A231,"000\,")&amp;TEXT(Overig!B231,"?00000000")&amp;TEXT(Overig!C231,""", ""@")&amp;SUBSTITUTE(TEXT(IF(ISTEXT(Overig!D231),Overig!D231,10*Overig!D231),""",""????0;"",""???-0;"",""????0;"", ////"""),"'","""")&amp;SUBSTITUTE(TEXT(Overig!E231,""",""?00;"",""?-00;"",""?00;"", //"""),"'","""")</f>
        <v>073, 19450318, 12.00, ////, 07</v>
      </c>
    </row>
    <row r="232" spans="1:1" x14ac:dyDescent="0.25">
      <c r="A232" s="16" t="str">
        <f ca="1">TEXT(Overig!A232,"000\,")&amp;TEXT(Overig!B232,"?00000000")&amp;TEXT(Overig!C232,""", ""@")&amp;SUBSTITUTE(TEXT(IF(ISTEXT(Overig!D232),Overig!D232,10*Overig!D232),""",""????0;"",""???-0;"",""????0;"", ////"""),"'","""")&amp;SUBSTITUTE(TEXT(Overig!E232,""",""?00;"",""?-00;"",""?00;"", //"""),"'","""")</f>
        <v>073, 19450318, 16.00, ////, 07</v>
      </c>
    </row>
    <row r="233" spans="1:1" x14ac:dyDescent="0.25">
      <c r="A233" s="16" t="str">
        <f ca="1">TEXT(Overig!A233,"000\,")&amp;TEXT(Overig!B233,"?00000000")&amp;TEXT(Overig!C233,""", ""@")&amp;SUBSTITUTE(TEXT(IF(ISTEXT(Overig!D233),Overig!D233,10*Overig!D233),""",""????0;"",""???-0;"",""????0;"", ////"""),"'","""")&amp;SUBSTITUTE(TEXT(Overig!E233,""",""?00;"",""?-00;"",""?00;"", //"""),"'","""")</f>
        <v>073, 19450319, 08.00, ////, 07</v>
      </c>
    </row>
    <row r="234" spans="1:1" x14ac:dyDescent="0.25">
      <c r="A234" s="16" t="str">
        <f ca="1">TEXT(Overig!A234,"000\,")&amp;TEXT(Overig!B234,"?00000000")&amp;TEXT(Overig!C234,""", ""@")&amp;SUBSTITUTE(TEXT(IF(ISTEXT(Overig!D234),Overig!D234,10*Overig!D234),""",""????0;"",""???-0;"",""????0;"", ////"""),"'","""")&amp;SUBSTITUTE(TEXT(Overig!E234,""",""?00;"",""?-00;"",""?00;"", //"""),"'","""")</f>
        <v>073, 19450319, 12.00, ////, 07</v>
      </c>
    </row>
    <row r="235" spans="1:1" x14ac:dyDescent="0.25">
      <c r="A235" s="16" t="str">
        <f ca="1">TEXT(Overig!A235,"000\,")&amp;TEXT(Overig!B235,"?00000000")&amp;TEXT(Overig!C235,""", ""@")&amp;SUBSTITUTE(TEXT(IF(ISTEXT(Overig!D235),Overig!D235,10*Overig!D235),""",""????0;"",""???-0;"",""????0;"", ////"""),"'","""")&amp;SUBSTITUTE(TEXT(Overig!E235,""",""?00;"",""?-00;"",""?00;"", //"""),"'","""")</f>
        <v>073, 19450319, 16.00, ////, 07</v>
      </c>
    </row>
    <row r="236" spans="1:1" x14ac:dyDescent="0.25">
      <c r="A236" s="16" t="str">
        <f ca="1">TEXT(Overig!A236,"000\,")&amp;TEXT(Overig!B236,"?00000000")&amp;TEXT(Overig!C236,""", ""@")&amp;SUBSTITUTE(TEXT(IF(ISTEXT(Overig!D236),Overig!D236,10*Overig!D236),""",""????0;"",""???-0;"",""????0;"", ////"""),"'","""")&amp;SUBSTITUTE(TEXT(Overig!E236,""",""?00;"",""?-00;"",""?00;"", //"""),"'","""")</f>
        <v>073, 19450320, 08.00, ////, 07</v>
      </c>
    </row>
    <row r="237" spans="1:1" x14ac:dyDescent="0.25">
      <c r="A237" s="16" t="str">
        <f ca="1">TEXT(Overig!A237,"000\,")&amp;TEXT(Overig!B237,"?00000000")&amp;TEXT(Overig!C237,""", ""@")&amp;SUBSTITUTE(TEXT(IF(ISTEXT(Overig!D237),Overig!D237,10*Overig!D237),""",""????0;"",""???-0;"",""????0;"", ////"""),"'","""")&amp;SUBSTITUTE(TEXT(Overig!E237,""",""?00;"",""?-00;"",""?00;"", //"""),"'","""")</f>
        <v>073, 19450320, 12.00, ////, 07</v>
      </c>
    </row>
    <row r="238" spans="1:1" x14ac:dyDescent="0.25">
      <c r="A238" s="16" t="str">
        <f ca="1">TEXT(Overig!A238,"000\,")&amp;TEXT(Overig!B238,"?00000000")&amp;TEXT(Overig!C238,""", ""@")&amp;SUBSTITUTE(TEXT(IF(ISTEXT(Overig!D238),Overig!D238,10*Overig!D238),""",""????0;"",""???-0;"",""????0;"", ////"""),"'","""")&amp;SUBSTITUTE(TEXT(Overig!E238,""",""?00;"",""?-00;"",""?00;"", //"""),"'","""")</f>
        <v>073, 19450320, 16.00, ////, 07</v>
      </c>
    </row>
    <row r="239" spans="1:1" x14ac:dyDescent="0.25">
      <c r="A239" s="16" t="str">
        <f ca="1">TEXT(Overig!A239,"000\,")&amp;TEXT(Overig!B239,"?00000000")&amp;TEXT(Overig!C239,""", ""@")&amp;SUBSTITUTE(TEXT(IF(ISTEXT(Overig!D239),Overig!D239,10*Overig!D239),""",""????0;"",""???-0;"",""????0;"", ////"""),"'","""")&amp;SUBSTITUTE(TEXT(Overig!E239,""",""?00;"",""?-00;"",""?00;"", //"""),"'","""")</f>
        <v>073, 19450321, 08.00, ////, 07</v>
      </c>
    </row>
    <row r="240" spans="1:1" x14ac:dyDescent="0.25">
      <c r="A240" s="16" t="str">
        <f ca="1">TEXT(Overig!A240,"000\,")&amp;TEXT(Overig!B240,"?00000000")&amp;TEXT(Overig!C240,""", ""@")&amp;SUBSTITUTE(TEXT(IF(ISTEXT(Overig!D240),Overig!D240,10*Overig!D240),""",""????0;"",""???-0;"",""????0;"", ////"""),"'","""")&amp;SUBSTITUTE(TEXT(Overig!E240,""",""?00;"",""?-00;"",""?00;"", //"""),"'","""")</f>
        <v>073, 19450321, 12.00, ////, 07</v>
      </c>
    </row>
    <row r="241" spans="1:1" x14ac:dyDescent="0.25">
      <c r="A241" s="16" t="str">
        <f ca="1">TEXT(Overig!A241,"000\,")&amp;TEXT(Overig!B241,"?00000000")&amp;TEXT(Overig!C241,""", ""@")&amp;SUBSTITUTE(TEXT(IF(ISTEXT(Overig!D241),Overig!D241,10*Overig!D241),""",""????0;"",""???-0;"",""????0;"", ////"""),"'","""")&amp;SUBSTITUTE(TEXT(Overig!E241,""",""?00;"",""?-00;"",""?00;"", //"""),"'","""")</f>
        <v>073, 19450321, 16.00, ////, 07</v>
      </c>
    </row>
    <row r="242" spans="1:1" x14ac:dyDescent="0.25">
      <c r="A242" s="16" t="str">
        <f ca="1">TEXT(Overig!A242,"000\,")&amp;TEXT(Overig!B242,"?00000000")&amp;TEXT(Overig!C242,""", ""@")&amp;SUBSTITUTE(TEXT(IF(ISTEXT(Overig!D242),Overig!D242,10*Overig!D242),""",""????0;"",""???-0;"",""????0;"", ////"""),"'","""")&amp;SUBSTITUTE(TEXT(Overig!E242,""",""?00;"",""?-00;"",""?00;"", //"""),"'","""")</f>
        <v>073, 19450322, 08.00, ////, 07</v>
      </c>
    </row>
    <row r="243" spans="1:1" x14ac:dyDescent="0.25">
      <c r="A243" s="16" t="str">
        <f ca="1">TEXT(Overig!A243,"000\,")&amp;TEXT(Overig!B243,"?00000000")&amp;TEXT(Overig!C243,""", ""@")&amp;SUBSTITUTE(TEXT(IF(ISTEXT(Overig!D243),Overig!D243,10*Overig!D243),""",""????0;"",""???-0;"",""????0;"", ////"""),"'","""")&amp;SUBSTITUTE(TEXT(Overig!E243,""",""?00;"",""?-00;"",""?00;"", //"""),"'","""")</f>
        <v>073, 19450322, 12.00, ////, 07</v>
      </c>
    </row>
    <row r="244" spans="1:1" x14ac:dyDescent="0.25">
      <c r="A244" s="16" t="str">
        <f ca="1">TEXT(Overig!A244,"000\,")&amp;TEXT(Overig!B244,"?00000000")&amp;TEXT(Overig!C244,""", ""@")&amp;SUBSTITUTE(TEXT(IF(ISTEXT(Overig!D244),Overig!D244,10*Overig!D244),""",""????0;"",""???-0;"",""????0;"", ////"""),"'","""")&amp;SUBSTITUTE(TEXT(Overig!E244,""",""?00;"",""?-00;"",""?00;"", //"""),"'","""")</f>
        <v>073, 19450322, 16.00, ////, 07</v>
      </c>
    </row>
    <row r="245" spans="1:1" x14ac:dyDescent="0.25">
      <c r="A245" s="16" t="str">
        <f ca="1">TEXT(Overig!A245,"000\,")&amp;TEXT(Overig!B245,"?00000000")&amp;TEXT(Overig!C245,""", ""@")&amp;SUBSTITUTE(TEXT(IF(ISTEXT(Overig!D245),Overig!D245,10*Overig!D245),""",""????0;"",""???-0;"",""????0;"", ////"""),"'","""")&amp;SUBSTITUTE(TEXT(Overig!E245,""",""?00;"",""?-00;"",""?00;"", //"""),"'","""")</f>
        <v>073, 19450323, 08.00, ////, 07</v>
      </c>
    </row>
    <row r="246" spans="1:1" x14ac:dyDescent="0.25">
      <c r="A246" s="16" t="str">
        <f ca="1">TEXT(Overig!A246,"000\,")&amp;TEXT(Overig!B246,"?00000000")&amp;TEXT(Overig!C246,""", ""@")&amp;SUBSTITUTE(TEXT(IF(ISTEXT(Overig!D246),Overig!D246,10*Overig!D246),""",""????0;"",""???-0;"",""????0;"", ////"""),"'","""")&amp;SUBSTITUTE(TEXT(Overig!E246,""",""?00;"",""?-00;"",""?00;"", //"""),"'","""")</f>
        <v>073, 19450323, 12.00, ////, 07</v>
      </c>
    </row>
    <row r="247" spans="1:1" x14ac:dyDescent="0.25">
      <c r="A247" s="16" t="str">
        <f ca="1">TEXT(Overig!A247,"000\,")&amp;TEXT(Overig!B247,"?00000000")&amp;TEXT(Overig!C247,""", ""@")&amp;SUBSTITUTE(TEXT(IF(ISTEXT(Overig!D247),Overig!D247,10*Overig!D247),""",""????0;"",""???-0;"",""????0;"", ////"""),"'","""")&amp;SUBSTITUTE(TEXT(Overig!E247,""",""?00;"",""?-00;"",""?00;"", //"""),"'","""")</f>
        <v>073, 19450323, 16.00, ////, 07</v>
      </c>
    </row>
    <row r="248" spans="1:1" x14ac:dyDescent="0.25">
      <c r="A248" s="16" t="str">
        <f ca="1">TEXT(Overig!A248,"000\,")&amp;TEXT(Overig!B248,"?00000000")&amp;TEXT(Overig!C248,""", ""@")&amp;SUBSTITUTE(TEXT(IF(ISTEXT(Overig!D248),Overig!D248,10*Overig!D248),""",""????0;"",""???-0;"",""????0;"", ////"""),"'","""")&amp;SUBSTITUTE(TEXT(Overig!E248,""",""?00;"",""?-00;"",""?00;"", //"""),"'","""")</f>
        <v>073, 19450324, 08.00, ////, 07</v>
      </c>
    </row>
    <row r="249" spans="1:1" x14ac:dyDescent="0.25">
      <c r="A249" s="16" t="str">
        <f ca="1">TEXT(Overig!A249,"000\,")&amp;TEXT(Overig!B249,"?00000000")&amp;TEXT(Overig!C249,""", ""@")&amp;SUBSTITUTE(TEXT(IF(ISTEXT(Overig!D249),Overig!D249,10*Overig!D249),""",""????0;"",""???-0;"",""????0;"", ////"""),"'","""")&amp;SUBSTITUTE(TEXT(Overig!E249,""",""?00;"",""?-00;"",""?00;"", //"""),"'","""")</f>
        <v>073, 19450324, 12.00, ////, 07</v>
      </c>
    </row>
    <row r="250" spans="1:1" x14ac:dyDescent="0.25">
      <c r="A250" s="16" t="str">
        <f ca="1">TEXT(Overig!A250,"000\,")&amp;TEXT(Overig!B250,"?00000000")&amp;TEXT(Overig!C250,""", ""@")&amp;SUBSTITUTE(TEXT(IF(ISTEXT(Overig!D250),Overig!D250,10*Overig!D250),""",""????0;"",""???-0;"",""????0;"", ////"""),"'","""")&amp;SUBSTITUTE(TEXT(Overig!E250,""",""?00;"",""?-00;"",""?00;"", //"""),"'","""")</f>
        <v>073, 19450324, 16.00, ////, 07</v>
      </c>
    </row>
    <row r="251" spans="1:1" x14ac:dyDescent="0.25">
      <c r="A251" s="16" t="str">
        <f ca="1">TEXT(Overig!A251,"000\,")&amp;TEXT(Overig!B251,"?00000000")&amp;TEXT(Overig!C251,""", ""@")&amp;SUBSTITUTE(TEXT(IF(ISTEXT(Overig!D251),Overig!D251,10*Overig!D251),""",""????0;"",""???-0;"",""????0;"", ////"""),"'","""")&amp;SUBSTITUTE(TEXT(Overig!E251,""",""?00;"",""?-00;"",""?00;"", //"""),"'","""")</f>
        <v>073, 19450325, 08.00, ////, 07</v>
      </c>
    </row>
    <row r="252" spans="1:1" x14ac:dyDescent="0.25">
      <c r="A252" s="16" t="str">
        <f ca="1">TEXT(Overig!A252,"000\,")&amp;TEXT(Overig!B252,"?00000000")&amp;TEXT(Overig!C252,""", ""@")&amp;SUBSTITUTE(TEXT(IF(ISTEXT(Overig!D252),Overig!D252,10*Overig!D252),""",""????0;"",""???-0;"",""????0;"", ////"""),"'","""")&amp;SUBSTITUTE(TEXT(Overig!E252,""",""?00;"",""?-00;"",""?00;"", //"""),"'","""")</f>
        <v>073, 19450325, 12.00, ////, 07</v>
      </c>
    </row>
    <row r="253" spans="1:1" x14ac:dyDescent="0.25">
      <c r="A253" s="16" t="str">
        <f ca="1">TEXT(Overig!A253,"000\,")&amp;TEXT(Overig!B253,"?00000000")&amp;TEXT(Overig!C253,""", ""@")&amp;SUBSTITUTE(TEXT(IF(ISTEXT(Overig!D253),Overig!D253,10*Overig!D253),""",""????0;"",""???-0;"",""????0;"", ////"""),"'","""")&amp;SUBSTITUTE(TEXT(Overig!E253,""",""?00;"",""?-00;"",""?00;"", //"""),"'","""")</f>
        <v>073, 19450325, 16.00, ////, 07</v>
      </c>
    </row>
    <row r="254" spans="1:1" x14ac:dyDescent="0.25">
      <c r="A254" s="16" t="str">
        <f ca="1">TEXT(Overig!A254,"000\,")&amp;TEXT(Overig!B254,"?00000000")&amp;TEXT(Overig!C254,""", ""@")&amp;SUBSTITUTE(TEXT(IF(ISTEXT(Overig!D254),Overig!D254,10*Overig!D254),""",""????0;"",""???-0;"",""????0;"", ////"""),"'","""")&amp;SUBSTITUTE(TEXT(Overig!E254,""",""?00;"",""?-00;"",""?00;"", //"""),"'","""")</f>
        <v>073, 19450326, 08.00, ////, 07</v>
      </c>
    </row>
    <row r="255" spans="1:1" x14ac:dyDescent="0.25">
      <c r="A255" s="16" t="str">
        <f ca="1">TEXT(Overig!A255,"000\,")&amp;TEXT(Overig!B255,"?00000000")&amp;TEXT(Overig!C255,""", ""@")&amp;SUBSTITUTE(TEXT(IF(ISTEXT(Overig!D255),Overig!D255,10*Overig!D255),""",""????0;"",""???-0;"",""????0;"", ////"""),"'","""")&amp;SUBSTITUTE(TEXT(Overig!E255,""",""?00;"",""?-00;"",""?00;"", //"""),"'","""")</f>
        <v>073, 19450326, 12.00, ////, 07</v>
      </c>
    </row>
    <row r="256" spans="1:1" x14ac:dyDescent="0.25">
      <c r="A256" s="16" t="str">
        <f ca="1">TEXT(Overig!A256,"000\,")&amp;TEXT(Overig!B256,"?00000000")&amp;TEXT(Overig!C256,""", ""@")&amp;SUBSTITUTE(TEXT(IF(ISTEXT(Overig!D256),Overig!D256,10*Overig!D256),""",""????0;"",""???-0;"",""????0;"", ////"""),"'","""")&amp;SUBSTITUTE(TEXT(Overig!E256,""",""?00;"",""?-00;"",""?00;"", //"""),"'","""")</f>
        <v>073, 19450326, 16.00, ////, 07</v>
      </c>
    </row>
    <row r="257" spans="1:1" x14ac:dyDescent="0.25">
      <c r="A257" s="16" t="str">
        <f ca="1">TEXT(Overig!A257,"000\,")&amp;TEXT(Overig!B257,"?00000000")&amp;TEXT(Overig!C257,""", ""@")&amp;SUBSTITUTE(TEXT(IF(ISTEXT(Overig!D257),Overig!D257,10*Overig!D257),""",""????0;"",""???-0;"",""????0;"", ////"""),"'","""")&amp;SUBSTITUTE(TEXT(Overig!E257,""",""?00;"",""?-00;"",""?00;"", //"""),"'","""")</f>
        <v>073, 19450327, 08.00, ////, 07</v>
      </c>
    </row>
    <row r="258" spans="1:1" x14ac:dyDescent="0.25">
      <c r="A258" s="16" t="str">
        <f ca="1">TEXT(Overig!A258,"000\,")&amp;TEXT(Overig!B258,"?00000000")&amp;TEXT(Overig!C258,""", ""@")&amp;SUBSTITUTE(TEXT(IF(ISTEXT(Overig!D258),Overig!D258,10*Overig!D258),""",""????0;"",""???-0;"",""????0;"", ////"""),"'","""")&amp;SUBSTITUTE(TEXT(Overig!E258,""",""?00;"",""?-00;"",""?00;"", //"""),"'","""")</f>
        <v>073, 19450327, 12.00, ////, 07</v>
      </c>
    </row>
    <row r="259" spans="1:1" x14ac:dyDescent="0.25">
      <c r="A259" s="16" t="str">
        <f ca="1">TEXT(Overig!A259,"000\,")&amp;TEXT(Overig!B259,"?00000000")&amp;TEXT(Overig!C259,""", ""@")&amp;SUBSTITUTE(TEXT(IF(ISTEXT(Overig!D259),Overig!D259,10*Overig!D259),""",""????0;"",""???-0;"",""????0;"", ////"""),"'","""")&amp;SUBSTITUTE(TEXT(Overig!E259,""",""?00;"",""?-00;"",""?00;"", //"""),"'","""")</f>
        <v>073, 19450327, 16.00, ////, 07</v>
      </c>
    </row>
    <row r="260" spans="1:1" x14ac:dyDescent="0.25">
      <c r="A260" s="16" t="str">
        <f ca="1">TEXT(Overig!A260,"000\,")&amp;TEXT(Overig!B260,"?00000000")&amp;TEXT(Overig!C260,""", ""@")&amp;SUBSTITUTE(TEXT(IF(ISTEXT(Overig!D260),Overig!D260,10*Overig!D260),""",""????0;"",""???-0;"",""????0;"", ////"""),"'","""")&amp;SUBSTITUTE(TEXT(Overig!E260,""",""?00;"",""?-00;"",""?00;"", //"""),"'","""")</f>
        <v>073, 19450328, 08.00, ////, 07</v>
      </c>
    </row>
    <row r="261" spans="1:1" x14ac:dyDescent="0.25">
      <c r="A261" s="16" t="str">
        <f ca="1">TEXT(Overig!A261,"000\,")&amp;TEXT(Overig!B261,"?00000000")&amp;TEXT(Overig!C261,""", ""@")&amp;SUBSTITUTE(TEXT(IF(ISTEXT(Overig!D261),Overig!D261,10*Overig!D261),""",""????0;"",""???-0;"",""????0;"", ////"""),"'","""")&amp;SUBSTITUTE(TEXT(Overig!E261,""",""?00;"",""?-00;"",""?00;"", //"""),"'","""")</f>
        <v>073, 19450328, 12.00, ////, 07</v>
      </c>
    </row>
    <row r="262" spans="1:1" x14ac:dyDescent="0.25">
      <c r="A262" s="16" t="str">
        <f ca="1">TEXT(Overig!A262,"000\,")&amp;TEXT(Overig!B262,"?00000000")&amp;TEXT(Overig!C262,""", ""@")&amp;SUBSTITUTE(TEXT(IF(ISTEXT(Overig!D262),Overig!D262,10*Overig!D262),""",""????0;"",""???-0;"",""????0;"", ////"""),"'","""")&amp;SUBSTITUTE(TEXT(Overig!E262,""",""?00;"",""?-00;"",""?00;"", //"""),"'","""")</f>
        <v>073, 19450328, 16.00, ////, 07</v>
      </c>
    </row>
    <row r="263" spans="1:1" x14ac:dyDescent="0.25">
      <c r="A263" s="16" t="str">
        <f ca="1">TEXT(Overig!A263,"000\,")&amp;TEXT(Overig!B263,"?00000000")&amp;TEXT(Overig!C263,""", ""@")&amp;SUBSTITUTE(TEXT(IF(ISTEXT(Overig!D263),Overig!D263,10*Overig!D263),""",""????0;"",""???-0;"",""????0;"", ////"""),"'","""")&amp;SUBSTITUTE(TEXT(Overig!E263,""",""?00;"",""?-00;"",""?00;"", //"""),"'","""")</f>
        <v>073, 19450329, 08.00, ////, 07</v>
      </c>
    </row>
    <row r="264" spans="1:1" x14ac:dyDescent="0.25">
      <c r="A264" s="16" t="str">
        <f ca="1">TEXT(Overig!A264,"000\,")&amp;TEXT(Overig!B264,"?00000000")&amp;TEXT(Overig!C264,""", ""@")&amp;SUBSTITUTE(TEXT(IF(ISTEXT(Overig!D264),Overig!D264,10*Overig!D264),""",""????0;"",""???-0;"",""????0;"", ////"""),"'","""")&amp;SUBSTITUTE(TEXT(Overig!E264,""",""?00;"",""?-00;"",""?00;"", //"""),"'","""")</f>
        <v>073, 19450329, 12.00, ////, 07</v>
      </c>
    </row>
    <row r="265" spans="1:1" x14ac:dyDescent="0.25">
      <c r="A265" s="16" t="str">
        <f ca="1">TEXT(Overig!A265,"000\,")&amp;TEXT(Overig!B265,"?00000000")&amp;TEXT(Overig!C265,""", ""@")&amp;SUBSTITUTE(TEXT(IF(ISTEXT(Overig!D265),Overig!D265,10*Overig!D265),""",""????0;"",""???-0;"",""????0;"", ////"""),"'","""")&amp;SUBSTITUTE(TEXT(Overig!E265,""",""?00;"",""?-00;"",""?00;"", //"""),"'","""")</f>
        <v>073, 19450329, 16.00, ////, 07</v>
      </c>
    </row>
    <row r="266" spans="1:1" x14ac:dyDescent="0.25">
      <c r="A266" s="16" t="str">
        <f ca="1">TEXT(Overig!A266,"000\,")&amp;TEXT(Overig!B266,"?00000000")&amp;TEXT(Overig!C266,""", ""@")&amp;SUBSTITUTE(TEXT(IF(ISTEXT(Overig!D266),Overig!D266,10*Overig!D266),""",""????0;"",""???-0;"",""????0;"", ////"""),"'","""")&amp;SUBSTITUTE(TEXT(Overig!E266,""",""?00;"",""?-00;"",""?00;"", //"""),"'","""")</f>
        <v>073, 19450330, 08.00, ////, 07</v>
      </c>
    </row>
    <row r="267" spans="1:1" x14ac:dyDescent="0.25">
      <c r="A267" s="16" t="str">
        <f ca="1">TEXT(Overig!A267,"000\,")&amp;TEXT(Overig!B267,"?00000000")&amp;TEXT(Overig!C267,""", ""@")&amp;SUBSTITUTE(TEXT(IF(ISTEXT(Overig!D267),Overig!D267,10*Overig!D267),""",""????0;"",""???-0;"",""????0;"", ////"""),"'","""")&amp;SUBSTITUTE(TEXT(Overig!E267,""",""?00;"",""?-00;"",""?00;"", //"""),"'","""")</f>
        <v>073, 19450330, 12.00, ////, 07</v>
      </c>
    </row>
    <row r="268" spans="1:1" x14ac:dyDescent="0.25">
      <c r="A268" s="16" t="str">
        <f ca="1">TEXT(Overig!A268,"000\,")&amp;TEXT(Overig!B268,"?00000000")&amp;TEXT(Overig!C268,""", ""@")&amp;SUBSTITUTE(TEXT(IF(ISTEXT(Overig!D268),Overig!D268,10*Overig!D268),""",""????0;"",""???-0;"",""????0;"", ////"""),"'","""")&amp;SUBSTITUTE(TEXT(Overig!E268,""",""?00;"",""?-00;"",""?00;"", //"""),"'","""")</f>
        <v>073, 19450330, 16.00, ////, 07</v>
      </c>
    </row>
    <row r="269" spans="1:1" x14ac:dyDescent="0.25">
      <c r="A269" s="16" t="str">
        <f ca="1">TEXT(Overig!A269,"000\,")&amp;TEXT(Overig!B269,"?00000000")&amp;TEXT(Overig!C269,""", ""@")&amp;SUBSTITUTE(TEXT(IF(ISTEXT(Overig!D269),Overig!D269,10*Overig!D269),""",""????0;"",""???-0;"",""????0;"", ////"""),"'","""")&amp;SUBSTITUTE(TEXT(Overig!E269,""",""?00;"",""?-00;"",""?00;"", //"""),"'","""")</f>
        <v>073, 19450331, 08.00, ////, 07</v>
      </c>
    </row>
    <row r="270" spans="1:1" x14ac:dyDescent="0.25">
      <c r="A270" s="16" t="str">
        <f ca="1">TEXT(Overig!A270,"000\,")&amp;TEXT(Overig!B270,"?00000000")&amp;TEXT(Overig!C270,""", ""@")&amp;SUBSTITUTE(TEXT(IF(ISTEXT(Overig!D270),Overig!D270,10*Overig!D270),""",""????0;"",""???-0;"",""????0;"", ////"""),"'","""")&amp;SUBSTITUTE(TEXT(Overig!E270,""",""?00;"",""?-00;"",""?00;"", //"""),"'","""")</f>
        <v>073, 19450331, 12.00, ////, 07</v>
      </c>
    </row>
    <row r="271" spans="1:1" x14ac:dyDescent="0.25">
      <c r="A271" s="16" t="str">
        <f ca="1">TEXT(Overig!A271,"000\,")&amp;TEXT(Overig!B271,"?00000000")&amp;TEXT(Overig!C271,""", ""@")&amp;SUBSTITUTE(TEXT(IF(ISTEXT(Overig!D271),Overig!D271,10*Overig!D271),""",""????0;"",""???-0;"",""????0;"", ////"""),"'","""")&amp;SUBSTITUTE(TEXT(Overig!E271,""",""?00;"",""?-00;"",""?00;"", //"""),"'","""")</f>
        <v>073, 19450331, 16.00, ////, 07</v>
      </c>
    </row>
    <row r="272" spans="1:1" x14ac:dyDescent="0.25">
      <c r="A272" s="16" t="str">
        <f ca="1">TEXT(Overig!A272,"000\,")&amp;TEXT(Overig!B272,"?00000000")&amp;TEXT(Overig!C272,""", ""@")&amp;SUBSTITUTE(TEXT(IF(ISTEXT(Overig!D272),Overig!D272,10*Overig!D272),""",""????0;"",""???-0;"",""????0;"", ////"""),"'","""")&amp;SUBSTITUTE(TEXT(Overig!E272,""",""?00;"",""?-00;"",""?00;"", //"""),"'","""")</f>
        <v>073, 19450401, 08.00, ////, 07</v>
      </c>
    </row>
    <row r="273" spans="1:1" x14ac:dyDescent="0.25">
      <c r="A273" s="16" t="str">
        <f ca="1">TEXT(Overig!A273,"000\,")&amp;TEXT(Overig!B273,"?00000000")&amp;TEXT(Overig!C273,""", ""@")&amp;SUBSTITUTE(TEXT(IF(ISTEXT(Overig!D273),Overig!D273,10*Overig!D273),""",""????0;"",""???-0;"",""????0;"", ////"""),"'","""")&amp;SUBSTITUTE(TEXT(Overig!E273,""",""?00;"",""?-00;"",""?00;"", //"""),"'","""")</f>
        <v>073, 19450401, 12.00, ////, 07</v>
      </c>
    </row>
    <row r="274" spans="1:1" x14ac:dyDescent="0.25">
      <c r="A274" s="16" t="str">
        <f ca="1">TEXT(Overig!A274,"000\,")&amp;TEXT(Overig!B274,"?00000000")&amp;TEXT(Overig!C274,""", ""@")&amp;SUBSTITUTE(TEXT(IF(ISTEXT(Overig!D274),Overig!D274,10*Overig!D274),""",""????0;"",""???-0;"",""????0;"", ////"""),"'","""")&amp;SUBSTITUTE(TEXT(Overig!E274,""",""?00;"",""?-00;"",""?00;"", //"""),"'","""")</f>
        <v>073, 19450401, 16.00, ////, 07</v>
      </c>
    </row>
    <row r="275" spans="1:1" x14ac:dyDescent="0.25">
      <c r="A275" s="16" t="str">
        <f ca="1">TEXT(Overig!A275,"000\,")&amp;TEXT(Overig!B275,"?00000000")&amp;TEXT(Overig!C275,""", ""@")&amp;SUBSTITUTE(TEXT(IF(ISTEXT(Overig!D275),Overig!D275,10*Overig!D275),""",""????0;"",""???-0;"",""????0;"", ////"""),"'","""")&amp;SUBSTITUTE(TEXT(Overig!E275,""",""?00;"",""?-00;"",""?00;"", //"""),"'","""")</f>
        <v>073, 19450402, 08.00, ////, 07</v>
      </c>
    </row>
    <row r="276" spans="1:1" x14ac:dyDescent="0.25">
      <c r="A276" s="16" t="str">
        <f ca="1">TEXT(Overig!A276,"000\,")&amp;TEXT(Overig!B276,"?00000000")&amp;TEXT(Overig!C276,""", ""@")&amp;SUBSTITUTE(TEXT(IF(ISTEXT(Overig!D276),Overig!D276,10*Overig!D276),""",""????0;"",""???-0;"",""????0;"", ////"""),"'","""")&amp;SUBSTITUTE(TEXT(Overig!E276,""",""?00;"",""?-00;"",""?00;"", //"""),"'","""")</f>
        <v>073, 19450402, 12.00, ////, 07</v>
      </c>
    </row>
    <row r="277" spans="1:1" x14ac:dyDescent="0.25">
      <c r="A277" s="16" t="str">
        <f ca="1">TEXT(Overig!A277,"000\,")&amp;TEXT(Overig!B277,"?00000000")&amp;TEXT(Overig!C277,""", ""@")&amp;SUBSTITUTE(TEXT(IF(ISTEXT(Overig!D277),Overig!D277,10*Overig!D277),""",""????0;"",""???-0;"",""????0;"", ////"""),"'","""")&amp;SUBSTITUTE(TEXT(Overig!E277,""",""?00;"",""?-00;"",""?00;"", //"""),"'","""")</f>
        <v>073, 19450402, 16.00, ////, 07</v>
      </c>
    </row>
    <row r="278" spans="1:1" x14ac:dyDescent="0.25">
      <c r="A278" s="16" t="str">
        <f ca="1">TEXT(Overig!A278,"000\,")&amp;TEXT(Overig!B278,"?00000000")&amp;TEXT(Overig!C278,""", ""@")&amp;SUBSTITUTE(TEXT(IF(ISTEXT(Overig!D278),Overig!D278,10*Overig!D278),""",""????0;"",""???-0;"",""????0;"", ////"""),"'","""")&amp;SUBSTITUTE(TEXT(Overig!E278,""",""?00;"",""?-00;"",""?00;"", //"""),"'","""")</f>
        <v>073, 19450403, 08.00, ////, 07</v>
      </c>
    </row>
    <row r="279" spans="1:1" x14ac:dyDescent="0.25">
      <c r="A279" s="16" t="str">
        <f ca="1">TEXT(Overig!A279,"000\,")&amp;TEXT(Overig!B279,"?00000000")&amp;TEXT(Overig!C279,""", ""@")&amp;SUBSTITUTE(TEXT(IF(ISTEXT(Overig!D279),Overig!D279,10*Overig!D279),""",""????0;"",""???-0;"",""????0;"", ////"""),"'","""")&amp;SUBSTITUTE(TEXT(Overig!E279,""",""?00;"",""?-00;"",""?00;"", //"""),"'","""")</f>
        <v>073, 19450403, 12.00, ////, 07</v>
      </c>
    </row>
    <row r="280" spans="1:1" x14ac:dyDescent="0.25">
      <c r="A280" s="16" t="str">
        <f ca="1">TEXT(Overig!A280,"000\,")&amp;TEXT(Overig!B280,"?00000000")&amp;TEXT(Overig!C280,""", ""@")&amp;SUBSTITUTE(TEXT(IF(ISTEXT(Overig!D280),Overig!D280,10*Overig!D280),""",""????0;"",""???-0;"",""????0;"", ////"""),"'","""")&amp;SUBSTITUTE(TEXT(Overig!E280,""",""?00;"",""?-00;"",""?00;"", //"""),"'","""")</f>
        <v>073, 19450403, 16.00, ////, 07</v>
      </c>
    </row>
    <row r="281" spans="1:1" x14ac:dyDescent="0.25">
      <c r="A281" s="16" t="str">
        <f ca="1">TEXT(Overig!A281,"000\,")&amp;TEXT(Overig!B281,"?00000000")&amp;TEXT(Overig!C281,""", ""@")&amp;SUBSTITUTE(TEXT(IF(ISTEXT(Overig!D281),Overig!D281,10*Overig!D281),""",""????0;"",""???-0;"",""????0;"", ////"""),"'","""")&amp;SUBSTITUTE(TEXT(Overig!E281,""",""?00;"",""?-00;"",""?00;"", //"""),"'","""")</f>
        <v>073, 19450404, 08.00, ////, 07</v>
      </c>
    </row>
    <row r="282" spans="1:1" x14ac:dyDescent="0.25">
      <c r="A282" s="16" t="str">
        <f ca="1">TEXT(Overig!A282,"000\,")&amp;TEXT(Overig!B282,"?00000000")&amp;TEXT(Overig!C282,""", ""@")&amp;SUBSTITUTE(TEXT(IF(ISTEXT(Overig!D282),Overig!D282,10*Overig!D282),""",""????0;"",""???-0;"",""????0;"", ////"""),"'","""")&amp;SUBSTITUTE(TEXT(Overig!E282,""",""?00;"",""?-00;"",""?00;"", //"""),"'","""")</f>
        <v>073, 19450404, 12.00, ////, 07</v>
      </c>
    </row>
    <row r="283" spans="1:1" x14ac:dyDescent="0.25">
      <c r="A283" s="16" t="str">
        <f ca="1">TEXT(Overig!A283,"000\,")&amp;TEXT(Overig!B283,"?00000000")&amp;TEXT(Overig!C283,""", ""@")&amp;SUBSTITUTE(TEXT(IF(ISTEXT(Overig!D283),Overig!D283,10*Overig!D283),""",""????0;"",""???-0;"",""????0;"", ////"""),"'","""")&amp;SUBSTITUTE(TEXT(Overig!E283,""",""?00;"",""?-00;"",""?00;"", //"""),"'","""")</f>
        <v>073, 19450404, 16.00, ////, 07</v>
      </c>
    </row>
    <row r="284" spans="1:1" x14ac:dyDescent="0.25">
      <c r="A284" s="16" t="str">
        <f ca="1">TEXT(Overig!A284,"000\,")&amp;TEXT(Overig!B284,"?00000000")&amp;TEXT(Overig!C284,""", ""@")&amp;SUBSTITUTE(TEXT(IF(ISTEXT(Overig!D284),Overig!D284,10*Overig!D284),""",""????0;"",""???-0;"",""????0;"", ////"""),"'","""")&amp;SUBSTITUTE(TEXT(Overig!E284,""",""?00;"",""?-00;"",""?00;"", //"""),"'","""")</f>
        <v>073, 19450405, 08.00, ////, 07</v>
      </c>
    </row>
    <row r="285" spans="1:1" x14ac:dyDescent="0.25">
      <c r="A285" s="16" t="str">
        <f ca="1">TEXT(Overig!A285,"000\,")&amp;TEXT(Overig!B285,"?00000000")&amp;TEXT(Overig!C285,""", ""@")&amp;SUBSTITUTE(TEXT(IF(ISTEXT(Overig!D285),Overig!D285,10*Overig!D285),""",""????0;"",""???-0;"",""????0;"", ////"""),"'","""")&amp;SUBSTITUTE(TEXT(Overig!E285,""",""?00;"",""?-00;"",""?00;"", //"""),"'","""")</f>
        <v>073, 19450405, 12.00, ////, 07</v>
      </c>
    </row>
    <row r="286" spans="1:1" x14ac:dyDescent="0.25">
      <c r="A286" s="16" t="str">
        <f ca="1">TEXT(Overig!A286,"000\,")&amp;TEXT(Overig!B286,"?00000000")&amp;TEXT(Overig!C286,""", ""@")&amp;SUBSTITUTE(TEXT(IF(ISTEXT(Overig!D286),Overig!D286,10*Overig!D286),""",""????0;"",""???-0;"",""????0;"", ////"""),"'","""")&amp;SUBSTITUTE(TEXT(Overig!E286,""",""?00;"",""?-00;"",""?00;"", //"""),"'","""")</f>
        <v>073, 19450405, 16.00, ////, 07</v>
      </c>
    </row>
    <row r="287" spans="1:1" x14ac:dyDescent="0.25">
      <c r="A287" s="16" t="str">
        <f ca="1">TEXT(Overig!A287,"000\,")&amp;TEXT(Overig!B287,"?00000000")&amp;TEXT(Overig!C287,""", ""@")&amp;SUBSTITUTE(TEXT(IF(ISTEXT(Overig!D287),Overig!D287,10*Overig!D287),""",""????0;"",""???-0;"",""????0;"", ////"""),"'","""")&amp;SUBSTITUTE(TEXT(Overig!E287,""",""?00;"",""?-00;"",""?00;"", //"""),"'","""")</f>
        <v>073, 19450406, 08.00, ////, 07</v>
      </c>
    </row>
    <row r="288" spans="1:1" x14ac:dyDescent="0.25">
      <c r="A288" s="16" t="str">
        <f ca="1">TEXT(Overig!A288,"000\,")&amp;TEXT(Overig!B288,"?00000000")&amp;TEXT(Overig!C288,""", ""@")&amp;SUBSTITUTE(TEXT(IF(ISTEXT(Overig!D288),Overig!D288,10*Overig!D288),""",""????0;"",""???-0;"",""????0;"", ////"""),"'","""")&amp;SUBSTITUTE(TEXT(Overig!E288,""",""?00;"",""?-00;"",""?00;"", //"""),"'","""")</f>
        <v>073, 19450406, 12.00, ////, 07</v>
      </c>
    </row>
    <row r="289" spans="1:1" x14ac:dyDescent="0.25">
      <c r="A289" s="16" t="str">
        <f ca="1">TEXT(Overig!A289,"000\,")&amp;TEXT(Overig!B289,"?00000000")&amp;TEXT(Overig!C289,""", ""@")&amp;SUBSTITUTE(TEXT(IF(ISTEXT(Overig!D289),Overig!D289,10*Overig!D289),""",""????0;"",""???-0;"",""????0;"", ////"""),"'","""")&amp;SUBSTITUTE(TEXT(Overig!E289,""",""?00;"",""?-00;"",""?00;"", //"""),"'","""")</f>
        <v>073, 19450406, 16.00, ////, 07</v>
      </c>
    </row>
    <row r="290" spans="1:1" x14ac:dyDescent="0.25">
      <c r="A290" s="16" t="str">
        <f ca="1">TEXT(Overig!A290,"000\,")&amp;TEXT(Overig!B290,"?00000000")&amp;TEXT(Overig!C290,""", ""@")&amp;SUBSTITUTE(TEXT(IF(ISTEXT(Overig!D290),Overig!D290,10*Overig!D290),""",""????0;"",""???-0;"",""????0;"", ////"""),"'","""")&amp;SUBSTITUTE(TEXT(Overig!E290,""",""?00;"",""?-00;"",""?00;"", //"""),"'","""")</f>
        <v>073, 19450407, 08.00, ////, 07</v>
      </c>
    </row>
    <row r="291" spans="1:1" x14ac:dyDescent="0.25">
      <c r="A291" s="16" t="str">
        <f ca="1">TEXT(Overig!A291,"000\,")&amp;TEXT(Overig!B291,"?00000000")&amp;TEXT(Overig!C291,""", ""@")&amp;SUBSTITUTE(TEXT(IF(ISTEXT(Overig!D291),Overig!D291,10*Overig!D291),""",""????0;"",""???-0;"",""????0;"", ////"""),"'","""")&amp;SUBSTITUTE(TEXT(Overig!E291,""",""?00;"",""?-00;"",""?00;"", //"""),"'","""")</f>
        <v>073, 19450407, 12.00, ////, 07</v>
      </c>
    </row>
    <row r="292" spans="1:1" x14ac:dyDescent="0.25">
      <c r="A292" s="16" t="str">
        <f ca="1">TEXT(Overig!A292,"000\,")&amp;TEXT(Overig!B292,"?00000000")&amp;TEXT(Overig!C292,""", ""@")&amp;SUBSTITUTE(TEXT(IF(ISTEXT(Overig!D292),Overig!D292,10*Overig!D292),""",""????0;"",""???-0;"",""????0;"", ////"""),"'","""")&amp;SUBSTITUTE(TEXT(Overig!E292,""",""?00;"",""?-00;"",""?00;"", //"""),"'","""")</f>
        <v>073, 19450407, 16.00, ////, 07</v>
      </c>
    </row>
    <row r="293" spans="1:1" x14ac:dyDescent="0.25">
      <c r="A293" s="16" t="str">
        <f ca="1">TEXT(Overig!A293,"000\,")&amp;TEXT(Overig!B293,"?00000000")&amp;TEXT(Overig!C293,""", ""@")&amp;SUBSTITUTE(TEXT(IF(ISTEXT(Overig!D293),Overig!D293,10*Overig!D293),""",""????0;"",""???-0;"",""????0;"", ////"""),"'","""")&amp;SUBSTITUTE(TEXT(Overig!E293,""",""?00;"",""?-00;"",""?00;"", //"""),"'","""")</f>
        <v>073, 19450408, 08.00, ////, 07</v>
      </c>
    </row>
    <row r="294" spans="1:1" x14ac:dyDescent="0.25">
      <c r="A294" s="16" t="str">
        <f ca="1">TEXT(Overig!A294,"000\,")&amp;TEXT(Overig!B294,"?00000000")&amp;TEXT(Overig!C294,""", ""@")&amp;SUBSTITUTE(TEXT(IF(ISTEXT(Overig!D294),Overig!D294,10*Overig!D294),""",""????0;"",""???-0;"",""????0;"", ////"""),"'","""")&amp;SUBSTITUTE(TEXT(Overig!E294,""",""?00;"",""?-00;"",""?00;"", //"""),"'","""")</f>
        <v>073, 19450408, 12.00, ////, 07</v>
      </c>
    </row>
    <row r="295" spans="1:1" x14ac:dyDescent="0.25">
      <c r="A295" s="16" t="str">
        <f ca="1">TEXT(Overig!A295,"000\,")&amp;TEXT(Overig!B295,"?00000000")&amp;TEXT(Overig!C295,""", ""@")&amp;SUBSTITUTE(TEXT(IF(ISTEXT(Overig!D295),Overig!D295,10*Overig!D295),""",""????0;"",""???-0;"",""????0;"", ////"""),"'","""")&amp;SUBSTITUTE(TEXT(Overig!E295,""",""?00;"",""?-00;"",""?00;"", //"""),"'","""")</f>
        <v>073, 19450408, 16.00, ////, 07</v>
      </c>
    </row>
    <row r="296" spans="1:1" x14ac:dyDescent="0.25">
      <c r="A296" s="16" t="str">
        <f ca="1">TEXT(Overig!A296,"000\,")&amp;TEXT(Overig!B296,"?00000000")&amp;TEXT(Overig!C296,""", ""@")&amp;SUBSTITUTE(TEXT(IF(ISTEXT(Overig!D296),Overig!D296,10*Overig!D296),""",""????0;"",""???-0;"",""????0;"", ////"""),"'","""")&amp;SUBSTITUTE(TEXT(Overig!E296,""",""?00;"",""?-00;"",""?00;"", //"""),"'","""")</f>
        <v>073, 19450409, 08.00, ////, 07</v>
      </c>
    </row>
    <row r="297" spans="1:1" x14ac:dyDescent="0.25">
      <c r="A297" s="16" t="str">
        <f ca="1">TEXT(Overig!A297,"000\,")&amp;TEXT(Overig!B297,"?00000000")&amp;TEXT(Overig!C297,""", ""@")&amp;SUBSTITUTE(TEXT(IF(ISTEXT(Overig!D297),Overig!D297,10*Overig!D297),""",""????0;"",""???-0;"",""????0;"", ////"""),"'","""")&amp;SUBSTITUTE(TEXT(Overig!E297,""",""?00;"",""?-00;"",""?00;"", //"""),"'","""")</f>
        <v>073, 19450409, 12.00, ////, 07</v>
      </c>
    </row>
    <row r="298" spans="1:1" x14ac:dyDescent="0.25">
      <c r="A298" s="16" t="str">
        <f ca="1">TEXT(Overig!A298,"000\,")&amp;TEXT(Overig!B298,"?00000000")&amp;TEXT(Overig!C298,""", ""@")&amp;SUBSTITUTE(TEXT(IF(ISTEXT(Overig!D298),Overig!D298,10*Overig!D298),""",""????0;"",""???-0;"",""????0;"", ////"""),"'","""")&amp;SUBSTITUTE(TEXT(Overig!E298,""",""?00;"",""?-00;"",""?00;"", //"""),"'","""")</f>
        <v>073, 19450409, 16.00, ////, 07</v>
      </c>
    </row>
    <row r="299" spans="1:1" x14ac:dyDescent="0.25">
      <c r="A299" s="16" t="str">
        <f ca="1">TEXT(Overig!A299,"000\,")&amp;TEXT(Overig!B299,"?00000000")&amp;TEXT(Overig!C299,""", ""@")&amp;SUBSTITUTE(TEXT(IF(ISTEXT(Overig!D299),Overig!D299,10*Overig!D299),""",""????0;"",""???-0;"",""????0;"", ////"""),"'","""")&amp;SUBSTITUTE(TEXT(Overig!E299,""",""?00;"",""?-00;"",""?00;"", //"""),"'","""")</f>
        <v>073, 19450410, 08.00, ////, 07</v>
      </c>
    </row>
    <row r="300" spans="1:1" x14ac:dyDescent="0.25">
      <c r="A300" s="16" t="str">
        <f ca="1">TEXT(Overig!A300,"000\,")&amp;TEXT(Overig!B300,"?00000000")&amp;TEXT(Overig!C300,""", ""@")&amp;SUBSTITUTE(TEXT(IF(ISTEXT(Overig!D300),Overig!D300,10*Overig!D300),""",""????0;"",""???-0;"",""????0;"", ////"""),"'","""")&amp;SUBSTITUTE(TEXT(Overig!E300,""",""?00;"",""?-00;"",""?00;"", //"""),"'","""")</f>
        <v>073, 19450410, 12.00, ////, 07</v>
      </c>
    </row>
    <row r="301" spans="1:1" x14ac:dyDescent="0.25">
      <c r="A301" s="16" t="str">
        <f ca="1">TEXT(Overig!A301,"000\,")&amp;TEXT(Overig!B301,"?00000000")&amp;TEXT(Overig!C301,""", ""@")&amp;SUBSTITUTE(TEXT(IF(ISTEXT(Overig!D301),Overig!D301,10*Overig!D301),""",""????0;"",""???-0;"",""????0;"", ////"""),"'","""")&amp;SUBSTITUTE(TEXT(Overig!E301,""",""?00;"",""?-00;"",""?00;"", //"""),"'","""")</f>
        <v>073, 19450410, 16.00, ////, 07</v>
      </c>
    </row>
    <row r="302" spans="1:1" x14ac:dyDescent="0.25">
      <c r="A302" s="16" t="str">
        <f ca="1">TEXT(Overig!A302,"000\,")&amp;TEXT(Overig!B302,"?00000000")&amp;TEXT(Overig!C302,""", ""@")&amp;SUBSTITUTE(TEXT(IF(ISTEXT(Overig!D302),Overig!D302,10*Overig!D302),""",""????0;"",""???-0;"",""????0;"", ////"""),"'","""")&amp;SUBSTITUTE(TEXT(Overig!E302,""",""?00;"",""?-00;"",""?00;"", //"""),"'","""")</f>
        <v>073, 19450411, 08.00, ////, 07</v>
      </c>
    </row>
    <row r="303" spans="1:1" x14ac:dyDescent="0.25">
      <c r="A303" s="16" t="str">
        <f ca="1">TEXT(Overig!A303,"000\,")&amp;TEXT(Overig!B303,"?00000000")&amp;TEXT(Overig!C303,""", ""@")&amp;SUBSTITUTE(TEXT(IF(ISTEXT(Overig!D303),Overig!D303,10*Overig!D303),""",""????0;"",""???-0;"",""????0;"", ////"""),"'","""")&amp;SUBSTITUTE(TEXT(Overig!E303,""",""?00;"",""?-00;"",""?00;"", //"""),"'","""")</f>
        <v>073, 19450411, 12.00, ////, 07</v>
      </c>
    </row>
    <row r="304" spans="1:1" x14ac:dyDescent="0.25">
      <c r="A304" s="16" t="str">
        <f ca="1">TEXT(Overig!A304,"000\,")&amp;TEXT(Overig!B304,"?00000000")&amp;TEXT(Overig!C304,""", ""@")&amp;SUBSTITUTE(TEXT(IF(ISTEXT(Overig!D304),Overig!D304,10*Overig!D304),""",""????0;"",""???-0;"",""????0;"", ////"""),"'","""")&amp;SUBSTITUTE(TEXT(Overig!E304,""",""?00;"",""?-00;"",""?00;"", //"""),"'","""")</f>
        <v>073, 19450411, 16.00, ////, 07</v>
      </c>
    </row>
    <row r="305" spans="1:1" x14ac:dyDescent="0.25">
      <c r="A305" s="16" t="str">
        <f ca="1">TEXT(Overig!A305,"000\,")&amp;TEXT(Overig!B305,"?00000000")&amp;TEXT(Overig!C305,""", ""@")&amp;SUBSTITUTE(TEXT(IF(ISTEXT(Overig!D305),Overig!D305,10*Overig!D305),""",""????0;"",""???-0;"",""????0;"", ////"""),"'","""")&amp;SUBSTITUTE(TEXT(Overig!E305,""",""?00;"",""?-00;"",""?00;"", //"""),"'","""")</f>
        <v>073, 19450412, 08.00, ////, 07</v>
      </c>
    </row>
    <row r="306" spans="1:1" x14ac:dyDescent="0.25">
      <c r="A306" s="16" t="str">
        <f ca="1">TEXT(Overig!A306,"000\,")&amp;TEXT(Overig!B306,"?00000000")&amp;TEXT(Overig!C306,""", ""@")&amp;SUBSTITUTE(TEXT(IF(ISTEXT(Overig!D306),Overig!D306,10*Overig!D306),""",""????0;"",""???-0;"",""????0;"", ////"""),"'","""")&amp;SUBSTITUTE(TEXT(Overig!E306,""",""?00;"",""?-00;"",""?00;"", //"""),"'","""")</f>
        <v>073, 19450412, 12.00, ////, 07</v>
      </c>
    </row>
    <row r="307" spans="1:1" x14ac:dyDescent="0.25">
      <c r="A307" s="16" t="str">
        <f ca="1">TEXT(Overig!A307,"000\,")&amp;TEXT(Overig!B307,"?00000000")&amp;TEXT(Overig!C307,""", ""@")&amp;SUBSTITUTE(TEXT(IF(ISTEXT(Overig!D307),Overig!D307,10*Overig!D307),""",""????0;"",""???-0;"",""????0;"", ////"""),"'","""")&amp;SUBSTITUTE(TEXT(Overig!E307,""",""?00;"",""?-00;"",""?00;"", //"""),"'","""")</f>
        <v>073, 19450412, 16.00, ////, 07</v>
      </c>
    </row>
    <row r="308" spans="1:1" x14ac:dyDescent="0.25">
      <c r="A308" s="16" t="str">
        <f ca="1">TEXT(Overig!A308,"000\,")&amp;TEXT(Overig!B308,"?00000000")&amp;TEXT(Overig!C308,""", ""@")&amp;SUBSTITUTE(TEXT(IF(ISTEXT(Overig!D308),Overig!D308,10*Overig!D308),""",""????0;"",""???-0;"",""????0;"", ////"""),"'","""")&amp;SUBSTITUTE(TEXT(Overig!E308,""",""?00;"",""?-00;"",""?00;"", //"""),"'","""")</f>
        <v>073, 19450413, 08.00, ////, 07</v>
      </c>
    </row>
    <row r="309" spans="1:1" x14ac:dyDescent="0.25">
      <c r="A309" s="16" t="str">
        <f ca="1">TEXT(Overig!A309,"000\,")&amp;TEXT(Overig!B309,"?00000000")&amp;TEXT(Overig!C309,""", ""@")&amp;SUBSTITUTE(TEXT(IF(ISTEXT(Overig!D309),Overig!D309,10*Overig!D309),""",""????0;"",""???-0;"",""????0;"", ////"""),"'","""")&amp;SUBSTITUTE(TEXT(Overig!E309,""",""?00;"",""?-00;"",""?00;"", //"""),"'","""")</f>
        <v>073, 19450413, 12.00, ////, 07</v>
      </c>
    </row>
    <row r="310" spans="1:1" x14ac:dyDescent="0.25">
      <c r="A310" s="16" t="str">
        <f ca="1">TEXT(Overig!A310,"000\,")&amp;TEXT(Overig!B310,"?00000000")&amp;TEXT(Overig!C310,""", ""@")&amp;SUBSTITUTE(TEXT(IF(ISTEXT(Overig!D310),Overig!D310,10*Overig!D310),""",""????0;"",""???-0;"",""????0;"", ////"""),"'","""")&amp;SUBSTITUTE(TEXT(Overig!E310,""",""?00;"",""?-00;"",""?00;"", //"""),"'","""")</f>
        <v>073, 19450413, 16.00, ////, 07</v>
      </c>
    </row>
    <row r="311" spans="1:1" x14ac:dyDescent="0.25">
      <c r="A311" s="16" t="str">
        <f ca="1">TEXT(Overig!A311,"000\,")&amp;TEXT(Overig!B311,"?00000000")&amp;TEXT(Overig!C311,""", ""@")&amp;SUBSTITUTE(TEXT(IF(ISTEXT(Overig!D311),Overig!D311,10*Overig!D311),""",""????0;"",""???-0;"",""????0;"", ////"""),"'","""")&amp;SUBSTITUTE(TEXT(Overig!E311,""",""?00;"",""?-00;"",""?00;"", //"""),"'","""")</f>
        <v>073, 19450414, 08.00, ////, 07</v>
      </c>
    </row>
    <row r="312" spans="1:1" x14ac:dyDescent="0.25">
      <c r="A312" s="16" t="str">
        <f ca="1">TEXT(Overig!A312,"000\,")&amp;TEXT(Overig!B312,"?00000000")&amp;TEXT(Overig!C312,""", ""@")&amp;SUBSTITUTE(TEXT(IF(ISTEXT(Overig!D312),Overig!D312,10*Overig!D312),""",""????0;"",""???-0;"",""????0;"", ////"""),"'","""")&amp;SUBSTITUTE(TEXT(Overig!E312,""",""?00;"",""?-00;"",""?00;"", //"""),"'","""")</f>
        <v>073, 19450414, 12.00, ////, 07</v>
      </c>
    </row>
    <row r="313" spans="1:1" x14ac:dyDescent="0.25">
      <c r="A313" s="16" t="str">
        <f ca="1">TEXT(Overig!A313,"000\,")&amp;TEXT(Overig!B313,"?00000000")&amp;TEXT(Overig!C313,""", ""@")&amp;SUBSTITUTE(TEXT(IF(ISTEXT(Overig!D313),Overig!D313,10*Overig!D313),""",""????0;"",""???-0;"",""????0;"", ////"""),"'","""")&amp;SUBSTITUTE(TEXT(Overig!E313,""",""?00;"",""?-00;"",""?00;"", //"""),"'","""")</f>
        <v>073, 19450414, 16.00, ////, 07</v>
      </c>
    </row>
    <row r="314" spans="1:1" x14ac:dyDescent="0.25">
      <c r="A314" s="16" t="str">
        <f ca="1">TEXT(Overig!A314,"000\,")&amp;TEXT(Overig!B314,"?00000000")&amp;TEXT(Overig!C314,""", ""@")&amp;SUBSTITUTE(TEXT(IF(ISTEXT(Overig!D314),Overig!D314,10*Overig!D314),""",""????0;"",""???-0;"",""????0;"", ////"""),"'","""")&amp;SUBSTITUTE(TEXT(Overig!E314,""",""?00;"",""?-00;"",""?00;"", //"""),"'","""")</f>
        <v>073, 19450415, 08.00, ////, 07</v>
      </c>
    </row>
    <row r="315" spans="1:1" x14ac:dyDescent="0.25">
      <c r="A315" s="16" t="str">
        <f ca="1">TEXT(Overig!A315,"000\,")&amp;TEXT(Overig!B315,"?00000000")&amp;TEXT(Overig!C315,""", ""@")&amp;SUBSTITUTE(TEXT(IF(ISTEXT(Overig!D315),Overig!D315,10*Overig!D315),""",""????0;"",""???-0;"",""????0;"", ////"""),"'","""")&amp;SUBSTITUTE(TEXT(Overig!E315,""",""?00;"",""?-00;"",""?00;"", //"""),"'","""")</f>
        <v>073, 19450415, 12.00, ////, 07</v>
      </c>
    </row>
    <row r="316" spans="1:1" x14ac:dyDescent="0.25">
      <c r="A316" s="16" t="str">
        <f ca="1">TEXT(Overig!A316,"000\,")&amp;TEXT(Overig!B316,"?00000000")&amp;TEXT(Overig!C316,""", ""@")&amp;SUBSTITUTE(TEXT(IF(ISTEXT(Overig!D316),Overig!D316,10*Overig!D316),""",""????0;"",""???-0;"",""????0;"", ////"""),"'","""")&amp;SUBSTITUTE(TEXT(Overig!E316,""",""?00;"",""?-00;"",""?00;"", //"""),"'","""")</f>
        <v>073, 19450415, 16.00, ////, 07</v>
      </c>
    </row>
    <row r="317" spans="1:1" x14ac:dyDescent="0.25">
      <c r="A317" s="16" t="str">
        <f ca="1">TEXT(Overig!A317,"000\,")&amp;TEXT(Overig!B317,"?00000000")&amp;TEXT(Overig!C317,""", ""@")&amp;SUBSTITUTE(TEXT(IF(ISTEXT(Overig!D317),Overig!D317,10*Overig!D317),""",""????0;"",""???-0;"",""????0;"", ////"""),"'","""")&amp;SUBSTITUTE(TEXT(Overig!E317,""",""?00;"",""?-00;"",""?00;"", //"""),"'","""")</f>
        <v>073, 19450416, 08.00, ////, 07</v>
      </c>
    </row>
    <row r="318" spans="1:1" x14ac:dyDescent="0.25">
      <c r="A318" s="16" t="str">
        <f ca="1">TEXT(Overig!A318,"000\,")&amp;TEXT(Overig!B318,"?00000000")&amp;TEXT(Overig!C318,""", ""@")&amp;SUBSTITUTE(TEXT(IF(ISTEXT(Overig!D318),Overig!D318,10*Overig!D318),""",""????0;"",""???-0;"",""????0;"", ////"""),"'","""")&amp;SUBSTITUTE(TEXT(Overig!E318,""",""?00;"",""?-00;"",""?00;"", //"""),"'","""")</f>
        <v>073, 19450416, 12.00, ////, 07</v>
      </c>
    </row>
    <row r="319" spans="1:1" x14ac:dyDescent="0.25">
      <c r="A319" s="16" t="str">
        <f ca="1">TEXT(Overig!A319,"000\,")&amp;TEXT(Overig!B319,"?00000000")&amp;TEXT(Overig!C319,""", ""@")&amp;SUBSTITUTE(TEXT(IF(ISTEXT(Overig!D319),Overig!D319,10*Overig!D319),""",""????0;"",""???-0;"",""????0;"", ////"""),"'","""")&amp;SUBSTITUTE(TEXT(Overig!E319,""",""?00;"",""?-00;"",""?00;"", //"""),"'","""")</f>
        <v>073, 19450416, 16.00, ////, 07</v>
      </c>
    </row>
    <row r="320" spans="1:1" x14ac:dyDescent="0.25">
      <c r="A320" s="16" t="str">
        <f ca="1">TEXT(Overig!A320,"000\,")&amp;TEXT(Overig!B320,"?00000000")&amp;TEXT(Overig!C320,""", ""@")&amp;SUBSTITUTE(TEXT(IF(ISTEXT(Overig!D320),Overig!D320,10*Overig!D320),""",""????0;"",""???-0;"",""????0;"", ////"""),"'","""")&amp;SUBSTITUTE(TEXT(Overig!E320,""",""?00;"",""?-00;"",""?00;"", //"""),"'","""")</f>
        <v>073, 19450417, 08.00, ////, 07</v>
      </c>
    </row>
    <row r="321" spans="1:1" x14ac:dyDescent="0.25">
      <c r="A321" s="16" t="str">
        <f ca="1">TEXT(Overig!A321,"000\,")&amp;TEXT(Overig!B321,"?00000000")&amp;TEXT(Overig!C321,""", ""@")&amp;SUBSTITUTE(TEXT(IF(ISTEXT(Overig!D321),Overig!D321,10*Overig!D321),""",""????0;"",""???-0;"",""????0;"", ////"""),"'","""")&amp;SUBSTITUTE(TEXT(Overig!E321,""",""?00;"",""?-00;"",""?00;"", //"""),"'","""")</f>
        <v>073, 19450417, 12.00, ////, 07</v>
      </c>
    </row>
    <row r="322" spans="1:1" x14ac:dyDescent="0.25">
      <c r="A322" s="16" t="str">
        <f ca="1">TEXT(Overig!A322,"000\,")&amp;TEXT(Overig!B322,"?00000000")&amp;TEXT(Overig!C322,""", ""@")&amp;SUBSTITUTE(TEXT(IF(ISTEXT(Overig!D322),Overig!D322,10*Overig!D322),""",""????0;"",""???-0;"",""????0;"", ////"""),"'","""")&amp;SUBSTITUTE(TEXT(Overig!E322,""",""?00;"",""?-00;"",""?00;"", //"""),"'","""")</f>
        <v>073, 19450417, 16.00, ////, 07</v>
      </c>
    </row>
    <row r="323" spans="1:1" x14ac:dyDescent="0.25">
      <c r="A323" s="16" t="str">
        <f ca="1">TEXT(Overig!A323,"000\,")&amp;TEXT(Overig!B323,"?00000000")&amp;TEXT(Overig!C323,""", ""@")&amp;SUBSTITUTE(TEXT(IF(ISTEXT(Overig!D323),Overig!D323,10*Overig!D323),""",""????0;"",""???-0;"",""????0;"", ////"""),"'","""")&amp;SUBSTITUTE(TEXT(Overig!E323,""",""?00;"",""?-00;"",""?00;"", //"""),"'","""")</f>
        <v>073, 19450418, 08.00, ////, 07</v>
      </c>
    </row>
    <row r="324" spans="1:1" x14ac:dyDescent="0.25">
      <c r="A324" s="16" t="str">
        <f ca="1">TEXT(Overig!A324,"000\,")&amp;TEXT(Overig!B324,"?00000000")&amp;TEXT(Overig!C324,""", ""@")&amp;SUBSTITUTE(TEXT(IF(ISTEXT(Overig!D324),Overig!D324,10*Overig!D324),""",""????0;"",""???-0;"",""????0;"", ////"""),"'","""")&amp;SUBSTITUTE(TEXT(Overig!E324,""",""?00;"",""?-00;"",""?00;"", //"""),"'","""")</f>
        <v>073, 19450418, 12.00, ////, 07</v>
      </c>
    </row>
    <row r="325" spans="1:1" x14ac:dyDescent="0.25">
      <c r="A325" s="16" t="str">
        <f ca="1">TEXT(Overig!A325,"000\,")&amp;TEXT(Overig!B325,"?00000000")&amp;TEXT(Overig!C325,""", ""@")&amp;SUBSTITUTE(TEXT(IF(ISTEXT(Overig!D325),Overig!D325,10*Overig!D325),""",""????0;"",""???-0;"",""????0;"", ////"""),"'","""")&amp;SUBSTITUTE(TEXT(Overig!E325,""",""?00;"",""?-00;"",""?00;"", //"""),"'","""")</f>
        <v>073, 19450418, 16.00, ////, 07</v>
      </c>
    </row>
    <row r="326" spans="1:1" x14ac:dyDescent="0.25">
      <c r="A326" s="16" t="str">
        <f ca="1">TEXT(Overig!A326,"000\,")&amp;TEXT(Overig!B326,"?00000000")&amp;TEXT(Overig!C326,""", ""@")&amp;SUBSTITUTE(TEXT(IF(ISTEXT(Overig!D326),Overig!D326,10*Overig!D326),""",""????0;"",""???-0;"",""????0;"", ////"""),"'","""")&amp;SUBSTITUTE(TEXT(Overig!E326,""",""?00;"",""?-00;"",""?00;"", //"""),"'","""")</f>
        <v>073, 19450419, 08.00, ////, 07</v>
      </c>
    </row>
    <row r="327" spans="1:1" x14ac:dyDescent="0.25">
      <c r="A327" s="16" t="str">
        <f ca="1">TEXT(Overig!A327,"000\,")&amp;TEXT(Overig!B327,"?00000000")&amp;TEXT(Overig!C327,""", ""@")&amp;SUBSTITUTE(TEXT(IF(ISTEXT(Overig!D327),Overig!D327,10*Overig!D327),""",""????0;"",""???-0;"",""????0;"", ////"""),"'","""")&amp;SUBSTITUTE(TEXT(Overig!E327,""",""?00;"",""?-00;"",""?00;"", //"""),"'","""")</f>
        <v>073, 19450419, 12.00, ////, 07</v>
      </c>
    </row>
    <row r="328" spans="1:1" x14ac:dyDescent="0.25">
      <c r="A328" s="16" t="str">
        <f ca="1">TEXT(Overig!A328,"000\,")&amp;TEXT(Overig!B328,"?00000000")&amp;TEXT(Overig!C328,""", ""@")&amp;SUBSTITUTE(TEXT(IF(ISTEXT(Overig!D328),Overig!D328,10*Overig!D328),""",""????0;"",""???-0;"",""????0;"", ////"""),"'","""")&amp;SUBSTITUTE(TEXT(Overig!E328,""",""?00;"",""?-00;"",""?00;"", //"""),"'","""")</f>
        <v>073, 19450419, 16.00, ////, 07</v>
      </c>
    </row>
    <row r="329" spans="1:1" x14ac:dyDescent="0.25">
      <c r="A329" s="16" t="str">
        <f ca="1">TEXT(Overig!A329,"000\,")&amp;TEXT(Overig!B329,"?00000000")&amp;TEXT(Overig!C329,""", ""@")&amp;SUBSTITUTE(TEXT(IF(ISTEXT(Overig!D329),Overig!D329,10*Overig!D329),""",""????0;"",""???-0;"",""????0;"", ////"""),"'","""")&amp;SUBSTITUTE(TEXT(Overig!E329,""",""?00;"",""?-00;"",""?00;"", //"""),"'","""")</f>
        <v>073, 19450420, 08.00, ////, 07</v>
      </c>
    </row>
    <row r="330" spans="1:1" x14ac:dyDescent="0.25">
      <c r="A330" s="16" t="str">
        <f ca="1">TEXT(Overig!A330,"000\,")&amp;TEXT(Overig!B330,"?00000000")&amp;TEXT(Overig!C330,""", ""@")&amp;SUBSTITUTE(TEXT(IF(ISTEXT(Overig!D330),Overig!D330,10*Overig!D330),""",""????0;"",""???-0;"",""????0;"", ////"""),"'","""")&amp;SUBSTITUTE(TEXT(Overig!E330,""",""?00;"",""?-00;"",""?00;"", //"""),"'","""")</f>
        <v>073, 19450420, 12.00, ////, 07</v>
      </c>
    </row>
    <row r="331" spans="1:1" x14ac:dyDescent="0.25">
      <c r="A331" s="16" t="str">
        <f ca="1">TEXT(Overig!A331,"000\,")&amp;TEXT(Overig!B331,"?00000000")&amp;TEXT(Overig!C331,""", ""@")&amp;SUBSTITUTE(TEXT(IF(ISTEXT(Overig!D331),Overig!D331,10*Overig!D331),""",""????0;"",""???-0;"",""????0;"", ////"""),"'","""")&amp;SUBSTITUTE(TEXT(Overig!E331,""",""?00;"",""?-00;"",""?00;"", //"""),"'","""")</f>
        <v>073, 19450420, 16.00, ////, 07</v>
      </c>
    </row>
    <row r="332" spans="1:1" x14ac:dyDescent="0.25">
      <c r="A332" s="16" t="str">
        <f ca="1">TEXT(Overig!A332,"000\,")&amp;TEXT(Overig!B332,"?00000000")&amp;TEXT(Overig!C332,""", ""@")&amp;SUBSTITUTE(TEXT(IF(ISTEXT(Overig!D332),Overig!D332,10*Overig!D332),""",""????0;"",""???-0;"",""????0;"", ////"""),"'","""")&amp;SUBSTITUTE(TEXT(Overig!E332,""",""?00;"",""?-00;"",""?00;"", //"""),"'","""")</f>
        <v>073, 19450421, 08.00, ////, 07</v>
      </c>
    </row>
    <row r="333" spans="1:1" x14ac:dyDescent="0.25">
      <c r="A333" s="16" t="str">
        <f ca="1">TEXT(Overig!A333,"000\,")&amp;TEXT(Overig!B333,"?00000000")&amp;TEXT(Overig!C333,""", ""@")&amp;SUBSTITUTE(TEXT(IF(ISTEXT(Overig!D333),Overig!D333,10*Overig!D333),""",""????0;"",""???-0;"",""????0;"", ////"""),"'","""")&amp;SUBSTITUTE(TEXT(Overig!E333,""",""?00;"",""?-00;"",""?00;"", //"""),"'","""")</f>
        <v>073, 19450421, 12.00, ////, 07</v>
      </c>
    </row>
    <row r="334" spans="1:1" x14ac:dyDescent="0.25">
      <c r="A334" s="16" t="str">
        <f ca="1">TEXT(Overig!A334,"000\,")&amp;TEXT(Overig!B334,"?00000000")&amp;TEXT(Overig!C334,""", ""@")&amp;SUBSTITUTE(TEXT(IF(ISTEXT(Overig!D334),Overig!D334,10*Overig!D334),""",""????0;"",""???-0;"",""????0;"", ////"""),"'","""")&amp;SUBSTITUTE(TEXT(Overig!E334,""",""?00;"",""?-00;"",""?00;"", //"""),"'","""")</f>
        <v>073, 19450421, 16.00, ////, 07</v>
      </c>
    </row>
    <row r="335" spans="1:1" x14ac:dyDescent="0.25">
      <c r="A335" s="16" t="str">
        <f ca="1">TEXT(Overig!A335,"000\,")&amp;TEXT(Overig!B335,"?00000000")&amp;TEXT(Overig!C335,""", ""@")&amp;SUBSTITUTE(TEXT(IF(ISTEXT(Overig!D335),Overig!D335,10*Overig!D335),""",""????0;"",""???-0;"",""????0;"", ////"""),"'","""")&amp;SUBSTITUTE(TEXT(Overig!E335,""",""?00;"",""?-00;"",""?00;"", //"""),"'","""")</f>
        <v>073, 19450422, 08.00, ////, 07</v>
      </c>
    </row>
    <row r="336" spans="1:1" x14ac:dyDescent="0.25">
      <c r="A336" s="16" t="str">
        <f ca="1">TEXT(Overig!A336,"000\,")&amp;TEXT(Overig!B336,"?00000000")&amp;TEXT(Overig!C336,""", ""@")&amp;SUBSTITUTE(TEXT(IF(ISTEXT(Overig!D336),Overig!D336,10*Overig!D336),""",""????0;"",""???-0;"",""????0;"", ////"""),"'","""")&amp;SUBSTITUTE(TEXT(Overig!E336,""",""?00;"",""?-00;"",""?00;"", //"""),"'","""")</f>
        <v>073, 19450422, 12.00, ////, 07</v>
      </c>
    </row>
    <row r="337" spans="1:1" x14ac:dyDescent="0.25">
      <c r="A337" s="16" t="str">
        <f ca="1">TEXT(Overig!A337,"000\,")&amp;TEXT(Overig!B337,"?00000000")&amp;TEXT(Overig!C337,""", ""@")&amp;SUBSTITUTE(TEXT(IF(ISTEXT(Overig!D337),Overig!D337,10*Overig!D337),""",""????0;"",""???-0;"",""????0;"", ////"""),"'","""")&amp;SUBSTITUTE(TEXT(Overig!E337,""",""?00;"",""?-00;"",""?00;"", //"""),"'","""")</f>
        <v>073, 19450422, 16.00, ////, 07</v>
      </c>
    </row>
    <row r="338" spans="1:1" x14ac:dyDescent="0.25">
      <c r="A338" s="16" t="str">
        <f ca="1">TEXT(Overig!A338,"000\,")&amp;TEXT(Overig!B338,"?00000000")&amp;TEXT(Overig!C338,""", ""@")&amp;SUBSTITUTE(TEXT(IF(ISTEXT(Overig!D338),Overig!D338,10*Overig!D338),""",""????0;"",""???-0;"",""????0;"", ////"""),"'","""")&amp;SUBSTITUTE(TEXT(Overig!E338,""",""?00;"",""?-00;"",""?00;"", //"""),"'","""")</f>
        <v>073, 19450423, 08.00, ////, 07</v>
      </c>
    </row>
    <row r="339" spans="1:1" x14ac:dyDescent="0.25">
      <c r="A339" s="16" t="str">
        <f ca="1">TEXT(Overig!A339,"000\,")&amp;TEXT(Overig!B339,"?00000000")&amp;TEXT(Overig!C339,""", ""@")&amp;SUBSTITUTE(TEXT(IF(ISTEXT(Overig!D339),Overig!D339,10*Overig!D339),""",""????0;"",""???-0;"",""????0;"", ////"""),"'","""")&amp;SUBSTITUTE(TEXT(Overig!E339,""",""?00;"",""?-00;"",""?00;"", //"""),"'","""")</f>
        <v>073, 19450423, 12.00, ////, 07</v>
      </c>
    </row>
    <row r="340" spans="1:1" x14ac:dyDescent="0.25">
      <c r="A340" s="16" t="str">
        <f ca="1">TEXT(Overig!A340,"000\,")&amp;TEXT(Overig!B340,"?00000000")&amp;TEXT(Overig!C340,""", ""@")&amp;SUBSTITUTE(TEXT(IF(ISTEXT(Overig!D340),Overig!D340,10*Overig!D340),""",""????0;"",""???-0;"",""????0;"", ////"""),"'","""")&amp;SUBSTITUTE(TEXT(Overig!E340,""",""?00;"",""?-00;"",""?00;"", //"""),"'","""")</f>
        <v>073, 19450423, 16.00, ////, 07</v>
      </c>
    </row>
    <row r="341" spans="1:1" x14ac:dyDescent="0.25">
      <c r="A341" s="16" t="str">
        <f ca="1">TEXT(Overig!A341,"000\,")&amp;TEXT(Overig!B341,"?00000000")&amp;TEXT(Overig!C341,""", ""@")&amp;SUBSTITUTE(TEXT(IF(ISTEXT(Overig!D341),Overig!D341,10*Overig!D341),""",""????0;"",""???-0;"",""????0;"", ////"""),"'","""")&amp;SUBSTITUTE(TEXT(Overig!E341,""",""?00;"",""?-00;"",""?00;"", //"""),"'","""")</f>
        <v>073, 19450424, 08.00, ////, 07</v>
      </c>
    </row>
    <row r="342" spans="1:1" x14ac:dyDescent="0.25">
      <c r="A342" s="16" t="str">
        <f ca="1">TEXT(Overig!A342,"000\,")&amp;TEXT(Overig!B342,"?00000000")&amp;TEXT(Overig!C342,""", ""@")&amp;SUBSTITUTE(TEXT(IF(ISTEXT(Overig!D342),Overig!D342,10*Overig!D342),""",""????0;"",""???-0;"",""????0;"", ////"""),"'","""")&amp;SUBSTITUTE(TEXT(Overig!E342,""",""?00;"",""?-00;"",""?00;"", //"""),"'","""")</f>
        <v>073, 19450424, 12.00, ////, 07</v>
      </c>
    </row>
    <row r="343" spans="1:1" x14ac:dyDescent="0.25">
      <c r="A343" s="16" t="str">
        <f ca="1">TEXT(Overig!A343,"000\,")&amp;TEXT(Overig!B343,"?00000000")&amp;TEXT(Overig!C343,""", ""@")&amp;SUBSTITUTE(TEXT(IF(ISTEXT(Overig!D343),Overig!D343,10*Overig!D343),""",""????0;"",""???-0;"",""????0;"", ////"""),"'","""")&amp;SUBSTITUTE(TEXT(Overig!E343,""",""?00;"",""?-00;"",""?00;"", //"""),"'","""")</f>
        <v>073, 19450424, 16.00, ////, 07</v>
      </c>
    </row>
    <row r="344" spans="1:1" x14ac:dyDescent="0.25">
      <c r="A344" s="16" t="str">
        <f ca="1">TEXT(Overig!A344,"000\,")&amp;TEXT(Overig!B344,"?00000000")&amp;TEXT(Overig!C344,""", ""@")&amp;SUBSTITUTE(TEXT(IF(ISTEXT(Overig!D344),Overig!D344,10*Overig!D344),""",""????0;"",""???-0;"",""????0;"", ////"""),"'","""")&amp;SUBSTITUTE(TEXT(Overig!E344,""",""?00;"",""?-00;"",""?00;"", //"""),"'","""")</f>
        <v>073, 19450425, 08.00, ////, 07</v>
      </c>
    </row>
    <row r="345" spans="1:1" x14ac:dyDescent="0.25">
      <c r="A345" s="16" t="str">
        <f ca="1">TEXT(Overig!A345,"000\,")&amp;TEXT(Overig!B345,"?00000000")&amp;TEXT(Overig!C345,""", ""@")&amp;SUBSTITUTE(TEXT(IF(ISTEXT(Overig!D345),Overig!D345,10*Overig!D345),""",""????0;"",""???-0;"",""????0;"", ////"""),"'","""")&amp;SUBSTITUTE(TEXT(Overig!E345,""",""?00;"",""?-00;"",""?00;"", //"""),"'","""")</f>
        <v>073, 19450425, 12.00, ////, 07</v>
      </c>
    </row>
    <row r="346" spans="1:1" x14ac:dyDescent="0.25">
      <c r="A346" s="16" t="str">
        <f ca="1">TEXT(Overig!A346,"000\,")&amp;TEXT(Overig!B346,"?00000000")&amp;TEXT(Overig!C346,""", ""@")&amp;SUBSTITUTE(TEXT(IF(ISTEXT(Overig!D346),Overig!D346,10*Overig!D346),""",""????0;"",""???-0;"",""????0;"", ////"""),"'","""")&amp;SUBSTITUTE(TEXT(Overig!E346,""",""?00;"",""?-00;"",""?00;"", //"""),"'","""")</f>
        <v>073, 19450425, 16.00, ////, 07</v>
      </c>
    </row>
    <row r="347" spans="1:1" x14ac:dyDescent="0.25">
      <c r="A347" s="16" t="str">
        <f ca="1">TEXT(Overig!A347,"000\,")&amp;TEXT(Overig!B347,"?00000000")&amp;TEXT(Overig!C347,""", ""@")&amp;SUBSTITUTE(TEXT(IF(ISTEXT(Overig!D347),Overig!D347,10*Overig!D347),""",""????0;"",""???-0;"",""????0;"", ////"""),"'","""")&amp;SUBSTITUTE(TEXT(Overig!E347,""",""?00;"",""?-00;"",""?00;"", //"""),"'","""")</f>
        <v>073, 19450426, 08.00, ////, 07</v>
      </c>
    </row>
    <row r="348" spans="1:1" x14ac:dyDescent="0.25">
      <c r="A348" s="16" t="str">
        <f ca="1">TEXT(Overig!A348,"000\,")&amp;TEXT(Overig!B348,"?00000000")&amp;TEXT(Overig!C348,""", ""@")&amp;SUBSTITUTE(TEXT(IF(ISTEXT(Overig!D348),Overig!D348,10*Overig!D348),""",""????0;"",""???-0;"",""????0;"", ////"""),"'","""")&amp;SUBSTITUTE(TEXT(Overig!E348,""",""?00;"",""?-00;"",""?00;"", //"""),"'","""")</f>
        <v>073, 19450426, 12.00, ////, 07</v>
      </c>
    </row>
    <row r="349" spans="1:1" x14ac:dyDescent="0.25">
      <c r="A349" s="16" t="str">
        <f ca="1">TEXT(Overig!A349,"000\,")&amp;TEXT(Overig!B349,"?00000000")&amp;TEXT(Overig!C349,""", ""@")&amp;SUBSTITUTE(TEXT(IF(ISTEXT(Overig!D349),Overig!D349,10*Overig!D349),""",""????0;"",""???-0;"",""????0;"", ////"""),"'","""")&amp;SUBSTITUTE(TEXT(Overig!E349,""",""?00;"",""?-00;"",""?00;"", //"""),"'","""")</f>
        <v>073, 19450426, 16.00, ////, 07</v>
      </c>
    </row>
    <row r="350" spans="1:1" x14ac:dyDescent="0.25">
      <c r="A350" s="16" t="str">
        <f ca="1">TEXT(Overig!A350,"000\,")&amp;TEXT(Overig!B350,"?00000000")&amp;TEXT(Overig!C350,""", ""@")&amp;SUBSTITUTE(TEXT(IF(ISTEXT(Overig!D350),Overig!D350,10*Overig!D350),""",""????0;"",""???-0;"",""????0;"", ////"""),"'","""")&amp;SUBSTITUTE(TEXT(Overig!E350,""",""?00;"",""?-00;"",""?00;"", //"""),"'","""")</f>
        <v>073, 19450427, 08.00, ////, 07</v>
      </c>
    </row>
    <row r="351" spans="1:1" x14ac:dyDescent="0.25">
      <c r="A351" s="16" t="str">
        <f ca="1">TEXT(Overig!A351,"000\,")&amp;TEXT(Overig!B351,"?00000000")&amp;TEXT(Overig!C351,""", ""@")&amp;SUBSTITUTE(TEXT(IF(ISTEXT(Overig!D351),Overig!D351,10*Overig!D351),""",""????0;"",""???-0;"",""????0;"", ////"""),"'","""")&amp;SUBSTITUTE(TEXT(Overig!E351,""",""?00;"",""?-00;"",""?00;"", //"""),"'","""")</f>
        <v>073, 19450427, 12.00, ////, 07</v>
      </c>
    </row>
    <row r="352" spans="1:1" x14ac:dyDescent="0.25">
      <c r="A352" s="16" t="str">
        <f ca="1">TEXT(Overig!A352,"000\,")&amp;TEXT(Overig!B352,"?00000000")&amp;TEXT(Overig!C352,""", ""@")&amp;SUBSTITUTE(TEXT(IF(ISTEXT(Overig!D352),Overig!D352,10*Overig!D352),""",""????0;"",""???-0;"",""????0;"", ////"""),"'","""")&amp;SUBSTITUTE(TEXT(Overig!E352,""",""?00;"",""?-00;"",""?00;"", //"""),"'","""")</f>
        <v>073, 19450427, 16.00, ////, 07</v>
      </c>
    </row>
    <row r="353" spans="1:1" x14ac:dyDescent="0.25">
      <c r="A353" s="16" t="str">
        <f ca="1">TEXT(Overig!A353,"000\,")&amp;TEXT(Overig!B353,"?00000000")&amp;TEXT(Overig!C353,""", ""@")&amp;SUBSTITUTE(TEXT(IF(ISTEXT(Overig!D353),Overig!D353,10*Overig!D353),""",""????0;"",""???-0;"",""????0;"", ////"""),"'","""")&amp;SUBSTITUTE(TEXT(Overig!E353,""",""?00;"",""?-00;"",""?00;"", //"""),"'","""")</f>
        <v>073, 19450428, 08.00, ////, 07</v>
      </c>
    </row>
    <row r="354" spans="1:1" x14ac:dyDescent="0.25">
      <c r="A354" s="16" t="str">
        <f ca="1">TEXT(Overig!A354,"000\,")&amp;TEXT(Overig!B354,"?00000000")&amp;TEXT(Overig!C354,""", ""@")&amp;SUBSTITUTE(TEXT(IF(ISTEXT(Overig!D354),Overig!D354,10*Overig!D354),""",""????0;"",""???-0;"",""????0;"", ////"""),"'","""")&amp;SUBSTITUTE(TEXT(Overig!E354,""",""?00;"",""?-00;"",""?00;"", //"""),"'","""")</f>
        <v>073, 19450428, 12.00, ////, 07</v>
      </c>
    </row>
    <row r="355" spans="1:1" x14ac:dyDescent="0.25">
      <c r="A355" s="16" t="str">
        <f ca="1">TEXT(Overig!A355,"000\,")&amp;TEXT(Overig!B355,"?00000000")&amp;TEXT(Overig!C355,""", ""@")&amp;SUBSTITUTE(TEXT(IF(ISTEXT(Overig!D355),Overig!D355,10*Overig!D355),""",""????0;"",""???-0;"",""????0;"", ////"""),"'","""")&amp;SUBSTITUTE(TEXT(Overig!E355,""",""?00;"",""?-00;"",""?00;"", //"""),"'","""")</f>
        <v>073, 19450428, 16.00, ////, 07</v>
      </c>
    </row>
    <row r="356" spans="1:1" x14ac:dyDescent="0.25">
      <c r="A356" s="16" t="str">
        <f ca="1">TEXT(Overig!A356,"000\,")&amp;TEXT(Overig!B356,"?00000000")&amp;TEXT(Overig!C356,""", ""@")&amp;SUBSTITUTE(TEXT(IF(ISTEXT(Overig!D356),Overig!D356,10*Overig!D356),""",""????0;"",""???-0;"",""????0;"", ////"""),"'","""")&amp;SUBSTITUTE(TEXT(Overig!E356,""",""?00;"",""?-00;"",""?00;"", //"""),"'","""")</f>
        <v>073, 19450429, 08.00, ////, 07</v>
      </c>
    </row>
    <row r="357" spans="1:1" x14ac:dyDescent="0.25">
      <c r="A357" s="16" t="str">
        <f ca="1">TEXT(Overig!A357,"000\,")&amp;TEXT(Overig!B357,"?00000000")&amp;TEXT(Overig!C357,""", ""@")&amp;SUBSTITUTE(TEXT(IF(ISTEXT(Overig!D357),Overig!D357,10*Overig!D357),""",""????0;"",""???-0;"",""????0;"", ////"""),"'","""")&amp;SUBSTITUTE(TEXT(Overig!E357,""",""?00;"",""?-00;"",""?00;"", //"""),"'","""")</f>
        <v>073, 19450429, 12.00, ////, 07</v>
      </c>
    </row>
    <row r="358" spans="1:1" x14ac:dyDescent="0.25">
      <c r="A358" s="16" t="str">
        <f ca="1">TEXT(Overig!A358,"000\,")&amp;TEXT(Overig!B358,"?00000000")&amp;TEXT(Overig!C358,""", ""@")&amp;SUBSTITUTE(TEXT(IF(ISTEXT(Overig!D358),Overig!D358,10*Overig!D358),""",""????0;"",""???-0;"",""????0;"", ////"""),"'","""")&amp;SUBSTITUTE(TEXT(Overig!E358,""",""?00;"",""?-00;"",""?00;"", //"""),"'","""")</f>
        <v>073, 19450429, 16.00, ////, 07</v>
      </c>
    </row>
    <row r="359" spans="1:1" x14ac:dyDescent="0.25">
      <c r="A359" s="16" t="str">
        <f ca="1">TEXT(Overig!A359,"000\,")&amp;TEXT(Overig!B359,"?00000000")&amp;TEXT(Overig!C359,""", ""@")&amp;SUBSTITUTE(TEXT(IF(ISTEXT(Overig!D359),Overig!D359,10*Overig!D359),""",""????0;"",""???-0;"",""????0;"", ////"""),"'","""")&amp;SUBSTITUTE(TEXT(Overig!E359,""",""?00;"",""?-00;"",""?00;"", //"""),"'","""")</f>
        <v>073, 19450430, 08.00, ////, 07</v>
      </c>
    </row>
    <row r="360" spans="1:1" x14ac:dyDescent="0.25">
      <c r="A360" s="16" t="str">
        <f ca="1">TEXT(Overig!A360,"000\,")&amp;TEXT(Overig!B360,"?00000000")&amp;TEXT(Overig!C360,""", ""@")&amp;SUBSTITUTE(TEXT(IF(ISTEXT(Overig!D360),Overig!D360,10*Overig!D360),""",""????0;"",""???-0;"",""????0;"", ////"""),"'","""")&amp;SUBSTITUTE(TEXT(Overig!E360,""",""?00;"",""?-00;"",""?00;"", //"""),"'","""")</f>
        <v>073, 19450430, 12.00, ////, 07</v>
      </c>
    </row>
    <row r="361" spans="1:1" x14ac:dyDescent="0.25">
      <c r="A361" s="16" t="str">
        <f ca="1">TEXT(Overig!A361,"000\,")&amp;TEXT(Overig!B361,"?00000000")&amp;TEXT(Overig!C361,""", ""@")&amp;SUBSTITUTE(TEXT(IF(ISTEXT(Overig!D361),Overig!D361,10*Overig!D361),""",""????0;"",""???-0;"",""????0;"", ////"""),"'","""")&amp;SUBSTITUTE(TEXT(Overig!E361,""",""?00;"",""?-00;"",""?00;"", //"""),"'","""")</f>
        <v>073, 19450430, 16.00, ////, 07</v>
      </c>
    </row>
    <row r="362" spans="1:1" x14ac:dyDescent="0.25">
      <c r="A362" s="16" t="str">
        <f ca="1">TEXT(Overig!A362,"000\,")&amp;TEXT(Overig!B362,"?00000000")&amp;TEXT(Overig!C362,""", ""@")&amp;SUBSTITUTE(TEXT(IF(ISTEXT(Overig!D362),Overig!D362,10*Overig!D362),""",""????0;"",""???-0;"",""????0;"", ////"""),"'","""")&amp;SUBSTITUTE(TEXT(Overig!E362,""",""?00;"",""?-00;"",""?00;"", //"""),"'","""")</f>
        <v>073, 19450501, 08.00, ////, 07</v>
      </c>
    </row>
    <row r="363" spans="1:1" x14ac:dyDescent="0.25">
      <c r="A363" s="16" t="str">
        <f ca="1">TEXT(Overig!A363,"000\,")&amp;TEXT(Overig!B363,"?00000000")&amp;TEXT(Overig!C363,""", ""@")&amp;SUBSTITUTE(TEXT(IF(ISTEXT(Overig!D363),Overig!D363,10*Overig!D363),""",""????0;"",""???-0;"",""????0;"", ////"""),"'","""")&amp;SUBSTITUTE(TEXT(Overig!E363,""",""?00;"",""?-00;"",""?00;"", //"""),"'","""")</f>
        <v>073, 19450501, 12.00, ////, 07</v>
      </c>
    </row>
    <row r="364" spans="1:1" x14ac:dyDescent="0.25">
      <c r="A364" s="16" t="str">
        <f ca="1">TEXT(Overig!A364,"000\,")&amp;TEXT(Overig!B364,"?00000000")&amp;TEXT(Overig!C364,""", ""@")&amp;SUBSTITUTE(TEXT(IF(ISTEXT(Overig!D364),Overig!D364,10*Overig!D364),""",""????0;"",""???-0;"",""????0;"", ////"""),"'","""")&amp;SUBSTITUTE(TEXT(Overig!E364,""",""?00;"",""?-00;"",""?00;"", //"""),"'","""")</f>
        <v>073, 19450501, 16.00, ////, 07</v>
      </c>
    </row>
    <row r="365" spans="1:1" x14ac:dyDescent="0.25">
      <c r="A365" s="16" t="str">
        <f ca="1">TEXT(Overig!A365,"000\,")&amp;TEXT(Overig!B365,"?00000000")&amp;TEXT(Overig!C365,""", ""@")&amp;SUBSTITUTE(TEXT(IF(ISTEXT(Overig!D365),Overig!D365,10*Overig!D365),""",""????0;"",""???-0;"",""????0;"", ////"""),"'","""")&amp;SUBSTITUTE(TEXT(Overig!E365,""",""?00;"",""?-00;"",""?00;"", //"""),"'","""")</f>
        <v>073, 19450502, 08.00, ////, 07</v>
      </c>
    </row>
    <row r="366" spans="1:1" x14ac:dyDescent="0.25">
      <c r="A366" s="16" t="str">
        <f ca="1">TEXT(Overig!A366,"000\,")&amp;TEXT(Overig!B366,"?00000000")&amp;TEXT(Overig!C366,""", ""@")&amp;SUBSTITUTE(TEXT(IF(ISTEXT(Overig!D366),Overig!D366,10*Overig!D366),""",""????0;"",""???-0;"",""????0;"", ////"""),"'","""")&amp;SUBSTITUTE(TEXT(Overig!E366,""",""?00;"",""?-00;"",""?00;"", //"""),"'","""")</f>
        <v>073, 19450502, 12.00, ////, 07</v>
      </c>
    </row>
    <row r="367" spans="1:1" x14ac:dyDescent="0.25">
      <c r="A367" s="16" t="str">
        <f ca="1">TEXT(Overig!A367,"000\,")&amp;TEXT(Overig!B367,"?00000000")&amp;TEXT(Overig!C367,""", ""@")&amp;SUBSTITUTE(TEXT(IF(ISTEXT(Overig!D367),Overig!D367,10*Overig!D367),""",""????0;"",""???-0;"",""????0;"", ////"""),"'","""")&amp;SUBSTITUTE(TEXT(Overig!E367,""",""?00;"",""?-00;"",""?00;"", //"""),"'","""")</f>
        <v>073, 19450502, 16.00, ////, 07</v>
      </c>
    </row>
    <row r="368" spans="1:1" x14ac:dyDescent="0.25">
      <c r="A368" s="16" t="str">
        <f ca="1">TEXT(Overig!A368,"000\,")&amp;TEXT(Overig!B368,"?00000000")&amp;TEXT(Overig!C368,""", ""@")&amp;SUBSTITUTE(TEXT(IF(ISTEXT(Overig!D368),Overig!D368,10*Overig!D368),""",""????0;"",""???-0;"",""????0;"", ////"""),"'","""")&amp;SUBSTITUTE(TEXT(Overig!E368,""",""?00;"",""?-00;"",""?00;"", //"""),"'","""")</f>
        <v>073, 19450503, 08.00, ////, 07</v>
      </c>
    </row>
    <row r="369" spans="1:1" x14ac:dyDescent="0.25">
      <c r="A369" s="16" t="str">
        <f ca="1">TEXT(Overig!A369,"000\,")&amp;TEXT(Overig!B369,"?00000000")&amp;TEXT(Overig!C369,""", ""@")&amp;SUBSTITUTE(TEXT(IF(ISTEXT(Overig!D369),Overig!D369,10*Overig!D369),""",""????0;"",""???-0;"",""????0;"", ////"""),"'","""")&amp;SUBSTITUTE(TEXT(Overig!E369,""",""?00;"",""?-00;"",""?00;"", //"""),"'","""")</f>
        <v>073, 19450503, 12.00, ////, 07</v>
      </c>
    </row>
    <row r="370" spans="1:1" x14ac:dyDescent="0.25">
      <c r="A370" s="16" t="str">
        <f ca="1">TEXT(Overig!A370,"000\,")&amp;TEXT(Overig!B370,"?00000000")&amp;TEXT(Overig!C370,""", ""@")&amp;SUBSTITUTE(TEXT(IF(ISTEXT(Overig!D370),Overig!D370,10*Overig!D370),""",""????0;"",""???-0;"",""????0;"", ////"""),"'","""")&amp;SUBSTITUTE(TEXT(Overig!E370,""",""?00;"",""?-00;"",""?00;"", //"""),"'","""")</f>
        <v>073, 19450503, 16.00, ////, 07</v>
      </c>
    </row>
    <row r="371" spans="1:1" x14ac:dyDescent="0.25">
      <c r="A371" s="16" t="str">
        <f ca="1">TEXT(Overig!A371,"000\,")&amp;TEXT(Overig!B371,"?00000000")&amp;TEXT(Overig!C371,""", ""@")&amp;SUBSTITUTE(TEXT(IF(ISTEXT(Overig!D371),Overig!D371,10*Overig!D371),""",""????0;"",""???-0;"",""????0;"", ////"""),"'","""")&amp;SUBSTITUTE(TEXT(Overig!E371,""",""?00;"",""?-00;"",""?00;"", //"""),"'","""")</f>
        <v>073, 19450504, 08.00, ////, 07</v>
      </c>
    </row>
    <row r="372" spans="1:1" x14ac:dyDescent="0.25">
      <c r="A372" s="16" t="str">
        <f ca="1">TEXT(Overig!A372,"000\,")&amp;TEXT(Overig!B372,"?00000000")&amp;TEXT(Overig!C372,""", ""@")&amp;SUBSTITUTE(TEXT(IF(ISTEXT(Overig!D372),Overig!D372,10*Overig!D372),""",""????0;"",""???-0;"",""????0;"", ////"""),"'","""")&amp;SUBSTITUTE(TEXT(Overig!E372,""",""?00;"",""?-00;"",""?00;"", //"""),"'","""")</f>
        <v>073, 19450504, 12.00, ////, 07</v>
      </c>
    </row>
    <row r="373" spans="1:1" x14ac:dyDescent="0.25">
      <c r="A373" s="16" t="str">
        <f ca="1">TEXT(Overig!A373,"000\,")&amp;TEXT(Overig!B373,"?00000000")&amp;TEXT(Overig!C373,""", ""@")&amp;SUBSTITUTE(TEXT(IF(ISTEXT(Overig!D373),Overig!D373,10*Overig!D373),""",""????0;"",""???-0;"",""????0;"", ////"""),"'","""")&amp;SUBSTITUTE(TEXT(Overig!E373,""",""?00;"",""?-00;"",""?00;"", //"""),"'","""")</f>
        <v>073, 19450504, 16.00, ////, 07</v>
      </c>
    </row>
    <row r="374" spans="1:1" x14ac:dyDescent="0.25">
      <c r="A374" s="16" t="str">
        <f ca="1">TEXT(Overig!A374,"000\,")&amp;TEXT(Overig!B374,"?00000000")&amp;TEXT(Overig!C374,""", ""@")&amp;SUBSTITUTE(TEXT(IF(ISTEXT(Overig!D374),Overig!D374,10*Overig!D374),""",""????0;"",""???-0;"",""????0;"", ////"""),"'","""")&amp;SUBSTITUTE(TEXT(Overig!E374,""",""?00;"",""?-00;"",""?00;"", //"""),"'","""")</f>
        <v>073, 19450505, 08.00, ////, 07</v>
      </c>
    </row>
    <row r="375" spans="1:1" x14ac:dyDescent="0.25">
      <c r="A375" s="16" t="str">
        <f ca="1">TEXT(Overig!A375,"000\,")&amp;TEXT(Overig!B375,"?00000000")&amp;TEXT(Overig!C375,""", ""@")&amp;SUBSTITUTE(TEXT(IF(ISTEXT(Overig!D375),Overig!D375,10*Overig!D375),""",""????0;"",""???-0;"",""????0;"", ////"""),"'","""")&amp;SUBSTITUTE(TEXT(Overig!E375,""",""?00;"",""?-00;"",""?00;"", //"""),"'","""")</f>
        <v>073, 19450505, 12.00, ////, 07</v>
      </c>
    </row>
    <row r="376" spans="1:1" x14ac:dyDescent="0.25">
      <c r="A376" s="16" t="str">
        <f ca="1">TEXT(Overig!A376,"000\,")&amp;TEXT(Overig!B376,"?00000000")&amp;TEXT(Overig!C376,""", ""@")&amp;SUBSTITUTE(TEXT(IF(ISTEXT(Overig!D376),Overig!D376,10*Overig!D376),""",""????0;"",""???-0;"",""????0;"", ////"""),"'","""")&amp;SUBSTITUTE(TEXT(Overig!E376,""",""?00;"",""?-00;"",""?00;"", //"""),"'","""")</f>
        <v>073, 19450505, 16.00, ////, 07</v>
      </c>
    </row>
    <row r="377" spans="1:1" x14ac:dyDescent="0.25">
      <c r="A377" s="16" t="str">
        <f ca="1">TEXT(Overig!A377,"000\,")&amp;TEXT(Overig!B377,"?00000000")&amp;TEXT(Overig!C377,""", ""@")&amp;SUBSTITUTE(TEXT(IF(ISTEXT(Overig!D377),Overig!D377,10*Overig!D377),""",""????0;"",""???-0;"",""????0;"", ////"""),"'","""")&amp;SUBSTITUTE(TEXT(Overig!E377,""",""?00;"",""?-00;"",""?00;"", //"""),"'","""")</f>
        <v>073, 19450506, 08.00, ////, 07</v>
      </c>
    </row>
    <row r="378" spans="1:1" x14ac:dyDescent="0.25">
      <c r="A378" s="16" t="str">
        <f ca="1">TEXT(Overig!A378,"000\,")&amp;TEXT(Overig!B378,"?00000000")&amp;TEXT(Overig!C378,""", ""@")&amp;SUBSTITUTE(TEXT(IF(ISTEXT(Overig!D378),Overig!D378,10*Overig!D378),""",""????0;"",""???-0;"",""????0;"", ////"""),"'","""")&amp;SUBSTITUTE(TEXT(Overig!E378,""",""?00;"",""?-00;"",""?00;"", //"""),"'","""")</f>
        <v>073, 19450506, 12.00, ////, 07</v>
      </c>
    </row>
    <row r="379" spans="1:1" x14ac:dyDescent="0.25">
      <c r="A379" s="16" t="str">
        <f ca="1">TEXT(Overig!A379,"000\,")&amp;TEXT(Overig!B379,"?00000000")&amp;TEXT(Overig!C379,""", ""@")&amp;SUBSTITUTE(TEXT(IF(ISTEXT(Overig!D379),Overig!D379,10*Overig!D379),""",""????0;"",""???-0;"",""????0;"", ////"""),"'","""")&amp;SUBSTITUTE(TEXT(Overig!E379,""",""?00;"",""?-00;"",""?00;"", //"""),"'","""")</f>
        <v>073, 19450506, 16.00, ////, 07</v>
      </c>
    </row>
    <row r="380" spans="1:1" x14ac:dyDescent="0.25">
      <c r="A380" s="16" t="str">
        <f ca="1">TEXT(Overig!A380,"000\,")&amp;TEXT(Overig!B380,"?00000000")&amp;TEXT(Overig!C380,""", ""@")&amp;SUBSTITUTE(TEXT(IF(ISTEXT(Overig!D380),Overig!D380,10*Overig!D380),""",""????0;"",""???-0;"",""????0;"", ////"""),"'","""")&amp;SUBSTITUTE(TEXT(Overig!E380,""",""?00;"",""?-00;"",""?00;"", //"""),"'","""")</f>
        <v>073, 19450507, 08.00, ////, 07</v>
      </c>
    </row>
    <row r="381" spans="1:1" x14ac:dyDescent="0.25">
      <c r="A381" s="16" t="str">
        <f ca="1">TEXT(Overig!A381,"000\,")&amp;TEXT(Overig!B381,"?00000000")&amp;TEXT(Overig!C381,""", ""@")&amp;SUBSTITUTE(TEXT(IF(ISTEXT(Overig!D381),Overig!D381,10*Overig!D381),""",""????0;"",""???-0;"",""????0;"", ////"""),"'","""")&amp;SUBSTITUTE(TEXT(Overig!E381,""",""?00;"",""?-00;"",""?00;"", //"""),"'","""")</f>
        <v>073, 19450507, 12.00, ////, 07</v>
      </c>
    </row>
    <row r="382" spans="1:1" x14ac:dyDescent="0.25">
      <c r="A382" s="16" t="str">
        <f ca="1">TEXT(Overig!A382,"000\,")&amp;TEXT(Overig!B382,"?00000000")&amp;TEXT(Overig!C382,""", ""@")&amp;SUBSTITUTE(TEXT(IF(ISTEXT(Overig!D382),Overig!D382,10*Overig!D382),""",""????0;"",""???-0;"",""????0;"", ////"""),"'","""")&amp;SUBSTITUTE(TEXT(Overig!E382,""",""?00;"",""?-00;"",""?00;"", //"""),"'","""")</f>
        <v>073, 19450507, 16.00, ////, 07</v>
      </c>
    </row>
    <row r="383" spans="1:1" x14ac:dyDescent="0.25">
      <c r="A383" s="16" t="str">
        <f ca="1">TEXT(Overig!A383,"000\,")&amp;TEXT(Overig!B383,"?00000000")&amp;TEXT(Overig!C383,""", ""@")&amp;SUBSTITUTE(TEXT(IF(ISTEXT(Overig!D383),Overig!D383,10*Overig!D383),""",""????0;"",""???-0;"",""????0;"", ////"""),"'","""")&amp;SUBSTITUTE(TEXT(Overig!E383,""",""?00;"",""?-00;"",""?00;"", //"""),"'","""")</f>
        <v>073, 19450508, 08.00, ////, 07</v>
      </c>
    </row>
    <row r="384" spans="1:1" x14ac:dyDescent="0.25">
      <c r="A384" s="16" t="str">
        <f ca="1">TEXT(Overig!A384,"000\,")&amp;TEXT(Overig!B384,"?00000000")&amp;TEXT(Overig!C384,""", ""@")&amp;SUBSTITUTE(TEXT(IF(ISTEXT(Overig!D384),Overig!D384,10*Overig!D384),""",""????0;"",""???-0;"",""????0;"", ////"""),"'","""")&amp;SUBSTITUTE(TEXT(Overig!E384,""",""?00;"",""?-00;"",""?00;"", //"""),"'","""")</f>
        <v>073, 19450508, 12.00, ////, 07</v>
      </c>
    </row>
    <row r="385" spans="1:1" x14ac:dyDescent="0.25">
      <c r="A385" s="16" t="str">
        <f ca="1">TEXT(Overig!A385,"000\,")&amp;TEXT(Overig!B385,"?00000000")&amp;TEXT(Overig!C385,""", ""@")&amp;SUBSTITUTE(TEXT(IF(ISTEXT(Overig!D385),Overig!D385,10*Overig!D385),""",""????0;"",""???-0;"",""????0;"", ////"""),"'","""")&amp;SUBSTITUTE(TEXT(Overig!E385,""",""?00;"",""?-00;"",""?00;"", //"""),"'","""")</f>
        <v>073, 19450508, 16.00, ////, 07</v>
      </c>
    </row>
    <row r="386" spans="1:1" x14ac:dyDescent="0.25">
      <c r="A386" s="16" t="str">
        <f ca="1">TEXT(Overig!A386,"000\,")&amp;TEXT(Overig!B386,"?00000000")&amp;TEXT(Overig!C386,""", ""@")&amp;SUBSTITUTE(TEXT(IF(ISTEXT(Overig!D386),Overig!D386,10*Overig!D386),""",""????0;"",""???-0;"",""????0;"", ////"""),"'","""")&amp;SUBSTITUTE(TEXT(Overig!E386,""",""?00;"",""?-00;"",""?00;"", //"""),"'","""")</f>
        <v>073, 19450509, 08.00, ////, 07</v>
      </c>
    </row>
    <row r="387" spans="1:1" x14ac:dyDescent="0.25">
      <c r="A387" s="16" t="str">
        <f ca="1">TEXT(Overig!A387,"000\,")&amp;TEXT(Overig!B387,"?00000000")&amp;TEXT(Overig!C387,""", ""@")&amp;SUBSTITUTE(TEXT(IF(ISTEXT(Overig!D387),Overig!D387,10*Overig!D387),""",""????0;"",""???-0;"",""????0;"", ////"""),"'","""")&amp;SUBSTITUTE(TEXT(Overig!E387,""",""?00;"",""?-00;"",""?00;"", //"""),"'","""")</f>
        <v>073, 19450509, 12.00, ////, 07</v>
      </c>
    </row>
    <row r="388" spans="1:1" x14ac:dyDescent="0.25">
      <c r="A388" s="16" t="str">
        <f ca="1">TEXT(Overig!A388,"000\,")&amp;TEXT(Overig!B388,"?00000000")&amp;TEXT(Overig!C388,""", ""@")&amp;SUBSTITUTE(TEXT(IF(ISTEXT(Overig!D388),Overig!D388,10*Overig!D388),""",""????0;"",""???-0;"",""????0;"", ////"""),"'","""")&amp;SUBSTITUTE(TEXT(Overig!E388,""",""?00;"",""?-00;"",""?00;"", //"""),"'","""")</f>
        <v>073, 19450509, 16.00, ////, 07</v>
      </c>
    </row>
    <row r="389" spans="1:1" x14ac:dyDescent="0.25">
      <c r="A389" s="16" t="str">
        <f ca="1">TEXT(Overig!A389,"000\,")&amp;TEXT(Overig!B389,"?00000000")&amp;TEXT(Overig!C389,""", ""@")&amp;SUBSTITUTE(TEXT(IF(ISTEXT(Overig!D389),Overig!D389,10*Overig!D389),""",""????0;"",""???-0;"",""????0;"", ////"""),"'","""")&amp;SUBSTITUTE(TEXT(Overig!E389,""",""?00;"",""?-00;"",""?00;"", //"""),"'","""")</f>
        <v>073, 19450510, 08.00, ////, 07</v>
      </c>
    </row>
    <row r="390" spans="1:1" x14ac:dyDescent="0.25">
      <c r="A390" s="16" t="str">
        <f ca="1">TEXT(Overig!A390,"000\,")&amp;TEXT(Overig!B390,"?00000000")&amp;TEXT(Overig!C390,""", ""@")&amp;SUBSTITUTE(TEXT(IF(ISTEXT(Overig!D390),Overig!D390,10*Overig!D390),""",""????0;"",""???-0;"",""????0;"", ////"""),"'","""")&amp;SUBSTITUTE(TEXT(Overig!E390,""",""?00;"",""?-00;"",""?00;"", //"""),"'","""")</f>
        <v>073, 19450510, 12.00, ////, 07</v>
      </c>
    </row>
    <row r="391" spans="1:1" x14ac:dyDescent="0.25">
      <c r="A391" s="16" t="str">
        <f ca="1">TEXT(Overig!A391,"000\,")&amp;TEXT(Overig!B391,"?00000000")&amp;TEXT(Overig!C391,""", ""@")&amp;SUBSTITUTE(TEXT(IF(ISTEXT(Overig!D391),Overig!D391,10*Overig!D391),""",""????0;"",""???-0;"",""????0;"", ////"""),"'","""")&amp;SUBSTITUTE(TEXT(Overig!E391,""",""?00;"",""?-00;"",""?00;"", //"""),"'","""")</f>
        <v>073, 19450510, 16.00, ////, 07</v>
      </c>
    </row>
    <row r="392" spans="1:1" x14ac:dyDescent="0.25">
      <c r="A392" s="16" t="str">
        <f ca="1">TEXT(Overig!A392,"000\,")&amp;TEXT(Overig!B392,"?00000000")&amp;TEXT(Overig!C392,""", ""@")&amp;SUBSTITUTE(TEXT(IF(ISTEXT(Overig!D392),Overig!D392,10*Overig!D392),""",""????0;"",""???-0;"",""????0;"", ////"""),"'","""")&amp;SUBSTITUTE(TEXT(Overig!E392,""",""?00;"",""?-00;"",""?00;"", //"""),"'","""")</f>
        <v>073, 19450511, 08.00, ////, 07</v>
      </c>
    </row>
    <row r="393" spans="1:1" x14ac:dyDescent="0.25">
      <c r="A393" s="16" t="str">
        <f ca="1">TEXT(Overig!A393,"000\,")&amp;TEXT(Overig!B393,"?00000000")&amp;TEXT(Overig!C393,""", ""@")&amp;SUBSTITUTE(TEXT(IF(ISTEXT(Overig!D393),Overig!D393,10*Overig!D393),""",""????0;"",""???-0;"",""????0;"", ////"""),"'","""")&amp;SUBSTITUTE(TEXT(Overig!E393,""",""?00;"",""?-00;"",""?00;"", //"""),"'","""")</f>
        <v>073, 19450511, 12.00, ////, 07</v>
      </c>
    </row>
    <row r="394" spans="1:1" x14ac:dyDescent="0.25">
      <c r="A394" s="16" t="str">
        <f ca="1">TEXT(Overig!A394,"000\,")&amp;TEXT(Overig!B394,"?00000000")&amp;TEXT(Overig!C394,""", ""@")&amp;SUBSTITUTE(TEXT(IF(ISTEXT(Overig!D394),Overig!D394,10*Overig!D394),""",""????0;"",""???-0;"",""????0;"", ////"""),"'","""")&amp;SUBSTITUTE(TEXT(Overig!E394,""",""?00;"",""?-00;"",""?00;"", //"""),"'","""")</f>
        <v>073, 19450511, 16.00, ////, 07</v>
      </c>
    </row>
    <row r="395" spans="1:1" x14ac:dyDescent="0.25">
      <c r="A395" s="16" t="str">
        <f ca="1">TEXT(Overig!A395,"000\,")&amp;TEXT(Overig!B395,"?00000000")&amp;TEXT(Overig!C395,""", ""@")&amp;SUBSTITUTE(TEXT(IF(ISTEXT(Overig!D395),Overig!D395,10*Overig!D395),""",""????0;"",""???-0;"",""????0;"", ////"""),"'","""")&amp;SUBSTITUTE(TEXT(Overig!E395,""",""?00;"",""?-00;"",""?00;"", //"""),"'","""")</f>
        <v>073, 19450512, 08.00, ////, 07</v>
      </c>
    </row>
    <row r="396" spans="1:1" x14ac:dyDescent="0.25">
      <c r="A396" s="16" t="str">
        <f ca="1">TEXT(Overig!A396,"000\,")&amp;TEXT(Overig!B396,"?00000000")&amp;TEXT(Overig!C396,""", ""@")&amp;SUBSTITUTE(TEXT(IF(ISTEXT(Overig!D396),Overig!D396,10*Overig!D396),""",""????0;"",""???-0;"",""????0;"", ////"""),"'","""")&amp;SUBSTITUTE(TEXT(Overig!E396,""",""?00;"",""?-00;"",""?00;"", //"""),"'","""")</f>
        <v>073, 19450512, 12.00, ////, 07</v>
      </c>
    </row>
    <row r="397" spans="1:1" x14ac:dyDescent="0.25">
      <c r="A397" s="16" t="str">
        <f ca="1">TEXT(Overig!A397,"000\,")&amp;TEXT(Overig!B397,"?00000000")&amp;TEXT(Overig!C397,""", ""@")&amp;SUBSTITUTE(TEXT(IF(ISTEXT(Overig!D397),Overig!D397,10*Overig!D397),""",""????0;"",""???-0;"",""????0;"", ////"""),"'","""")&amp;SUBSTITUTE(TEXT(Overig!E397,""",""?00;"",""?-00;"",""?00;"", //"""),"'","""")</f>
        <v>073, 19450512, 16.00, ////, 07</v>
      </c>
    </row>
    <row r="398" spans="1:1" x14ac:dyDescent="0.25">
      <c r="A398" s="16" t="str">
        <f ca="1">TEXT(Overig!A398,"000\,")&amp;TEXT(Overig!B398,"?00000000")&amp;TEXT(Overig!C398,""", ""@")&amp;SUBSTITUTE(TEXT(IF(ISTEXT(Overig!D398),Overig!D398,10*Overig!D398),""",""????0;"",""???-0;"",""????0;"", ////"""),"'","""")&amp;SUBSTITUTE(TEXT(Overig!E398,""",""?00;"",""?-00;"",""?00;"", //"""),"'","""")</f>
        <v>073, 19450513, 08.00, ////, 07</v>
      </c>
    </row>
    <row r="399" spans="1:1" x14ac:dyDescent="0.25">
      <c r="A399" s="16" t="str">
        <f ca="1">TEXT(Overig!A399,"000\,")&amp;TEXT(Overig!B399,"?00000000")&amp;TEXT(Overig!C399,""", ""@")&amp;SUBSTITUTE(TEXT(IF(ISTEXT(Overig!D399),Overig!D399,10*Overig!D399),""",""????0;"",""???-0;"",""????0;"", ////"""),"'","""")&amp;SUBSTITUTE(TEXT(Overig!E399,""",""?00;"",""?-00;"",""?00;"", //"""),"'","""")</f>
        <v>073, 19450513, 12.00, ////, 07</v>
      </c>
    </row>
    <row r="400" spans="1:1" x14ac:dyDescent="0.25">
      <c r="A400" s="16" t="str">
        <f ca="1">TEXT(Overig!A400,"000\,")&amp;TEXT(Overig!B400,"?00000000")&amp;TEXT(Overig!C400,""", ""@")&amp;SUBSTITUTE(TEXT(IF(ISTEXT(Overig!D400),Overig!D400,10*Overig!D400),""",""????0;"",""???-0;"",""????0;"", ////"""),"'","""")&amp;SUBSTITUTE(TEXT(Overig!E400,""",""?00;"",""?-00;"",""?00;"", //"""),"'","""")</f>
        <v>073, 19450513, 16.00, ////, 07</v>
      </c>
    </row>
    <row r="401" spans="1:1" x14ac:dyDescent="0.25">
      <c r="A401" s="16" t="str">
        <f ca="1">TEXT(Overig!A401,"000\,")&amp;TEXT(Overig!B401,"?00000000")&amp;TEXT(Overig!C401,""", ""@")&amp;SUBSTITUTE(TEXT(IF(ISTEXT(Overig!D401),Overig!D401,10*Overig!D401),""",""????0;"",""???-0;"",""????0;"", ////"""),"'","""")&amp;SUBSTITUTE(TEXT(Overig!E401,""",""?00;"",""?-00;"",""?00;"", //"""),"'","""")</f>
        <v>073, 19450514, 08.00, ////, 07</v>
      </c>
    </row>
    <row r="402" spans="1:1" x14ac:dyDescent="0.25">
      <c r="A402" s="16" t="str">
        <f ca="1">TEXT(Overig!A402,"000\,")&amp;TEXT(Overig!B402,"?00000000")&amp;TEXT(Overig!C402,""", ""@")&amp;SUBSTITUTE(TEXT(IF(ISTEXT(Overig!D402),Overig!D402,10*Overig!D402),""",""????0;"",""???-0;"",""????0;"", ////"""),"'","""")&amp;SUBSTITUTE(TEXT(Overig!E402,""",""?00;"",""?-00;"",""?00;"", //"""),"'","""")</f>
        <v>073, 19450514, 12.00, ////, 07</v>
      </c>
    </row>
    <row r="403" spans="1:1" x14ac:dyDescent="0.25">
      <c r="A403" s="16" t="str">
        <f ca="1">TEXT(Overig!A403,"000\,")&amp;TEXT(Overig!B403,"?00000000")&amp;TEXT(Overig!C403,""", ""@")&amp;SUBSTITUTE(TEXT(IF(ISTEXT(Overig!D403),Overig!D403,10*Overig!D403),""",""????0;"",""???-0;"",""????0;"", ////"""),"'","""")&amp;SUBSTITUTE(TEXT(Overig!E403,""",""?00;"",""?-00;"",""?00;"", //"""),"'","""")</f>
        <v>073, 19450514, 16.00, ////, 07</v>
      </c>
    </row>
    <row r="404" spans="1:1" x14ac:dyDescent="0.25">
      <c r="A404" s="16" t="str">
        <f ca="1">TEXT(Overig!A404,"000\,")&amp;TEXT(Overig!B404,"?00000000")&amp;TEXT(Overig!C404,""", ""@")&amp;SUBSTITUTE(TEXT(IF(ISTEXT(Overig!D404),Overig!D404,10*Overig!D404),""",""????0;"",""???-0;"",""????0;"", ////"""),"'","""")&amp;SUBSTITUTE(TEXT(Overig!E404,""",""?00;"",""?-00;"",""?00;"", //"""),"'","""")</f>
        <v>073, 19450515, 08.00, ////, 07</v>
      </c>
    </row>
    <row r="405" spans="1:1" x14ac:dyDescent="0.25">
      <c r="A405" s="16" t="str">
        <f ca="1">TEXT(Overig!A405,"000\,")&amp;TEXT(Overig!B405,"?00000000")&amp;TEXT(Overig!C405,""", ""@")&amp;SUBSTITUTE(TEXT(IF(ISTEXT(Overig!D405),Overig!D405,10*Overig!D405),""",""????0;"",""???-0;"",""????0;"", ////"""),"'","""")&amp;SUBSTITUTE(TEXT(Overig!E405,""",""?00;"",""?-00;"",""?00;"", //"""),"'","""")</f>
        <v>073, 19450515, 12.00, ////, 07</v>
      </c>
    </row>
    <row r="406" spans="1:1" x14ac:dyDescent="0.25">
      <c r="A406" s="16" t="str">
        <f ca="1">TEXT(Overig!A406,"000\,")&amp;TEXT(Overig!B406,"?00000000")&amp;TEXT(Overig!C406,""", ""@")&amp;SUBSTITUTE(TEXT(IF(ISTEXT(Overig!D406),Overig!D406,10*Overig!D406),""",""????0;"",""???-0;"",""????0;"", ////"""),"'","""")&amp;SUBSTITUTE(TEXT(Overig!E406,""",""?00;"",""?-00;"",""?00;"", //"""),"'","""")</f>
        <v>073, 19450515, 16.00, ////, 07</v>
      </c>
    </row>
    <row r="407" spans="1:1" x14ac:dyDescent="0.25">
      <c r="A407" s="16" t="str">
        <f ca="1">TEXT(Overig!A407,"000\,")&amp;TEXT(Overig!B407,"?00000000")&amp;TEXT(Overig!C407,""", ""@")&amp;SUBSTITUTE(TEXT(IF(ISTEXT(Overig!D407),Overig!D407,10*Overig!D407),""",""????0;"",""???-0;"",""????0;"", ////"""),"'","""")&amp;SUBSTITUTE(TEXT(Overig!E407,""",""?00;"",""?-00;"",""?00;"", //"""),"'","""")</f>
        <v>073, 19450516, 08.00, ////, 07</v>
      </c>
    </row>
    <row r="408" spans="1:1" x14ac:dyDescent="0.25">
      <c r="A408" s="16" t="str">
        <f ca="1">TEXT(Overig!A408,"000\,")&amp;TEXT(Overig!B408,"?00000000")&amp;TEXT(Overig!C408,""", ""@")&amp;SUBSTITUTE(TEXT(IF(ISTEXT(Overig!D408),Overig!D408,10*Overig!D408),""",""????0;"",""???-0;"",""????0;"", ////"""),"'","""")&amp;SUBSTITUTE(TEXT(Overig!E408,""",""?00;"",""?-00;"",""?00;"", //"""),"'","""")</f>
        <v>073, 19450516, 12.00, ////, 07</v>
      </c>
    </row>
    <row r="409" spans="1:1" x14ac:dyDescent="0.25">
      <c r="A409" s="16" t="str">
        <f ca="1">TEXT(Overig!A409,"000\,")&amp;TEXT(Overig!B409,"?00000000")&amp;TEXT(Overig!C409,""", ""@")&amp;SUBSTITUTE(TEXT(IF(ISTEXT(Overig!D409),Overig!D409,10*Overig!D409),""",""????0;"",""???-0;"",""????0;"", ////"""),"'","""")&amp;SUBSTITUTE(TEXT(Overig!E409,""",""?00;"",""?-00;"",""?00;"", //"""),"'","""")</f>
        <v>073, 19450516, 16.00, ////, 07</v>
      </c>
    </row>
    <row r="410" spans="1:1" x14ac:dyDescent="0.25">
      <c r="A410" s="16" t="str">
        <f ca="1">TEXT(Overig!A410,"000\,")&amp;TEXT(Overig!B410,"?00000000")&amp;TEXT(Overig!C410,""", ""@")&amp;SUBSTITUTE(TEXT(IF(ISTEXT(Overig!D410),Overig!D410,10*Overig!D410),""",""????0;"",""???-0;"",""????0;"", ////"""),"'","""")&amp;SUBSTITUTE(TEXT(Overig!E410,""",""?00;"",""?-00;"",""?00;"", //"""),"'","""")</f>
        <v>073, 19450517, 08.00, ////, 07</v>
      </c>
    </row>
    <row r="411" spans="1:1" x14ac:dyDescent="0.25">
      <c r="A411" s="16" t="str">
        <f ca="1">TEXT(Overig!A411,"000\,")&amp;TEXT(Overig!B411,"?00000000")&amp;TEXT(Overig!C411,""", ""@")&amp;SUBSTITUTE(TEXT(IF(ISTEXT(Overig!D411),Overig!D411,10*Overig!D411),""",""????0;"",""???-0;"",""????0;"", ////"""),"'","""")&amp;SUBSTITUTE(TEXT(Overig!E411,""",""?00;"",""?-00;"",""?00;"", //"""),"'","""")</f>
        <v>073, 19450517, 12.00, ////, 07</v>
      </c>
    </row>
    <row r="412" spans="1:1" x14ac:dyDescent="0.25">
      <c r="A412" s="16" t="str">
        <f ca="1">TEXT(Overig!A412,"000\,")&amp;TEXT(Overig!B412,"?00000000")&amp;TEXT(Overig!C412,""", ""@")&amp;SUBSTITUTE(TEXT(IF(ISTEXT(Overig!D412),Overig!D412,10*Overig!D412),""",""????0;"",""???-0;"",""????0;"", ////"""),"'","""")&amp;SUBSTITUTE(TEXT(Overig!E412,""",""?00;"",""?-00;"",""?00;"", //"""),"'","""")</f>
        <v>073, 19450517, 16.00, ////, 07</v>
      </c>
    </row>
    <row r="413" spans="1:1" x14ac:dyDescent="0.25">
      <c r="A413" s="16" t="str">
        <f ca="1">TEXT(Overig!A413,"000\,")&amp;TEXT(Overig!B413,"?00000000")&amp;TEXT(Overig!C413,""", ""@")&amp;SUBSTITUTE(TEXT(IF(ISTEXT(Overig!D413),Overig!D413,10*Overig!D413),""",""????0;"",""???-0;"",""????0;"", ////"""),"'","""")&amp;SUBSTITUTE(TEXT(Overig!E413,""",""?00;"",""?-00;"",""?00;"", //"""),"'","""")</f>
        <v>073, 19450518, 08.00, ////, 07</v>
      </c>
    </row>
    <row r="414" spans="1:1" x14ac:dyDescent="0.25">
      <c r="A414" s="16" t="str">
        <f ca="1">TEXT(Overig!A414,"000\,")&amp;TEXT(Overig!B414,"?00000000")&amp;TEXT(Overig!C414,""", ""@")&amp;SUBSTITUTE(TEXT(IF(ISTEXT(Overig!D414),Overig!D414,10*Overig!D414),""",""????0;"",""???-0;"",""????0;"", ////"""),"'","""")&amp;SUBSTITUTE(TEXT(Overig!E414,""",""?00;"",""?-00;"",""?00;"", //"""),"'","""")</f>
        <v>073, 19450518, 12.00, ////, 07</v>
      </c>
    </row>
    <row r="415" spans="1:1" x14ac:dyDescent="0.25">
      <c r="A415" s="16" t="str">
        <f ca="1">TEXT(Overig!A415,"000\,")&amp;TEXT(Overig!B415,"?00000000")&amp;TEXT(Overig!C415,""", ""@")&amp;SUBSTITUTE(TEXT(IF(ISTEXT(Overig!D415),Overig!D415,10*Overig!D415),""",""????0;"",""???-0;"",""????0;"", ////"""),"'","""")&amp;SUBSTITUTE(TEXT(Overig!E415,""",""?00;"",""?-00;"",""?00;"", //"""),"'","""")</f>
        <v>073, 19450518, 16.00, ////, 07</v>
      </c>
    </row>
    <row r="416" spans="1:1" x14ac:dyDescent="0.25">
      <c r="A416" s="16" t="str">
        <f ca="1">TEXT(Overig!A416,"000\,")&amp;TEXT(Overig!B416,"?00000000")&amp;TEXT(Overig!C416,""", ""@")&amp;SUBSTITUTE(TEXT(IF(ISTEXT(Overig!D416),Overig!D416,10*Overig!D416),""",""????0;"",""???-0;"",""????0;"", ////"""),"'","""")&amp;SUBSTITUTE(TEXT(Overig!E416,""",""?00;"",""?-00;"",""?00;"", //"""),"'","""")</f>
        <v>073, 19450519, 08.00, ////, 07</v>
      </c>
    </row>
    <row r="417" spans="1:1" x14ac:dyDescent="0.25">
      <c r="A417" s="16" t="str">
        <f ca="1">TEXT(Overig!A417,"000\,")&amp;TEXT(Overig!B417,"?00000000")&amp;TEXT(Overig!C417,""", ""@")&amp;SUBSTITUTE(TEXT(IF(ISTEXT(Overig!D417),Overig!D417,10*Overig!D417),""",""????0;"",""???-0;"",""????0;"", ////"""),"'","""")&amp;SUBSTITUTE(TEXT(Overig!E417,""",""?00;"",""?-00;"",""?00;"", //"""),"'","""")</f>
        <v>073, 19450519, 12.00, ////, 07</v>
      </c>
    </row>
    <row r="418" spans="1:1" x14ac:dyDescent="0.25">
      <c r="A418" s="16" t="str">
        <f ca="1">TEXT(Overig!A418,"000\,")&amp;TEXT(Overig!B418,"?00000000")&amp;TEXT(Overig!C418,""", ""@")&amp;SUBSTITUTE(TEXT(IF(ISTEXT(Overig!D418),Overig!D418,10*Overig!D418),""",""????0;"",""???-0;"",""????0;"", ////"""),"'","""")&amp;SUBSTITUTE(TEXT(Overig!E418,""",""?00;"",""?-00;"",""?00;"", //"""),"'","""")</f>
        <v>073, 19450519, 16.00, ////, 07</v>
      </c>
    </row>
    <row r="419" spans="1:1" x14ac:dyDescent="0.25">
      <c r="A419" s="16" t="str">
        <f ca="1">TEXT(Overig!A419,"000\,")&amp;TEXT(Overig!B419,"?00000000")&amp;TEXT(Overig!C419,""", ""@")&amp;SUBSTITUTE(TEXT(IF(ISTEXT(Overig!D419),Overig!D419,10*Overig!D419),""",""????0;"",""???-0;"",""????0;"", ////"""),"'","""")&amp;SUBSTITUTE(TEXT(Overig!E419,""",""?00;"",""?-00;"",""?00;"", //"""),"'","""")</f>
        <v>073, 19450520, 08.00, ////, 07</v>
      </c>
    </row>
    <row r="420" spans="1:1" x14ac:dyDescent="0.25">
      <c r="A420" s="16" t="str">
        <f ca="1">TEXT(Overig!A420,"000\,")&amp;TEXT(Overig!B420,"?00000000")&amp;TEXT(Overig!C420,""", ""@")&amp;SUBSTITUTE(TEXT(IF(ISTEXT(Overig!D420),Overig!D420,10*Overig!D420),""",""????0;"",""???-0;"",""????0;"", ////"""),"'","""")&amp;SUBSTITUTE(TEXT(Overig!E420,""",""?00;"",""?-00;"",""?00;"", //"""),"'","""")</f>
        <v>073, 19450520, 12.00, ////, 07</v>
      </c>
    </row>
    <row r="421" spans="1:1" x14ac:dyDescent="0.25">
      <c r="A421" s="16" t="str">
        <f ca="1">TEXT(Overig!A421,"000\,")&amp;TEXT(Overig!B421,"?00000000")&amp;TEXT(Overig!C421,""", ""@")&amp;SUBSTITUTE(TEXT(IF(ISTEXT(Overig!D421),Overig!D421,10*Overig!D421),""",""????0;"",""???-0;"",""????0;"", ////"""),"'","""")&amp;SUBSTITUTE(TEXT(Overig!E421,""",""?00;"",""?-00;"",""?00;"", //"""),"'","""")</f>
        <v>073, 19450520, 16.00, ////, 07</v>
      </c>
    </row>
    <row r="422" spans="1:1" x14ac:dyDescent="0.25">
      <c r="A422" s="16" t="str">
        <f ca="1">TEXT(Overig!A422,"000\,")&amp;TEXT(Overig!B422,"?00000000")&amp;TEXT(Overig!C422,""", ""@")&amp;SUBSTITUTE(TEXT(IF(ISTEXT(Overig!D422),Overig!D422,10*Overig!D422),""",""????0;"",""???-0;"",""????0;"", ////"""),"'","""")&amp;SUBSTITUTE(TEXT(Overig!E422,""",""?00;"",""?-00;"",""?00;"", //"""),"'","""")</f>
        <v>073, 19450521, 08.00, ////, 07</v>
      </c>
    </row>
    <row r="423" spans="1:1" x14ac:dyDescent="0.25">
      <c r="A423" s="16" t="str">
        <f ca="1">TEXT(Overig!A423,"000\,")&amp;TEXT(Overig!B423,"?00000000")&amp;TEXT(Overig!C423,""", ""@")&amp;SUBSTITUTE(TEXT(IF(ISTEXT(Overig!D423),Overig!D423,10*Overig!D423),""",""????0;"",""???-0;"",""????0;"", ////"""),"'","""")&amp;SUBSTITUTE(TEXT(Overig!E423,""",""?00;"",""?-00;"",""?00;"", //"""),"'","""")</f>
        <v>073, 19450521, 12.00, ////, 07</v>
      </c>
    </row>
    <row r="424" spans="1:1" x14ac:dyDescent="0.25">
      <c r="A424" s="16" t="str">
        <f ca="1">TEXT(Overig!A424,"000\,")&amp;TEXT(Overig!B424,"?00000000")&amp;TEXT(Overig!C424,""", ""@")&amp;SUBSTITUTE(TEXT(IF(ISTEXT(Overig!D424),Overig!D424,10*Overig!D424),""",""????0;"",""???-0;"",""????0;"", ////"""),"'","""")&amp;SUBSTITUTE(TEXT(Overig!E424,""",""?00;"",""?-00;"",""?00;"", //"""),"'","""")</f>
        <v>073, 19450521, 16.00, ////, 07</v>
      </c>
    </row>
    <row r="425" spans="1:1" x14ac:dyDescent="0.25">
      <c r="A425" s="16" t="str">
        <f ca="1">TEXT(Overig!A425,"000\,")&amp;TEXT(Overig!B425,"?00000000")&amp;TEXT(Overig!C425,""", ""@")&amp;SUBSTITUTE(TEXT(IF(ISTEXT(Overig!D425),Overig!D425,10*Overig!D425),""",""????0;"",""???-0;"",""????0;"", ////"""),"'","""")&amp;SUBSTITUTE(TEXT(Overig!E425,""",""?00;"",""?-00;"",""?00;"", //"""),"'","""")</f>
        <v>073, 19450522, 08.00, ////, 07</v>
      </c>
    </row>
    <row r="426" spans="1:1" x14ac:dyDescent="0.25">
      <c r="A426" s="16" t="str">
        <f ca="1">TEXT(Overig!A426,"000\,")&amp;TEXT(Overig!B426,"?00000000")&amp;TEXT(Overig!C426,""", ""@")&amp;SUBSTITUTE(TEXT(IF(ISTEXT(Overig!D426),Overig!D426,10*Overig!D426),""",""????0;"",""???-0;"",""????0;"", ////"""),"'","""")&amp;SUBSTITUTE(TEXT(Overig!E426,""",""?00;"",""?-00;"",""?00;"", //"""),"'","""")</f>
        <v>073, 19450522, 12.00, ////, 07</v>
      </c>
    </row>
    <row r="427" spans="1:1" x14ac:dyDescent="0.25">
      <c r="A427" s="16" t="str">
        <f ca="1">TEXT(Overig!A427,"000\,")&amp;TEXT(Overig!B427,"?00000000")&amp;TEXT(Overig!C427,""", ""@")&amp;SUBSTITUTE(TEXT(IF(ISTEXT(Overig!D427),Overig!D427,10*Overig!D427),""",""????0;"",""???-0;"",""????0;"", ////"""),"'","""")&amp;SUBSTITUTE(TEXT(Overig!E427,""",""?00;"",""?-00;"",""?00;"", //"""),"'","""")</f>
        <v>073, 19450522, 16.00, ////, 07</v>
      </c>
    </row>
    <row r="428" spans="1:1" x14ac:dyDescent="0.25">
      <c r="A428" s="16" t="str">
        <f ca="1">TEXT(Overig!A428,"000\,")&amp;TEXT(Overig!B428,"?00000000")&amp;TEXT(Overig!C428,""", ""@")&amp;SUBSTITUTE(TEXT(IF(ISTEXT(Overig!D428),Overig!D428,10*Overig!D428),""",""????0;"",""???-0;"",""????0;"", ////"""),"'","""")&amp;SUBSTITUTE(TEXT(Overig!E428,""",""?00;"",""?-00;"",""?00;"", //"""),"'","""")</f>
        <v>073, 19450523, 08.00, ////, 07</v>
      </c>
    </row>
    <row r="429" spans="1:1" x14ac:dyDescent="0.25">
      <c r="A429" s="16" t="str">
        <f ca="1">TEXT(Overig!A429,"000\,")&amp;TEXT(Overig!B429,"?00000000")&amp;TEXT(Overig!C429,""", ""@")&amp;SUBSTITUTE(TEXT(IF(ISTEXT(Overig!D429),Overig!D429,10*Overig!D429),""",""????0;"",""???-0;"",""????0;"", ////"""),"'","""")&amp;SUBSTITUTE(TEXT(Overig!E429,""",""?00;"",""?-00;"",""?00;"", //"""),"'","""")</f>
        <v>073, 19450523, 12.00, ////, 07</v>
      </c>
    </row>
    <row r="430" spans="1:1" x14ac:dyDescent="0.25">
      <c r="A430" s="16" t="str">
        <f ca="1">TEXT(Overig!A430,"000\,")&amp;TEXT(Overig!B430,"?00000000")&amp;TEXT(Overig!C430,""", ""@")&amp;SUBSTITUTE(TEXT(IF(ISTEXT(Overig!D430),Overig!D430,10*Overig!D430),""",""????0;"",""???-0;"",""????0;"", ////"""),"'","""")&amp;SUBSTITUTE(TEXT(Overig!E430,""",""?00;"",""?-00;"",""?00;"", //"""),"'","""")</f>
        <v>073, 19450523, 16.00, ////, 07</v>
      </c>
    </row>
    <row r="431" spans="1:1" x14ac:dyDescent="0.25">
      <c r="A431" s="16" t="str">
        <f ca="1">TEXT(Overig!A431,"000\,")&amp;TEXT(Overig!B431,"?00000000")&amp;TEXT(Overig!C431,""", ""@")&amp;SUBSTITUTE(TEXT(IF(ISTEXT(Overig!D431),Overig!D431,10*Overig!D431),""",""????0;"",""???-0;"",""????0;"", ////"""),"'","""")&amp;SUBSTITUTE(TEXT(Overig!E431,""",""?00;"",""?-00;"",""?00;"", //"""),"'","""")</f>
        <v>073, 19450524, 08.00, ////, 07</v>
      </c>
    </row>
    <row r="432" spans="1:1" x14ac:dyDescent="0.25">
      <c r="A432" s="16" t="str">
        <f ca="1">TEXT(Overig!A432,"000\,")&amp;TEXT(Overig!B432,"?00000000")&amp;TEXT(Overig!C432,""", ""@")&amp;SUBSTITUTE(TEXT(IF(ISTEXT(Overig!D432),Overig!D432,10*Overig!D432),""",""????0;"",""???-0;"",""????0;"", ////"""),"'","""")&amp;SUBSTITUTE(TEXT(Overig!E432,""",""?00;"",""?-00;"",""?00;"", //"""),"'","""")</f>
        <v>073, 19450524, 12.00, ////, 07</v>
      </c>
    </row>
    <row r="433" spans="1:1" x14ac:dyDescent="0.25">
      <c r="A433" s="16" t="str">
        <f ca="1">TEXT(Overig!A433,"000\,")&amp;TEXT(Overig!B433,"?00000000")&amp;TEXT(Overig!C433,""", ""@")&amp;SUBSTITUTE(TEXT(IF(ISTEXT(Overig!D433),Overig!D433,10*Overig!D433),""",""????0;"",""???-0;"",""????0;"", ////"""),"'","""")&amp;SUBSTITUTE(TEXT(Overig!E433,""",""?00;"",""?-00;"",""?00;"", //"""),"'","""")</f>
        <v>073, 19450524, 16.00, ////, 07</v>
      </c>
    </row>
    <row r="434" spans="1:1" x14ac:dyDescent="0.25">
      <c r="A434" s="16" t="str">
        <f ca="1">TEXT(Overig!A434,"000\,")&amp;TEXT(Overig!B434,"?00000000")&amp;TEXT(Overig!C434,""", ""@")&amp;SUBSTITUTE(TEXT(IF(ISTEXT(Overig!D434),Overig!D434,10*Overig!D434),""",""????0;"",""???-0;"",""????0;"", ////"""),"'","""")&amp;SUBSTITUTE(TEXT(Overig!E434,""",""?00;"",""?-00;"",""?00;"", //"""),"'","""")</f>
        <v>073, 19450525, 08.00, ////, 07</v>
      </c>
    </row>
    <row r="435" spans="1:1" x14ac:dyDescent="0.25">
      <c r="A435" s="16" t="str">
        <f ca="1">TEXT(Overig!A435,"000\,")&amp;TEXT(Overig!B435,"?00000000")&amp;TEXT(Overig!C435,""", ""@")&amp;SUBSTITUTE(TEXT(IF(ISTEXT(Overig!D435),Overig!D435,10*Overig!D435),""",""????0;"",""???-0;"",""????0;"", ////"""),"'","""")&amp;SUBSTITUTE(TEXT(Overig!E435,""",""?00;"",""?-00;"",""?00;"", //"""),"'","""")</f>
        <v>073, 19450525, 12.00, ////, 07</v>
      </c>
    </row>
    <row r="436" spans="1:1" x14ac:dyDescent="0.25">
      <c r="A436" s="16" t="str">
        <f ca="1">TEXT(Overig!A436,"000\,")&amp;TEXT(Overig!B436,"?00000000")&amp;TEXT(Overig!C436,""", ""@")&amp;SUBSTITUTE(TEXT(IF(ISTEXT(Overig!D436),Overig!D436,10*Overig!D436),""",""????0;"",""???-0;"",""????0;"", ////"""),"'","""")&amp;SUBSTITUTE(TEXT(Overig!E436,""",""?00;"",""?-00;"",""?00;"", //"""),"'","""")</f>
        <v>073, 19450525, 16.00, ////, 07</v>
      </c>
    </row>
    <row r="437" spans="1:1" x14ac:dyDescent="0.25">
      <c r="A437" s="16" t="str">
        <f ca="1">TEXT(Overig!A437,"000\,")&amp;TEXT(Overig!B437,"?00000000")&amp;TEXT(Overig!C437,""", ""@")&amp;SUBSTITUTE(TEXT(IF(ISTEXT(Overig!D437),Overig!D437,10*Overig!D437),""",""????0;"",""???-0;"",""????0;"", ////"""),"'","""")&amp;SUBSTITUTE(TEXT(Overig!E437,""",""?00;"",""?-00;"",""?00;"", //"""),"'","""")</f>
        <v>073, 19450526, 08.00, ////, 07</v>
      </c>
    </row>
    <row r="438" spans="1:1" x14ac:dyDescent="0.25">
      <c r="A438" s="16" t="str">
        <f ca="1">TEXT(Overig!A438,"000\,")&amp;TEXT(Overig!B438,"?00000000")&amp;TEXT(Overig!C438,""", ""@")&amp;SUBSTITUTE(TEXT(IF(ISTEXT(Overig!D438),Overig!D438,10*Overig!D438),""",""????0;"",""???-0;"",""????0;"", ////"""),"'","""")&amp;SUBSTITUTE(TEXT(Overig!E438,""",""?00;"",""?-00;"",""?00;"", //"""),"'","""")</f>
        <v>073, 19450526, 12.00, ////, 07</v>
      </c>
    </row>
    <row r="439" spans="1:1" x14ac:dyDescent="0.25">
      <c r="A439" s="16" t="str">
        <f ca="1">TEXT(Overig!A439,"000\,")&amp;TEXT(Overig!B439,"?00000000")&amp;TEXT(Overig!C439,""", ""@")&amp;SUBSTITUTE(TEXT(IF(ISTEXT(Overig!D439),Overig!D439,10*Overig!D439),""",""????0;"",""???-0;"",""????0;"", ////"""),"'","""")&amp;SUBSTITUTE(TEXT(Overig!E439,""",""?00;"",""?-00;"",""?00;"", //"""),"'","""")</f>
        <v>073, 19450526, 16.00, ////, 07</v>
      </c>
    </row>
    <row r="440" spans="1:1" x14ac:dyDescent="0.25">
      <c r="A440" s="16" t="str">
        <f ca="1">TEXT(Overig!A440,"000\,")&amp;TEXT(Overig!B440,"?00000000")&amp;TEXT(Overig!C440,""", ""@")&amp;SUBSTITUTE(TEXT(IF(ISTEXT(Overig!D440),Overig!D440,10*Overig!D440),""",""????0;"",""???-0;"",""????0;"", ////"""),"'","""")&amp;SUBSTITUTE(TEXT(Overig!E440,""",""?00;"",""?-00;"",""?00;"", //"""),"'","""")</f>
        <v>073, 19450527, 08.00, ////, 07</v>
      </c>
    </row>
    <row r="441" spans="1:1" x14ac:dyDescent="0.25">
      <c r="A441" s="16" t="str">
        <f ca="1">TEXT(Overig!A441,"000\,")&amp;TEXT(Overig!B441,"?00000000")&amp;TEXT(Overig!C441,""", ""@")&amp;SUBSTITUTE(TEXT(IF(ISTEXT(Overig!D441),Overig!D441,10*Overig!D441),""",""????0;"",""???-0;"",""????0;"", ////"""),"'","""")&amp;SUBSTITUTE(TEXT(Overig!E441,""",""?00;"",""?-00;"",""?00;"", //"""),"'","""")</f>
        <v>073, 19450527, 12.00, ////, 07</v>
      </c>
    </row>
    <row r="442" spans="1:1" x14ac:dyDescent="0.25">
      <c r="A442" s="16" t="str">
        <f ca="1">TEXT(Overig!A442,"000\,")&amp;TEXT(Overig!B442,"?00000000")&amp;TEXT(Overig!C442,""", ""@")&amp;SUBSTITUTE(TEXT(IF(ISTEXT(Overig!D442),Overig!D442,10*Overig!D442),""",""????0;"",""???-0;"",""????0;"", ////"""),"'","""")&amp;SUBSTITUTE(TEXT(Overig!E442,""",""?00;"",""?-00;"",""?00;"", //"""),"'","""")</f>
        <v>073, 19450527, 16.00, ////, 07</v>
      </c>
    </row>
    <row r="443" spans="1:1" x14ac:dyDescent="0.25">
      <c r="A443" s="16" t="str">
        <f ca="1">TEXT(Overig!A443,"000\,")&amp;TEXT(Overig!B443,"?00000000")&amp;TEXT(Overig!C443,""", ""@")&amp;SUBSTITUTE(TEXT(IF(ISTEXT(Overig!D443),Overig!D443,10*Overig!D443),""",""????0;"",""???-0;"",""????0;"", ////"""),"'","""")&amp;SUBSTITUTE(TEXT(Overig!E443,""",""?00;"",""?-00;"",""?00;"", //"""),"'","""")</f>
        <v>073, 19450528, 08.00, ////, 07</v>
      </c>
    </row>
    <row r="444" spans="1:1" x14ac:dyDescent="0.25">
      <c r="A444" s="16" t="str">
        <f ca="1">TEXT(Overig!A444,"000\,")&amp;TEXT(Overig!B444,"?00000000")&amp;TEXT(Overig!C444,""", ""@")&amp;SUBSTITUTE(TEXT(IF(ISTEXT(Overig!D444),Overig!D444,10*Overig!D444),""",""????0;"",""???-0;"",""????0;"", ////"""),"'","""")&amp;SUBSTITUTE(TEXT(Overig!E444,""",""?00;"",""?-00;"",""?00;"", //"""),"'","""")</f>
        <v>073, 19450528, 12.00, ////, 07</v>
      </c>
    </row>
    <row r="445" spans="1:1" x14ac:dyDescent="0.25">
      <c r="A445" s="16" t="str">
        <f ca="1">TEXT(Overig!A445,"000\,")&amp;TEXT(Overig!B445,"?00000000")&amp;TEXT(Overig!C445,""", ""@")&amp;SUBSTITUTE(TEXT(IF(ISTEXT(Overig!D445),Overig!D445,10*Overig!D445),""",""????0;"",""???-0;"",""????0;"", ////"""),"'","""")&amp;SUBSTITUTE(TEXT(Overig!E445,""",""?00;"",""?-00;"",""?00;"", //"""),"'","""")</f>
        <v>073, 19450528, 16.00, ////, 07</v>
      </c>
    </row>
    <row r="446" spans="1:1" x14ac:dyDescent="0.25">
      <c r="A446" s="16" t="str">
        <f ca="1">TEXT(Overig!A446,"000\,")&amp;TEXT(Overig!B446,"?00000000")&amp;TEXT(Overig!C446,""", ""@")&amp;SUBSTITUTE(TEXT(IF(ISTEXT(Overig!D446),Overig!D446,10*Overig!D446),""",""????0;"",""???-0;"",""????0;"", ////"""),"'","""")&amp;SUBSTITUTE(TEXT(Overig!E446,""",""?00;"",""?-00;"",""?00;"", //"""),"'","""")</f>
        <v>073, 19450529, 08.00, ////, 07</v>
      </c>
    </row>
    <row r="447" spans="1:1" x14ac:dyDescent="0.25">
      <c r="A447" s="16" t="str">
        <f ca="1">TEXT(Overig!A447,"000\,")&amp;TEXT(Overig!B447,"?00000000")&amp;TEXT(Overig!C447,""", ""@")&amp;SUBSTITUTE(TEXT(IF(ISTEXT(Overig!D447),Overig!D447,10*Overig!D447),""",""????0;"",""???-0;"",""????0;"", ////"""),"'","""")&amp;SUBSTITUTE(TEXT(Overig!E447,""",""?00;"",""?-00;"",""?00;"", //"""),"'","""")</f>
        <v>073, 19450529, 12.00, ////, 07</v>
      </c>
    </row>
    <row r="448" spans="1:1" x14ac:dyDescent="0.25">
      <c r="A448" s="16" t="str">
        <f ca="1">TEXT(Overig!A448,"000\,")&amp;TEXT(Overig!B448,"?00000000")&amp;TEXT(Overig!C448,""", ""@")&amp;SUBSTITUTE(TEXT(IF(ISTEXT(Overig!D448),Overig!D448,10*Overig!D448),""",""????0;"",""???-0;"",""????0;"", ////"""),"'","""")&amp;SUBSTITUTE(TEXT(Overig!E448,""",""?00;"",""?-00;"",""?00;"", //"""),"'","""")</f>
        <v>073, 19450529, 16.00, ////, 07</v>
      </c>
    </row>
    <row r="449" spans="1:1" x14ac:dyDescent="0.25">
      <c r="A449" s="16" t="str">
        <f ca="1">TEXT(Overig!A449,"000\,")&amp;TEXT(Overig!B449,"?00000000")&amp;TEXT(Overig!C449,""", ""@")&amp;SUBSTITUTE(TEXT(IF(ISTEXT(Overig!D449),Overig!D449,10*Overig!D449),""",""????0;"",""???-0;"",""????0;"", ////"""),"'","""")&amp;SUBSTITUTE(TEXT(Overig!E449,""",""?00;"",""?-00;"",""?00;"", //"""),"'","""")</f>
        <v>073, 19450530, 08.00, ////, 07</v>
      </c>
    </row>
    <row r="450" spans="1:1" x14ac:dyDescent="0.25">
      <c r="A450" s="16" t="str">
        <f ca="1">TEXT(Overig!A450,"000\,")&amp;TEXT(Overig!B450,"?00000000")&amp;TEXT(Overig!C450,""", ""@")&amp;SUBSTITUTE(TEXT(IF(ISTEXT(Overig!D450),Overig!D450,10*Overig!D450),""",""????0;"",""???-0;"",""????0;"", ////"""),"'","""")&amp;SUBSTITUTE(TEXT(Overig!E450,""",""?00;"",""?-00;"",""?00;"", //"""),"'","""")</f>
        <v>073, 19450530, 12.00, ////, 07</v>
      </c>
    </row>
    <row r="451" spans="1:1" x14ac:dyDescent="0.25">
      <c r="A451" s="16" t="str">
        <f ca="1">TEXT(Overig!A451,"000\,")&amp;TEXT(Overig!B451,"?00000000")&amp;TEXT(Overig!C451,""", ""@")&amp;SUBSTITUTE(TEXT(IF(ISTEXT(Overig!D451),Overig!D451,10*Overig!D451),""",""????0;"",""???-0;"",""????0;"", ////"""),"'","""")&amp;SUBSTITUTE(TEXT(Overig!E451,""",""?00;"",""?-00;"",""?00;"", //"""),"'","""")</f>
        <v>073, 19450530, 16.00, ////, 07</v>
      </c>
    </row>
    <row r="452" spans="1:1" x14ac:dyDescent="0.25">
      <c r="A452" s="16" t="str">
        <f ca="1">TEXT(Overig!A452,"000\,")&amp;TEXT(Overig!B452,"?00000000")&amp;TEXT(Overig!C452,""", ""@")&amp;SUBSTITUTE(TEXT(IF(ISTEXT(Overig!D452),Overig!D452,10*Overig!D452),""",""????0;"",""???-0;"",""????0;"", ////"""),"'","""")&amp;SUBSTITUTE(TEXT(Overig!E452,""",""?00;"",""?-00;"",""?00;"", //"""),"'","""")</f>
        <v>073, 19450531, 08.00, ////, 07</v>
      </c>
    </row>
    <row r="453" spans="1:1" x14ac:dyDescent="0.25">
      <c r="A453" s="16" t="str">
        <f ca="1">TEXT(Overig!A453,"000\,")&amp;TEXT(Overig!B453,"?00000000")&amp;TEXT(Overig!C453,""", ""@")&amp;SUBSTITUTE(TEXT(IF(ISTEXT(Overig!D453),Overig!D453,10*Overig!D453),""",""????0;"",""???-0;"",""????0;"", ////"""),"'","""")&amp;SUBSTITUTE(TEXT(Overig!E453,""",""?00;"",""?-00;"",""?00;"", //"""),"'","""")</f>
        <v>073, 19450531, 12.00, ////, 07</v>
      </c>
    </row>
    <row r="454" spans="1:1" x14ac:dyDescent="0.25">
      <c r="A454" s="16" t="str">
        <f ca="1">TEXT(Overig!A454,"000\,")&amp;TEXT(Overig!B454,"?00000000")&amp;TEXT(Overig!C454,""", ""@")&amp;SUBSTITUTE(TEXT(IF(ISTEXT(Overig!D454),Overig!D454,10*Overig!D454),""",""????0;"",""???-0;"",""????0;"", ////"""),"'","""")&amp;SUBSTITUTE(TEXT(Overig!E454,""",""?00;"",""?-00;"",""?00;"", //"""),"'","""")</f>
        <v>073, 19450531, 16.00, ////, 07</v>
      </c>
    </row>
    <row r="455" spans="1:1" x14ac:dyDescent="0.25">
      <c r="A455" s="16" t="str">
        <f ca="1">TEXT(Overig!A455,"000\,")&amp;TEXT(Overig!B455,"?00000000")&amp;TEXT(Overig!C455,""", ""@")&amp;SUBSTITUTE(TEXT(IF(ISTEXT(Overig!D455),Overig!D455,10*Overig!D455),""",""????0;"",""???-0;"",""????0;"", ////"""),"'","""")&amp;SUBSTITUTE(TEXT(Overig!E455,""",""?00;"",""?-00;"",""?00;"", //"""),"'","""")</f>
        <v>073, 19450601, 08.00, ////, 07</v>
      </c>
    </row>
    <row r="456" spans="1:1" x14ac:dyDescent="0.25">
      <c r="A456" s="16" t="str">
        <f ca="1">TEXT(Overig!A456,"000\,")&amp;TEXT(Overig!B456,"?00000000")&amp;TEXT(Overig!C456,""", ""@")&amp;SUBSTITUTE(TEXT(IF(ISTEXT(Overig!D456),Overig!D456,10*Overig!D456),""",""????0;"",""???-0;"",""????0;"", ////"""),"'","""")&amp;SUBSTITUTE(TEXT(Overig!E456,""",""?00;"",""?-00;"",""?00;"", //"""),"'","""")</f>
        <v>073, 19450601, 12.00, ////, 07</v>
      </c>
    </row>
    <row r="457" spans="1:1" x14ac:dyDescent="0.25">
      <c r="A457" s="16" t="str">
        <f ca="1">TEXT(Overig!A457,"000\,")&amp;TEXT(Overig!B457,"?00000000")&amp;TEXT(Overig!C457,""", ""@")&amp;SUBSTITUTE(TEXT(IF(ISTEXT(Overig!D457),Overig!D457,10*Overig!D457),""",""????0;"",""???-0;"",""????0;"", ////"""),"'","""")&amp;SUBSTITUTE(TEXT(Overig!E457,""",""?00;"",""?-00;"",""?00;"", //"""),"'","""")</f>
        <v>073, 19450601, 16.00, ////, 07</v>
      </c>
    </row>
    <row r="458" spans="1:1" x14ac:dyDescent="0.25">
      <c r="A458" s="16" t="str">
        <f ca="1">TEXT(Overig!A458,"000\,")&amp;TEXT(Overig!B458,"?00000000")&amp;TEXT(Overig!C458,""", ""@")&amp;SUBSTITUTE(TEXT(IF(ISTEXT(Overig!D458),Overig!D458,10*Overig!D458),""",""????0;"",""???-0;"",""????0;"", ////"""),"'","""")&amp;SUBSTITUTE(TEXT(Overig!E458,""",""?00;"",""?-00;"",""?00;"", //"""),"'","""")</f>
        <v>073, 19450602, 08.00, ////, 07</v>
      </c>
    </row>
    <row r="459" spans="1:1" x14ac:dyDescent="0.25">
      <c r="A459" s="16" t="str">
        <f ca="1">TEXT(Overig!A459,"000\,")&amp;TEXT(Overig!B459,"?00000000")&amp;TEXT(Overig!C459,""", ""@")&amp;SUBSTITUTE(TEXT(IF(ISTEXT(Overig!D459),Overig!D459,10*Overig!D459),""",""????0;"",""???-0;"",""????0;"", ////"""),"'","""")&amp;SUBSTITUTE(TEXT(Overig!E459,""",""?00;"",""?-00;"",""?00;"", //"""),"'","""")</f>
        <v>073, 19450602, 12.00, ////, 07</v>
      </c>
    </row>
    <row r="460" spans="1:1" x14ac:dyDescent="0.25">
      <c r="A460" s="16" t="str">
        <f ca="1">TEXT(Overig!A460,"000\,")&amp;TEXT(Overig!B460,"?00000000")&amp;TEXT(Overig!C460,""", ""@")&amp;SUBSTITUTE(TEXT(IF(ISTEXT(Overig!D460),Overig!D460,10*Overig!D460),""",""????0;"",""???-0;"",""????0;"", ////"""),"'","""")&amp;SUBSTITUTE(TEXT(Overig!E460,""",""?00;"",""?-00;"",""?00;"", //"""),"'","""")</f>
        <v>073, 19450602, 16.00, ////, 07</v>
      </c>
    </row>
    <row r="461" spans="1:1" x14ac:dyDescent="0.25">
      <c r="A461" s="16" t="str">
        <f ca="1">TEXT(Overig!A461,"000\,")&amp;TEXT(Overig!B461,"?00000000")&amp;TEXT(Overig!C461,""", ""@")&amp;SUBSTITUTE(TEXT(IF(ISTEXT(Overig!D461),Overig!D461,10*Overig!D461),""",""????0;"",""???-0;"",""????0;"", ////"""),"'","""")&amp;SUBSTITUTE(TEXT(Overig!E461,""",""?00;"",""?-00;"",""?00;"", //"""),"'","""")</f>
        <v>073, 19450603, 08.00, ////, 07</v>
      </c>
    </row>
    <row r="462" spans="1:1" x14ac:dyDescent="0.25">
      <c r="A462" s="16" t="str">
        <f ca="1">TEXT(Overig!A462,"000\,")&amp;TEXT(Overig!B462,"?00000000")&amp;TEXT(Overig!C462,""", ""@")&amp;SUBSTITUTE(TEXT(IF(ISTEXT(Overig!D462),Overig!D462,10*Overig!D462),""",""????0;"",""???-0;"",""????0;"", ////"""),"'","""")&amp;SUBSTITUTE(TEXT(Overig!E462,""",""?00;"",""?-00;"",""?00;"", //"""),"'","""")</f>
        <v>073, 19450603, 12.00, ////, 07</v>
      </c>
    </row>
    <row r="463" spans="1:1" x14ac:dyDescent="0.25">
      <c r="A463" s="16" t="str">
        <f ca="1">TEXT(Overig!A463,"000\,")&amp;TEXT(Overig!B463,"?00000000")&amp;TEXT(Overig!C463,""", ""@")&amp;SUBSTITUTE(TEXT(IF(ISTEXT(Overig!D463),Overig!D463,10*Overig!D463),""",""????0;"",""???-0;"",""????0;"", ////"""),"'","""")&amp;SUBSTITUTE(TEXT(Overig!E463,""",""?00;"",""?-00;"",""?00;"", //"""),"'","""")</f>
        <v>073, 19450603, 16.00, ////, 07</v>
      </c>
    </row>
    <row r="464" spans="1:1" x14ac:dyDescent="0.25">
      <c r="A464" s="16" t="str">
        <f ca="1">TEXT(Overig!A464,"000\,")&amp;TEXT(Overig!B464,"?00000000")&amp;TEXT(Overig!C464,""", ""@")&amp;SUBSTITUTE(TEXT(IF(ISTEXT(Overig!D464),Overig!D464,10*Overig!D464),""",""????0;"",""???-0;"",""????0;"", ////"""),"'","""")&amp;SUBSTITUTE(TEXT(Overig!E464,""",""?00;"",""?-00;"",""?00;"", //"""),"'","""")</f>
        <v>073, 19450604, 08.00, ////, 07</v>
      </c>
    </row>
    <row r="465" spans="1:1" x14ac:dyDescent="0.25">
      <c r="A465" s="16" t="str">
        <f ca="1">TEXT(Overig!A465,"000\,")&amp;TEXT(Overig!B465,"?00000000")&amp;TEXT(Overig!C465,""", ""@")&amp;SUBSTITUTE(TEXT(IF(ISTEXT(Overig!D465),Overig!D465,10*Overig!D465),""",""????0;"",""???-0;"",""????0;"", ////"""),"'","""")&amp;SUBSTITUTE(TEXT(Overig!E465,""",""?00;"",""?-00;"",""?00;"", //"""),"'","""")</f>
        <v>073, 19450604, 12.00, ////, 07</v>
      </c>
    </row>
    <row r="466" spans="1:1" x14ac:dyDescent="0.25">
      <c r="A466" s="16" t="str">
        <f ca="1">TEXT(Overig!A466,"000\,")&amp;TEXT(Overig!B466,"?00000000")&amp;TEXT(Overig!C466,""", ""@")&amp;SUBSTITUTE(TEXT(IF(ISTEXT(Overig!D466),Overig!D466,10*Overig!D466),""",""????0;"",""???-0;"",""????0;"", ////"""),"'","""")&amp;SUBSTITUTE(TEXT(Overig!E466,""",""?00;"",""?-00;"",""?00;"", //"""),"'","""")</f>
        <v>073, 19450604, 16.00, ////, 07</v>
      </c>
    </row>
    <row r="467" spans="1:1" x14ac:dyDescent="0.25">
      <c r="A467" s="16" t="str">
        <f ca="1">TEXT(Overig!A467,"000\,")&amp;TEXT(Overig!B467,"?00000000")&amp;TEXT(Overig!C467,""", ""@")&amp;SUBSTITUTE(TEXT(IF(ISTEXT(Overig!D467),Overig!D467,10*Overig!D467),""",""????0;"",""???-0;"",""????0;"", ////"""),"'","""")&amp;SUBSTITUTE(TEXT(Overig!E467,""",""?00;"",""?-00;"",""?00;"", //"""),"'","""")</f>
        <v>073, 19450605, 08.00, ////, 07</v>
      </c>
    </row>
    <row r="468" spans="1:1" x14ac:dyDescent="0.25">
      <c r="A468" s="16" t="str">
        <f ca="1">TEXT(Overig!A468,"000\,")&amp;TEXT(Overig!B468,"?00000000")&amp;TEXT(Overig!C468,""", ""@")&amp;SUBSTITUTE(TEXT(IF(ISTEXT(Overig!D468),Overig!D468,10*Overig!D468),""",""????0;"",""???-0;"",""????0;"", ////"""),"'","""")&amp;SUBSTITUTE(TEXT(Overig!E468,""",""?00;"",""?-00;"",""?00;"", //"""),"'","""")</f>
        <v>073, 19450605, 12.00, ////, 07</v>
      </c>
    </row>
    <row r="469" spans="1:1" x14ac:dyDescent="0.25">
      <c r="A469" s="16" t="str">
        <f ca="1">TEXT(Overig!A469,"000\,")&amp;TEXT(Overig!B469,"?00000000")&amp;TEXT(Overig!C469,""", ""@")&amp;SUBSTITUTE(TEXT(IF(ISTEXT(Overig!D469),Overig!D469,10*Overig!D469),""",""????0;"",""???-0;"",""????0;"", ////"""),"'","""")&amp;SUBSTITUTE(TEXT(Overig!E469,""",""?00;"",""?-00;"",""?00;"", //"""),"'","""")</f>
        <v>073, 19450605, 16.00, ////, 07</v>
      </c>
    </row>
    <row r="470" spans="1:1" x14ac:dyDescent="0.25">
      <c r="A470" s="16" t="str">
        <f ca="1">TEXT(Overig!A470,"000\,")&amp;TEXT(Overig!B470,"?00000000")&amp;TEXT(Overig!C470,""", ""@")&amp;SUBSTITUTE(TEXT(IF(ISTEXT(Overig!D470),Overig!D470,10*Overig!D470),""",""????0;"",""???-0;"",""????0;"", ////"""),"'","""")&amp;SUBSTITUTE(TEXT(Overig!E470,""",""?00;"",""?-00;"",""?00;"", //"""),"'","""")</f>
        <v>073, 19450606, 08.00, ////, 07</v>
      </c>
    </row>
    <row r="471" spans="1:1" x14ac:dyDescent="0.25">
      <c r="A471" s="16" t="str">
        <f ca="1">TEXT(Overig!A471,"000\,")&amp;TEXT(Overig!B471,"?00000000")&amp;TEXT(Overig!C471,""", ""@")&amp;SUBSTITUTE(TEXT(IF(ISTEXT(Overig!D471),Overig!D471,10*Overig!D471),""",""????0;"",""???-0;"",""????0;"", ////"""),"'","""")&amp;SUBSTITUTE(TEXT(Overig!E471,""",""?00;"",""?-00;"",""?00;"", //"""),"'","""")</f>
        <v>073, 19450606, 12.00, ////, 07</v>
      </c>
    </row>
    <row r="472" spans="1:1" x14ac:dyDescent="0.25">
      <c r="A472" s="16" t="str">
        <f ca="1">TEXT(Overig!A472,"000\,")&amp;TEXT(Overig!B472,"?00000000")&amp;TEXT(Overig!C472,""", ""@")&amp;SUBSTITUTE(TEXT(IF(ISTEXT(Overig!D472),Overig!D472,10*Overig!D472),""",""????0;"",""???-0;"",""????0;"", ////"""),"'","""")&amp;SUBSTITUTE(TEXT(Overig!E472,""",""?00;"",""?-00;"",""?00;"", //"""),"'","""")</f>
        <v>073, 19450606, 16.00, ////, 07</v>
      </c>
    </row>
    <row r="473" spans="1:1" x14ac:dyDescent="0.25">
      <c r="A473" s="16" t="str">
        <f ca="1">TEXT(Overig!A473,"000\,")&amp;TEXT(Overig!B473,"?00000000")&amp;TEXT(Overig!C473,""", ""@")&amp;SUBSTITUTE(TEXT(IF(ISTEXT(Overig!D473),Overig!D473,10*Overig!D473),""",""????0;"",""???-0;"",""????0;"", ////"""),"'","""")&amp;SUBSTITUTE(TEXT(Overig!E473,""",""?00;"",""?-00;"",""?00;"", //"""),"'","""")</f>
        <v>073, 19450607, 08.00, ////, 07</v>
      </c>
    </row>
    <row r="474" spans="1:1" x14ac:dyDescent="0.25">
      <c r="A474" s="16" t="str">
        <f ca="1">TEXT(Overig!A474,"000\,")&amp;TEXT(Overig!B474,"?00000000")&amp;TEXT(Overig!C474,""", ""@")&amp;SUBSTITUTE(TEXT(IF(ISTEXT(Overig!D474),Overig!D474,10*Overig!D474),""",""????0;"",""???-0;"",""????0;"", ////"""),"'","""")&amp;SUBSTITUTE(TEXT(Overig!E474,""",""?00;"",""?-00;"",""?00;"", //"""),"'","""")</f>
        <v>073, 19450607, 12.00, ////, 07</v>
      </c>
    </row>
    <row r="475" spans="1:1" x14ac:dyDescent="0.25">
      <c r="A475" s="16" t="str">
        <f ca="1">TEXT(Overig!A475,"000\,")&amp;TEXT(Overig!B475,"?00000000")&amp;TEXT(Overig!C475,""", ""@")&amp;SUBSTITUTE(TEXT(IF(ISTEXT(Overig!D475),Overig!D475,10*Overig!D475),""",""????0;"",""???-0;"",""????0;"", ////"""),"'","""")&amp;SUBSTITUTE(TEXT(Overig!E475,""",""?00;"",""?-00;"",""?00;"", //"""),"'","""")</f>
        <v>073, 19450607, 16.00, ////, 07</v>
      </c>
    </row>
    <row r="476" spans="1:1" x14ac:dyDescent="0.25">
      <c r="A476" s="16" t="str">
        <f ca="1">TEXT(Overig!A476,"000\,")&amp;TEXT(Overig!B476,"?00000000")&amp;TEXT(Overig!C476,""", ""@")&amp;SUBSTITUTE(TEXT(IF(ISTEXT(Overig!D476),Overig!D476,10*Overig!D476),""",""????0;"",""???-0;"",""????0;"", ////"""),"'","""")&amp;SUBSTITUTE(TEXT(Overig!E476,""",""?00;"",""?-00;"",""?00;"", //"""),"'","""")</f>
        <v>073, 19450608, 08.00, ////, 07</v>
      </c>
    </row>
    <row r="477" spans="1:1" x14ac:dyDescent="0.25">
      <c r="A477" s="16" t="str">
        <f ca="1">TEXT(Overig!A477,"000\,")&amp;TEXT(Overig!B477,"?00000000")&amp;TEXT(Overig!C477,""", ""@")&amp;SUBSTITUTE(TEXT(IF(ISTEXT(Overig!D477),Overig!D477,10*Overig!D477),""",""????0;"",""???-0;"",""????0;"", ////"""),"'","""")&amp;SUBSTITUTE(TEXT(Overig!E477,""",""?00;"",""?-00;"",""?00;"", //"""),"'","""")</f>
        <v>073, 19450608, 12.00, ////, 07</v>
      </c>
    </row>
    <row r="478" spans="1:1" x14ac:dyDescent="0.25">
      <c r="A478" s="16" t="str">
        <f ca="1">TEXT(Overig!A478,"000\,")&amp;TEXT(Overig!B478,"?00000000")&amp;TEXT(Overig!C478,""", ""@")&amp;SUBSTITUTE(TEXT(IF(ISTEXT(Overig!D478),Overig!D478,10*Overig!D478),""",""????0;"",""???-0;"",""????0;"", ////"""),"'","""")&amp;SUBSTITUTE(TEXT(Overig!E478,""",""?00;"",""?-00;"",""?00;"", //"""),"'","""")</f>
        <v>073, 19450608, 16.00, ////, 07</v>
      </c>
    </row>
    <row r="479" spans="1:1" x14ac:dyDescent="0.25">
      <c r="A479" s="16" t="str">
        <f ca="1">TEXT(Overig!A479,"000\,")&amp;TEXT(Overig!B479,"?00000000")&amp;TEXT(Overig!C479,""", ""@")&amp;SUBSTITUTE(TEXT(IF(ISTEXT(Overig!D479),Overig!D479,10*Overig!D479),""",""????0;"",""???-0;"",""????0;"", ////"""),"'","""")&amp;SUBSTITUTE(TEXT(Overig!E479,""",""?00;"",""?-00;"",""?00;"", //"""),"'","""")</f>
        <v>073, 19450609, 08.00, ////, 07</v>
      </c>
    </row>
    <row r="480" spans="1:1" x14ac:dyDescent="0.25">
      <c r="A480" s="16" t="str">
        <f ca="1">TEXT(Overig!A480,"000\,")&amp;TEXT(Overig!B480,"?00000000")&amp;TEXT(Overig!C480,""", ""@")&amp;SUBSTITUTE(TEXT(IF(ISTEXT(Overig!D480),Overig!D480,10*Overig!D480),""",""????0;"",""???-0;"",""????0;"", ////"""),"'","""")&amp;SUBSTITUTE(TEXT(Overig!E480,""",""?00;"",""?-00;"",""?00;"", //"""),"'","""")</f>
        <v>073, 19450609, 12.00, ////, 07</v>
      </c>
    </row>
    <row r="481" spans="1:1" x14ac:dyDescent="0.25">
      <c r="A481" s="16" t="str">
        <f ca="1">TEXT(Overig!A481,"000\,")&amp;TEXT(Overig!B481,"?00000000")&amp;TEXT(Overig!C481,""", ""@")&amp;SUBSTITUTE(TEXT(IF(ISTEXT(Overig!D481),Overig!D481,10*Overig!D481),""",""????0;"",""???-0;"",""????0;"", ////"""),"'","""")&amp;SUBSTITUTE(TEXT(Overig!E481,""",""?00;"",""?-00;"",""?00;"", //"""),"'","""")</f>
        <v>073, 19450609, 16.00, ////, 07</v>
      </c>
    </row>
    <row r="482" spans="1:1" x14ac:dyDescent="0.25">
      <c r="A482" s="16" t="str">
        <f ca="1">TEXT(Overig!A482,"000\,")&amp;TEXT(Overig!B482,"?00000000")&amp;TEXT(Overig!C482,""", ""@")&amp;SUBSTITUTE(TEXT(IF(ISTEXT(Overig!D482),Overig!D482,10*Overig!D482),""",""????0;"",""???-0;"",""????0;"", ////"""),"'","""")&amp;SUBSTITUTE(TEXT(Overig!E482,""",""?00;"",""?-00;"",""?00;"", //"""),"'","""")</f>
        <v>073, 19450610, 08.00, ////, 07</v>
      </c>
    </row>
    <row r="483" spans="1:1" x14ac:dyDescent="0.25">
      <c r="A483" s="16" t="str">
        <f ca="1">TEXT(Overig!A483,"000\,")&amp;TEXT(Overig!B483,"?00000000")&amp;TEXT(Overig!C483,""", ""@")&amp;SUBSTITUTE(TEXT(IF(ISTEXT(Overig!D483),Overig!D483,10*Overig!D483),""",""????0;"",""???-0;"",""????0;"", ////"""),"'","""")&amp;SUBSTITUTE(TEXT(Overig!E483,""",""?00;"",""?-00;"",""?00;"", //"""),"'","""")</f>
        <v>073, 19450610, 12.00, ////, 07</v>
      </c>
    </row>
    <row r="484" spans="1:1" x14ac:dyDescent="0.25">
      <c r="A484" s="16" t="str">
        <f ca="1">TEXT(Overig!A484,"000\,")&amp;TEXT(Overig!B484,"?00000000")&amp;TEXT(Overig!C484,""", ""@")&amp;SUBSTITUTE(TEXT(IF(ISTEXT(Overig!D484),Overig!D484,10*Overig!D484),""",""????0;"",""???-0;"",""????0;"", ////"""),"'","""")&amp;SUBSTITUTE(TEXT(Overig!E484,""",""?00;"",""?-00;"",""?00;"", //"""),"'","""")</f>
        <v>073, 19450610, 16.00, ////, 07</v>
      </c>
    </row>
    <row r="485" spans="1:1" x14ac:dyDescent="0.25">
      <c r="A485" s="16" t="str">
        <f ca="1">TEXT(Overig!A485,"000\,")&amp;TEXT(Overig!B485,"?00000000")&amp;TEXT(Overig!C485,""", ""@")&amp;SUBSTITUTE(TEXT(IF(ISTEXT(Overig!D485),Overig!D485,10*Overig!D485),""",""????0;"",""???-0;"",""????0;"", ////"""),"'","""")&amp;SUBSTITUTE(TEXT(Overig!E485,""",""?00;"",""?-00;"",""?00;"", //"""),"'","""")</f>
        <v>073, 19450611, 08.00, ////, 07</v>
      </c>
    </row>
    <row r="486" spans="1:1" x14ac:dyDescent="0.25">
      <c r="A486" s="16" t="str">
        <f ca="1">TEXT(Overig!A486,"000\,")&amp;TEXT(Overig!B486,"?00000000")&amp;TEXT(Overig!C486,""", ""@")&amp;SUBSTITUTE(TEXT(IF(ISTEXT(Overig!D486),Overig!D486,10*Overig!D486),""",""????0;"",""???-0;"",""????0;"", ////"""),"'","""")&amp;SUBSTITUTE(TEXT(Overig!E486,""",""?00;"",""?-00;"",""?00;"", //"""),"'","""")</f>
        <v>073, 19450611, 12.00, ////, 07</v>
      </c>
    </row>
    <row r="487" spans="1:1" x14ac:dyDescent="0.25">
      <c r="A487" s="16" t="str">
        <f ca="1">TEXT(Overig!A487,"000\,")&amp;TEXT(Overig!B487,"?00000000")&amp;TEXT(Overig!C487,""", ""@")&amp;SUBSTITUTE(TEXT(IF(ISTEXT(Overig!D487),Overig!D487,10*Overig!D487),""",""????0;"",""???-0;"",""????0;"", ////"""),"'","""")&amp;SUBSTITUTE(TEXT(Overig!E487,""",""?00;"",""?-00;"",""?00;"", //"""),"'","""")</f>
        <v>073, 19450611, 16.00, ////, 07</v>
      </c>
    </row>
    <row r="488" spans="1:1" x14ac:dyDescent="0.25">
      <c r="A488" s="16" t="str">
        <f ca="1">TEXT(Overig!A488,"000\,")&amp;TEXT(Overig!B488,"?00000000")&amp;TEXT(Overig!C488,""", ""@")&amp;SUBSTITUTE(TEXT(IF(ISTEXT(Overig!D488),Overig!D488,10*Overig!D488),""",""????0;"",""???-0;"",""????0;"", ////"""),"'","""")&amp;SUBSTITUTE(TEXT(Overig!E488,""",""?00;"",""?-00;"",""?00;"", //"""),"'","""")</f>
        <v>073, 19450612, 08.00, ////, 07</v>
      </c>
    </row>
    <row r="489" spans="1:1" x14ac:dyDescent="0.25">
      <c r="A489" s="16" t="str">
        <f ca="1">TEXT(Overig!A489,"000\,")&amp;TEXT(Overig!B489,"?00000000")&amp;TEXT(Overig!C489,""", ""@")&amp;SUBSTITUTE(TEXT(IF(ISTEXT(Overig!D489),Overig!D489,10*Overig!D489),""",""????0;"",""???-0;"",""????0;"", ////"""),"'","""")&amp;SUBSTITUTE(TEXT(Overig!E489,""",""?00;"",""?-00;"",""?00;"", //"""),"'","""")</f>
        <v>073, 19450612, 12.00, ////, 07</v>
      </c>
    </row>
    <row r="490" spans="1:1" x14ac:dyDescent="0.25">
      <c r="A490" s="16" t="str">
        <f ca="1">TEXT(Overig!A490,"000\,")&amp;TEXT(Overig!B490,"?00000000")&amp;TEXT(Overig!C490,""", ""@")&amp;SUBSTITUTE(TEXT(IF(ISTEXT(Overig!D490),Overig!D490,10*Overig!D490),""",""????0;"",""???-0;"",""????0;"", ////"""),"'","""")&amp;SUBSTITUTE(TEXT(Overig!E490,""",""?00;"",""?-00;"",""?00;"", //"""),"'","""")</f>
        <v>073, 19450612, 16.00, ////, 07</v>
      </c>
    </row>
    <row r="491" spans="1:1" x14ac:dyDescent="0.25">
      <c r="A491" s="16" t="str">
        <f ca="1">TEXT(Overig!A491,"000\,")&amp;TEXT(Overig!B491,"?00000000")&amp;TEXT(Overig!C491,""", ""@")&amp;SUBSTITUTE(TEXT(IF(ISTEXT(Overig!D491),Overig!D491,10*Overig!D491),""",""????0;"",""???-0;"",""????0;"", ////"""),"'","""")&amp;SUBSTITUTE(TEXT(Overig!E491,""",""?00;"",""?-00;"",""?00;"", //"""),"'","""")</f>
        <v>073, 19450613, 08.00, ////, 07</v>
      </c>
    </row>
    <row r="492" spans="1:1" x14ac:dyDescent="0.25">
      <c r="A492" s="16" t="str">
        <f ca="1">TEXT(Overig!A492,"000\,")&amp;TEXT(Overig!B492,"?00000000")&amp;TEXT(Overig!C492,""", ""@")&amp;SUBSTITUTE(TEXT(IF(ISTEXT(Overig!D492),Overig!D492,10*Overig!D492),""",""????0;"",""???-0;"",""????0;"", ////"""),"'","""")&amp;SUBSTITUTE(TEXT(Overig!E492,""",""?00;"",""?-00;"",""?00;"", //"""),"'","""")</f>
        <v>073, 19450613, 12.00, ////, 07</v>
      </c>
    </row>
    <row r="493" spans="1:1" x14ac:dyDescent="0.25">
      <c r="A493" s="16" t="str">
        <f ca="1">TEXT(Overig!A493,"000\,")&amp;TEXT(Overig!B493,"?00000000")&amp;TEXT(Overig!C493,""", ""@")&amp;SUBSTITUTE(TEXT(IF(ISTEXT(Overig!D493),Overig!D493,10*Overig!D493),""",""????0;"",""???-0;"",""????0;"", ////"""),"'","""")&amp;SUBSTITUTE(TEXT(Overig!E493,""",""?00;"",""?-00;"",""?00;"", //"""),"'","""")</f>
        <v>073, 19450613, 16.00, ////, 07</v>
      </c>
    </row>
    <row r="494" spans="1:1" x14ac:dyDescent="0.25">
      <c r="A494" s="16" t="str">
        <f ca="1">TEXT(Overig!A494,"000\,")&amp;TEXT(Overig!B494,"?00000000")&amp;TEXT(Overig!C494,""", ""@")&amp;SUBSTITUTE(TEXT(IF(ISTEXT(Overig!D494),Overig!D494,10*Overig!D494),""",""????0;"",""???-0;"",""????0;"", ////"""),"'","""")&amp;SUBSTITUTE(TEXT(Overig!E494,""",""?00;"",""?-00;"",""?00;"", //"""),"'","""")</f>
        <v>073, 19450614, 08.00, ////, 07</v>
      </c>
    </row>
    <row r="495" spans="1:1" x14ac:dyDescent="0.25">
      <c r="A495" s="16" t="str">
        <f ca="1">TEXT(Overig!A495,"000\,")&amp;TEXT(Overig!B495,"?00000000")&amp;TEXT(Overig!C495,""", ""@")&amp;SUBSTITUTE(TEXT(IF(ISTEXT(Overig!D495),Overig!D495,10*Overig!D495),""",""????0;"",""???-0;"",""????0;"", ////"""),"'","""")&amp;SUBSTITUTE(TEXT(Overig!E495,""",""?00;"",""?-00;"",""?00;"", //"""),"'","""")</f>
        <v>073, 19450614, 12.00, ////, 07</v>
      </c>
    </row>
    <row r="496" spans="1:1" x14ac:dyDescent="0.25">
      <c r="A496" s="16" t="str">
        <f ca="1">TEXT(Overig!A496,"000\,")&amp;TEXT(Overig!B496,"?00000000")&amp;TEXT(Overig!C496,""", ""@")&amp;SUBSTITUTE(TEXT(IF(ISTEXT(Overig!D496),Overig!D496,10*Overig!D496),""",""????0;"",""???-0;"",""????0;"", ////"""),"'","""")&amp;SUBSTITUTE(TEXT(Overig!E496,""",""?00;"",""?-00;"",""?00;"", //"""),"'","""")</f>
        <v>073, 19450614, 16.00, ////, 07</v>
      </c>
    </row>
    <row r="497" spans="1:1" x14ac:dyDescent="0.25">
      <c r="A497" s="16" t="str">
        <f ca="1">TEXT(Overig!A497,"000\,")&amp;TEXT(Overig!B497,"?00000000")&amp;TEXT(Overig!C497,""", ""@")&amp;SUBSTITUTE(TEXT(IF(ISTEXT(Overig!D497),Overig!D497,10*Overig!D497),""",""????0;"",""???-0;"",""????0;"", ////"""),"'","""")&amp;SUBSTITUTE(TEXT(Overig!E497,""",""?00;"",""?-00;"",""?00;"", //"""),"'","""")</f>
        <v>073, 19450615, 08.00, ////, 07</v>
      </c>
    </row>
    <row r="498" spans="1:1" x14ac:dyDescent="0.25">
      <c r="A498" s="16" t="str">
        <f ca="1">TEXT(Overig!A498,"000\,")&amp;TEXT(Overig!B498,"?00000000")&amp;TEXT(Overig!C498,""", ""@")&amp;SUBSTITUTE(TEXT(IF(ISTEXT(Overig!D498),Overig!D498,10*Overig!D498),""",""????0;"",""???-0;"",""????0;"", ////"""),"'","""")&amp;SUBSTITUTE(TEXT(Overig!E498,""",""?00;"",""?-00;"",""?00;"", //"""),"'","""")</f>
        <v>073, 19450615, 12.00, ////, 07</v>
      </c>
    </row>
    <row r="499" spans="1:1" x14ac:dyDescent="0.25">
      <c r="A499" s="16" t="str">
        <f ca="1">TEXT(Overig!A499,"000\,")&amp;TEXT(Overig!B499,"?00000000")&amp;TEXT(Overig!C499,""", ""@")&amp;SUBSTITUTE(TEXT(IF(ISTEXT(Overig!D499),Overig!D499,10*Overig!D499),""",""????0;"",""???-0;"",""????0;"", ////"""),"'","""")&amp;SUBSTITUTE(TEXT(Overig!E499,""",""?00;"",""?-00;"",""?00;"", //"""),"'","""")</f>
        <v>073, 19450615, 16.00, ////, 07</v>
      </c>
    </row>
    <row r="500" spans="1:1" x14ac:dyDescent="0.25">
      <c r="A500" s="16" t="str">
        <f ca="1">TEXT(Overig!A500,"000\,")&amp;TEXT(Overig!B500,"?00000000")&amp;TEXT(Overig!C500,""", ""@")&amp;SUBSTITUTE(TEXT(IF(ISTEXT(Overig!D500),Overig!D500,10*Overig!D500),""",""????0;"",""???-0;"",""????0;"", ////"""),"'","""")&amp;SUBSTITUTE(TEXT(Overig!E500,""",""?00;"",""?-00;"",""?00;"", //"""),"'","""")</f>
        <v>073, 19450616, 08.00, ////, 07</v>
      </c>
    </row>
    <row r="501" spans="1:1" x14ac:dyDescent="0.25">
      <c r="A501" s="16" t="str">
        <f ca="1">TEXT(Overig!A501,"000\,")&amp;TEXT(Overig!B501,"?00000000")&amp;TEXT(Overig!C501,""", ""@")&amp;SUBSTITUTE(TEXT(IF(ISTEXT(Overig!D501),Overig!D501,10*Overig!D501),""",""????0;"",""???-0;"",""????0;"", ////"""),"'","""")&amp;SUBSTITUTE(TEXT(Overig!E501,""",""?00;"",""?-00;"",""?00;"", //"""),"'","""")</f>
        <v>073, 19450616, 12.00, ////, 07</v>
      </c>
    </row>
    <row r="502" spans="1:1" x14ac:dyDescent="0.25">
      <c r="A502" s="16" t="str">
        <f ca="1">TEXT(Overig!A502,"000\,")&amp;TEXT(Overig!B502,"?00000000")&amp;TEXT(Overig!C502,""", ""@")&amp;SUBSTITUTE(TEXT(IF(ISTEXT(Overig!D502),Overig!D502,10*Overig!D502),""",""????0;"",""???-0;"",""????0;"", ////"""),"'","""")&amp;SUBSTITUTE(TEXT(Overig!E502,""",""?00;"",""?-00;"",""?00;"", //"""),"'","""")</f>
        <v>073, 19450616, 16.00, ////, 07</v>
      </c>
    </row>
    <row r="503" spans="1:1" x14ac:dyDescent="0.25">
      <c r="A503" s="16" t="str">
        <f ca="1">TEXT(Overig!A503,"000\,")&amp;TEXT(Overig!B503,"?00000000")&amp;TEXT(Overig!C503,""", ""@")&amp;SUBSTITUTE(TEXT(IF(ISTEXT(Overig!D503),Overig!D503,10*Overig!D503),""",""????0;"",""???-0;"",""????0;"", ////"""),"'","""")&amp;SUBSTITUTE(TEXT(Overig!E503,""",""?00;"",""?-00;"",""?00;"", //"""),"'","""")</f>
        <v>073, 19450617, 08.00, ////, 07</v>
      </c>
    </row>
    <row r="504" spans="1:1" x14ac:dyDescent="0.25">
      <c r="A504" s="16" t="str">
        <f ca="1">TEXT(Overig!A504,"000\,")&amp;TEXT(Overig!B504,"?00000000")&amp;TEXT(Overig!C504,""", ""@")&amp;SUBSTITUTE(TEXT(IF(ISTEXT(Overig!D504),Overig!D504,10*Overig!D504),""",""????0;"",""???-0;"",""????0;"", ////"""),"'","""")&amp;SUBSTITUTE(TEXT(Overig!E504,""",""?00;"",""?-00;"",""?00;"", //"""),"'","""")</f>
        <v>073, 19450617, 12.00, ////, 07</v>
      </c>
    </row>
    <row r="505" spans="1:1" x14ac:dyDescent="0.25">
      <c r="A505" s="16" t="str">
        <f ca="1">TEXT(Overig!A505,"000\,")&amp;TEXT(Overig!B505,"?00000000")&amp;TEXT(Overig!C505,""", ""@")&amp;SUBSTITUTE(TEXT(IF(ISTEXT(Overig!D505),Overig!D505,10*Overig!D505),""",""????0;"",""???-0;"",""????0;"", ////"""),"'","""")&amp;SUBSTITUTE(TEXT(Overig!E505,""",""?00;"",""?-00;"",""?00;"", //"""),"'","""")</f>
        <v>073, 19450617, 16.00, ////, 07</v>
      </c>
    </row>
    <row r="506" spans="1:1" x14ac:dyDescent="0.25">
      <c r="A506" s="16" t="str">
        <f ca="1">TEXT(Overig!A506,"000\,")&amp;TEXT(Overig!B506,"?00000000")&amp;TEXT(Overig!C506,""", ""@")&amp;SUBSTITUTE(TEXT(IF(ISTEXT(Overig!D506),Overig!D506,10*Overig!D506),""",""????0;"",""???-0;"",""????0;"", ////"""),"'","""")&amp;SUBSTITUTE(TEXT(Overig!E506,""",""?00;"",""?-00;"",""?00;"", //"""),"'","""")</f>
        <v>073, 19450618, 08.00, ////, 07</v>
      </c>
    </row>
    <row r="507" spans="1:1" x14ac:dyDescent="0.25">
      <c r="A507" s="16" t="str">
        <f ca="1">TEXT(Overig!A507,"000\,")&amp;TEXT(Overig!B507,"?00000000")&amp;TEXT(Overig!C507,""", ""@")&amp;SUBSTITUTE(TEXT(IF(ISTEXT(Overig!D507),Overig!D507,10*Overig!D507),""",""????0;"",""???-0;"",""????0;"", ////"""),"'","""")&amp;SUBSTITUTE(TEXT(Overig!E507,""",""?00;"",""?-00;"",""?00;"", //"""),"'","""")</f>
        <v>073, 19450618, 12.00, ////, 07</v>
      </c>
    </row>
    <row r="508" spans="1:1" x14ac:dyDescent="0.25">
      <c r="A508" s="16" t="str">
        <f ca="1">TEXT(Overig!A508,"000\,")&amp;TEXT(Overig!B508,"?00000000")&amp;TEXT(Overig!C508,""", ""@")&amp;SUBSTITUTE(TEXT(IF(ISTEXT(Overig!D508),Overig!D508,10*Overig!D508),""",""????0;"",""???-0;"",""????0;"", ////"""),"'","""")&amp;SUBSTITUTE(TEXT(Overig!E508,""",""?00;"",""?-00;"",""?00;"", //"""),"'","""")</f>
        <v>073, 19450618, 16.00, ////, 07</v>
      </c>
    </row>
    <row r="509" spans="1:1" x14ac:dyDescent="0.25">
      <c r="A509" s="16" t="str">
        <f ca="1">TEXT(Overig!A509,"000\,")&amp;TEXT(Overig!B509,"?00000000")&amp;TEXT(Overig!C509,""", ""@")&amp;SUBSTITUTE(TEXT(IF(ISTEXT(Overig!D509),Overig!D509,10*Overig!D509),""",""????0;"",""???-0;"",""????0;"", ////"""),"'","""")&amp;SUBSTITUTE(TEXT(Overig!E509,""",""?00;"",""?-00;"",""?00;"", //"""),"'","""")</f>
        <v>073, 19450619, 08.00, ////, 07</v>
      </c>
    </row>
    <row r="510" spans="1:1" x14ac:dyDescent="0.25">
      <c r="A510" s="16" t="str">
        <f ca="1">TEXT(Overig!A510,"000\,")&amp;TEXT(Overig!B510,"?00000000")&amp;TEXT(Overig!C510,""", ""@")&amp;SUBSTITUTE(TEXT(IF(ISTEXT(Overig!D510),Overig!D510,10*Overig!D510),""",""????0;"",""???-0;"",""????0;"", ////"""),"'","""")&amp;SUBSTITUTE(TEXT(Overig!E510,""",""?00;"",""?-00;"",""?00;"", //"""),"'","""")</f>
        <v>073, 19450619, 12.00, ////, 07</v>
      </c>
    </row>
    <row r="511" spans="1:1" x14ac:dyDescent="0.25">
      <c r="A511" s="16" t="str">
        <f ca="1">TEXT(Overig!A511,"000\,")&amp;TEXT(Overig!B511,"?00000000")&amp;TEXT(Overig!C511,""", ""@")&amp;SUBSTITUTE(TEXT(IF(ISTEXT(Overig!D511),Overig!D511,10*Overig!D511),""",""????0;"",""???-0;"",""????0;"", ////"""),"'","""")&amp;SUBSTITUTE(TEXT(Overig!E511,""",""?00;"",""?-00;"",""?00;"", //"""),"'","""")</f>
        <v>073, 19450619, 16.00, ////, 07</v>
      </c>
    </row>
    <row r="512" spans="1:1" x14ac:dyDescent="0.25">
      <c r="A512" s="16" t="str">
        <f ca="1">TEXT(Overig!A512,"000\,")&amp;TEXT(Overig!B512,"?00000000")&amp;TEXT(Overig!C512,""", ""@")&amp;SUBSTITUTE(TEXT(IF(ISTEXT(Overig!D512),Overig!D512,10*Overig!D512),""",""????0;"",""???-0;"",""????0;"", ////"""),"'","""")&amp;SUBSTITUTE(TEXT(Overig!E512,""",""?00;"",""?-00;"",""?00;"", //"""),"'","""")</f>
        <v>073, 19450620, 08.00, ////, 07</v>
      </c>
    </row>
    <row r="513" spans="1:1" x14ac:dyDescent="0.25">
      <c r="A513" s="16" t="str">
        <f ca="1">TEXT(Overig!A513,"000\,")&amp;TEXT(Overig!B513,"?00000000")&amp;TEXT(Overig!C513,""", ""@")&amp;SUBSTITUTE(TEXT(IF(ISTEXT(Overig!D513),Overig!D513,10*Overig!D513),""",""????0;"",""???-0;"",""????0;"", ////"""),"'","""")&amp;SUBSTITUTE(TEXT(Overig!E513,""",""?00;"",""?-00;"",""?00;"", //"""),"'","""")</f>
        <v>073, 19450620, 12.00, ////, 07</v>
      </c>
    </row>
    <row r="514" spans="1:1" x14ac:dyDescent="0.25">
      <c r="A514" s="16" t="str">
        <f ca="1">TEXT(Overig!A514,"000\,")&amp;TEXT(Overig!B514,"?00000000")&amp;TEXT(Overig!C514,""", ""@")&amp;SUBSTITUTE(TEXT(IF(ISTEXT(Overig!D514),Overig!D514,10*Overig!D514),""",""????0;"",""???-0;"",""????0;"", ////"""),"'","""")&amp;SUBSTITUTE(TEXT(Overig!E514,""",""?00;"",""?-00;"",""?00;"", //"""),"'","""")</f>
        <v>073, 19450620, 16.00, ////, 07</v>
      </c>
    </row>
    <row r="515" spans="1:1" x14ac:dyDescent="0.25">
      <c r="A515" s="16" t="str">
        <f ca="1">TEXT(Overig!A515,"000\,")&amp;TEXT(Overig!B515,"?00000000")&amp;TEXT(Overig!C515,""", ""@")&amp;SUBSTITUTE(TEXT(IF(ISTEXT(Overig!D515),Overig!D515,10*Overig!D515),""",""????0;"",""???-0;"",""????0;"", ////"""),"'","""")&amp;SUBSTITUTE(TEXT(Overig!E515,""",""?00;"",""?-00;"",""?00;"", //"""),"'","""")</f>
        <v>073, 19450621, 08.00, ////, 07</v>
      </c>
    </row>
    <row r="516" spans="1:1" x14ac:dyDescent="0.25">
      <c r="A516" s="16" t="str">
        <f ca="1">TEXT(Overig!A516,"000\,")&amp;TEXT(Overig!B516,"?00000000")&amp;TEXT(Overig!C516,""", ""@")&amp;SUBSTITUTE(TEXT(IF(ISTEXT(Overig!D516),Overig!D516,10*Overig!D516),""",""????0;"",""???-0;"",""????0;"", ////"""),"'","""")&amp;SUBSTITUTE(TEXT(Overig!E516,""",""?00;"",""?-00;"",""?00;"", //"""),"'","""")</f>
        <v>073, 19450621, 12.00, ////, 07</v>
      </c>
    </row>
    <row r="517" spans="1:1" x14ac:dyDescent="0.25">
      <c r="A517" s="16" t="str">
        <f ca="1">TEXT(Overig!A517,"000\,")&amp;TEXT(Overig!B517,"?00000000")&amp;TEXT(Overig!C517,""", ""@")&amp;SUBSTITUTE(TEXT(IF(ISTEXT(Overig!D517),Overig!D517,10*Overig!D517),""",""????0;"",""???-0;"",""????0;"", ////"""),"'","""")&amp;SUBSTITUTE(TEXT(Overig!E517,""",""?00;"",""?-00;"",""?00;"", //"""),"'","""")</f>
        <v>073, 19450621, 16.00, ////, 07</v>
      </c>
    </row>
    <row r="518" spans="1:1" x14ac:dyDescent="0.25">
      <c r="A518" s="16" t="str">
        <f ca="1">TEXT(Overig!A518,"000\,")&amp;TEXT(Overig!B518,"?00000000")&amp;TEXT(Overig!C518,""", ""@")&amp;SUBSTITUTE(TEXT(IF(ISTEXT(Overig!D518),Overig!D518,10*Overig!D518),""",""????0;"",""???-0;"",""????0;"", ////"""),"'","""")&amp;SUBSTITUTE(TEXT(Overig!E518,""",""?00;"",""?-00;"",""?00;"", //"""),"'","""")</f>
        <v>073, 19450622, 08.00, ////, 07</v>
      </c>
    </row>
    <row r="519" spans="1:1" x14ac:dyDescent="0.25">
      <c r="A519" s="16" t="str">
        <f ca="1">TEXT(Overig!A519,"000\,")&amp;TEXT(Overig!B519,"?00000000")&amp;TEXT(Overig!C519,""", ""@")&amp;SUBSTITUTE(TEXT(IF(ISTEXT(Overig!D519),Overig!D519,10*Overig!D519),""",""????0;"",""???-0;"",""????0;"", ////"""),"'","""")&amp;SUBSTITUTE(TEXT(Overig!E519,""",""?00;"",""?-00;"",""?00;"", //"""),"'","""")</f>
        <v>073, 19450622, 12.00, ////, 07</v>
      </c>
    </row>
    <row r="520" spans="1:1" x14ac:dyDescent="0.25">
      <c r="A520" s="16" t="str">
        <f ca="1">TEXT(Overig!A520,"000\,")&amp;TEXT(Overig!B520,"?00000000")&amp;TEXT(Overig!C520,""", ""@")&amp;SUBSTITUTE(TEXT(IF(ISTEXT(Overig!D520),Overig!D520,10*Overig!D520),""",""????0;"",""???-0;"",""????0;"", ////"""),"'","""")&amp;SUBSTITUTE(TEXT(Overig!E520,""",""?00;"",""?-00;"",""?00;"", //"""),"'","""")</f>
        <v>073, 19450622, 16.00, ////, 07</v>
      </c>
    </row>
    <row r="521" spans="1:1" x14ac:dyDescent="0.25">
      <c r="A521" s="16" t="str">
        <f ca="1">TEXT(Overig!A521,"000\,")&amp;TEXT(Overig!B521,"?00000000")&amp;TEXT(Overig!C521,""", ""@")&amp;SUBSTITUTE(TEXT(IF(ISTEXT(Overig!D521),Overig!D521,10*Overig!D521),""",""????0;"",""???-0;"",""????0;"", ////"""),"'","""")&amp;SUBSTITUTE(TEXT(Overig!E521,""",""?00;"",""?-00;"",""?00;"", //"""),"'","""")</f>
        <v>073, 19450623, 08.00, ////, 07</v>
      </c>
    </row>
    <row r="522" spans="1:1" x14ac:dyDescent="0.25">
      <c r="A522" s="16" t="str">
        <f ca="1">TEXT(Overig!A522,"000\,")&amp;TEXT(Overig!B522,"?00000000")&amp;TEXT(Overig!C522,""", ""@")&amp;SUBSTITUTE(TEXT(IF(ISTEXT(Overig!D522),Overig!D522,10*Overig!D522),""",""????0;"",""???-0;"",""????0;"", ////"""),"'","""")&amp;SUBSTITUTE(TEXT(Overig!E522,""",""?00;"",""?-00;"",""?00;"", //"""),"'","""")</f>
        <v>073, 19450623, 12.00, ////, 07</v>
      </c>
    </row>
    <row r="523" spans="1:1" x14ac:dyDescent="0.25">
      <c r="A523" s="16" t="str">
        <f ca="1">TEXT(Overig!A523,"000\,")&amp;TEXT(Overig!B523,"?00000000")&amp;TEXT(Overig!C523,""", ""@")&amp;SUBSTITUTE(TEXT(IF(ISTEXT(Overig!D523),Overig!D523,10*Overig!D523),""",""????0;"",""???-0;"",""????0;"", ////"""),"'","""")&amp;SUBSTITUTE(TEXT(Overig!E523,""",""?00;"",""?-00;"",""?00;"", //"""),"'","""")</f>
        <v>073, 19450623, 16.00, ////, 07</v>
      </c>
    </row>
    <row r="524" spans="1:1" x14ac:dyDescent="0.25">
      <c r="A524" s="16" t="str">
        <f ca="1">TEXT(Overig!A524,"000\,")&amp;TEXT(Overig!B524,"?00000000")&amp;TEXT(Overig!C524,""", ""@")&amp;SUBSTITUTE(TEXT(IF(ISTEXT(Overig!D524),Overig!D524,10*Overig!D524),""",""????0;"",""???-0;"",""????0;"", ////"""),"'","""")&amp;SUBSTITUTE(TEXT(Overig!E524,""",""?00;"",""?-00;"",""?00;"", //"""),"'","""")</f>
        <v>073, 19450624, 08.00, ////, 07</v>
      </c>
    </row>
    <row r="525" spans="1:1" x14ac:dyDescent="0.25">
      <c r="A525" s="16" t="str">
        <f ca="1">TEXT(Overig!A525,"000\,")&amp;TEXT(Overig!B525,"?00000000")&amp;TEXT(Overig!C525,""", ""@")&amp;SUBSTITUTE(TEXT(IF(ISTEXT(Overig!D525),Overig!D525,10*Overig!D525),""",""????0;"",""???-0;"",""????0;"", ////"""),"'","""")&amp;SUBSTITUTE(TEXT(Overig!E525,""",""?00;"",""?-00;"",""?00;"", //"""),"'","""")</f>
        <v>073, 19450624, 12.00, ////, 07</v>
      </c>
    </row>
    <row r="526" spans="1:1" x14ac:dyDescent="0.25">
      <c r="A526" s="16" t="str">
        <f ca="1">TEXT(Overig!A526,"000\,")&amp;TEXT(Overig!B526,"?00000000")&amp;TEXT(Overig!C526,""", ""@")&amp;SUBSTITUTE(TEXT(IF(ISTEXT(Overig!D526),Overig!D526,10*Overig!D526),""",""????0;"",""???-0;"",""????0;"", ////"""),"'","""")&amp;SUBSTITUTE(TEXT(Overig!E526,""",""?00;"",""?-00;"",""?00;"", //"""),"'","""")</f>
        <v>073, 19450624, 16.00, ////, 07</v>
      </c>
    </row>
    <row r="527" spans="1:1" x14ac:dyDescent="0.25">
      <c r="A527" s="16" t="str">
        <f ca="1">TEXT(Overig!A527,"000\,")&amp;TEXT(Overig!B527,"?00000000")&amp;TEXT(Overig!C527,""", ""@")&amp;SUBSTITUTE(TEXT(IF(ISTEXT(Overig!D527),Overig!D527,10*Overig!D527),""",""????0;"",""???-0;"",""????0;"", ////"""),"'","""")&amp;SUBSTITUTE(TEXT(Overig!E527,""",""?00;"",""?-00;"",""?00;"", //"""),"'","""")</f>
        <v>073, 19450625, 08.00, ////, 07</v>
      </c>
    </row>
    <row r="528" spans="1:1" x14ac:dyDescent="0.25">
      <c r="A528" s="16" t="str">
        <f ca="1">TEXT(Overig!A528,"000\,")&amp;TEXT(Overig!B528,"?00000000")&amp;TEXT(Overig!C528,""", ""@")&amp;SUBSTITUTE(TEXT(IF(ISTEXT(Overig!D528),Overig!D528,10*Overig!D528),""",""????0;"",""???-0;"",""????0;"", ////"""),"'","""")&amp;SUBSTITUTE(TEXT(Overig!E528,""",""?00;"",""?-00;"",""?00;"", //"""),"'","""")</f>
        <v>073, 19450625, 12.00, ////, 07</v>
      </c>
    </row>
    <row r="529" spans="1:1" x14ac:dyDescent="0.25">
      <c r="A529" s="16" t="str">
        <f ca="1">TEXT(Overig!A529,"000\,")&amp;TEXT(Overig!B529,"?00000000")&amp;TEXT(Overig!C529,""", ""@")&amp;SUBSTITUTE(TEXT(IF(ISTEXT(Overig!D529),Overig!D529,10*Overig!D529),""",""????0;"",""???-0;"",""????0;"", ////"""),"'","""")&amp;SUBSTITUTE(TEXT(Overig!E529,""",""?00;"",""?-00;"",""?00;"", //"""),"'","""")</f>
        <v>073, 19450625, 16.00, ////, 07</v>
      </c>
    </row>
    <row r="530" spans="1:1" x14ac:dyDescent="0.25">
      <c r="A530" s="16" t="str">
        <f ca="1">TEXT(Overig!A530,"000\,")&amp;TEXT(Overig!B530,"?00000000")&amp;TEXT(Overig!C530,""", ""@")&amp;SUBSTITUTE(TEXT(IF(ISTEXT(Overig!D530),Overig!D530,10*Overig!D530),""",""????0;"",""???-0;"",""????0;"", ////"""),"'","""")&amp;SUBSTITUTE(TEXT(Overig!E530,""",""?00;"",""?-00;"",""?00;"", //"""),"'","""")</f>
        <v>073, 19450626, 08.00, ////, 07</v>
      </c>
    </row>
    <row r="531" spans="1:1" x14ac:dyDescent="0.25">
      <c r="A531" s="16" t="str">
        <f ca="1">TEXT(Overig!A531,"000\,")&amp;TEXT(Overig!B531,"?00000000")&amp;TEXT(Overig!C531,""", ""@")&amp;SUBSTITUTE(TEXT(IF(ISTEXT(Overig!D531),Overig!D531,10*Overig!D531),""",""????0;"",""???-0;"",""????0;"", ////"""),"'","""")&amp;SUBSTITUTE(TEXT(Overig!E531,""",""?00;"",""?-00;"",""?00;"", //"""),"'","""")</f>
        <v>073, 19450626, 12.00, ////, 07</v>
      </c>
    </row>
    <row r="532" spans="1:1" x14ac:dyDescent="0.25">
      <c r="A532" s="16" t="str">
        <f ca="1">TEXT(Overig!A532,"000\,")&amp;TEXT(Overig!B532,"?00000000")&amp;TEXT(Overig!C532,""", ""@")&amp;SUBSTITUTE(TEXT(IF(ISTEXT(Overig!D532),Overig!D532,10*Overig!D532),""",""????0;"",""???-0;"",""????0;"", ////"""),"'","""")&amp;SUBSTITUTE(TEXT(Overig!E532,""",""?00;"",""?-00;"",""?00;"", //"""),"'","""")</f>
        <v>073, 19450626, 16.00, ////, 07</v>
      </c>
    </row>
    <row r="533" spans="1:1" x14ac:dyDescent="0.25">
      <c r="A533" s="16" t="str">
        <f ca="1">TEXT(Overig!A533,"000\,")&amp;TEXT(Overig!B533,"?00000000")&amp;TEXT(Overig!C533,""", ""@")&amp;SUBSTITUTE(TEXT(IF(ISTEXT(Overig!D533),Overig!D533,10*Overig!D533),""",""????0;"",""???-0;"",""????0;"", ////"""),"'","""")&amp;SUBSTITUTE(TEXT(Overig!E533,""",""?00;"",""?-00;"",""?00;"", //"""),"'","""")</f>
        <v>073, 19450627, 08.00, ////, 07</v>
      </c>
    </row>
    <row r="534" spans="1:1" x14ac:dyDescent="0.25">
      <c r="A534" s="16" t="str">
        <f ca="1">TEXT(Overig!A534,"000\,")&amp;TEXT(Overig!B534,"?00000000")&amp;TEXT(Overig!C534,""", ""@")&amp;SUBSTITUTE(TEXT(IF(ISTEXT(Overig!D534),Overig!D534,10*Overig!D534),""",""????0;"",""???-0;"",""????0;"", ////"""),"'","""")&amp;SUBSTITUTE(TEXT(Overig!E534,""",""?00;"",""?-00;"",""?00;"", //"""),"'","""")</f>
        <v>073, 19450627, 12.00, ////, 07</v>
      </c>
    </row>
    <row r="535" spans="1:1" x14ac:dyDescent="0.25">
      <c r="A535" s="16" t="str">
        <f ca="1">TEXT(Overig!A535,"000\,")&amp;TEXT(Overig!B535,"?00000000")&amp;TEXT(Overig!C535,""", ""@")&amp;SUBSTITUTE(TEXT(IF(ISTEXT(Overig!D535),Overig!D535,10*Overig!D535),""",""????0;"",""???-0;"",""????0;"", ////"""),"'","""")&amp;SUBSTITUTE(TEXT(Overig!E535,""",""?00;"",""?-00;"",""?00;"", //"""),"'","""")</f>
        <v>073, 19450627, 16.00, ////, 07</v>
      </c>
    </row>
    <row r="536" spans="1:1" x14ac:dyDescent="0.25">
      <c r="A536" s="16" t="str">
        <f ca="1">TEXT(Overig!A536,"000\,")&amp;TEXT(Overig!B536,"?00000000")&amp;TEXT(Overig!C536,""", ""@")&amp;SUBSTITUTE(TEXT(IF(ISTEXT(Overig!D536),Overig!D536,10*Overig!D536),""",""????0;"",""???-0;"",""????0;"", ////"""),"'","""")&amp;SUBSTITUTE(TEXT(Overig!E536,""",""?00;"",""?-00;"",""?00;"", //"""),"'","""")</f>
        <v>073, 19450628, 08.00, ////, 07</v>
      </c>
    </row>
    <row r="537" spans="1:1" x14ac:dyDescent="0.25">
      <c r="A537" s="16" t="str">
        <f ca="1">TEXT(Overig!A537,"000\,")&amp;TEXT(Overig!B537,"?00000000")&amp;TEXT(Overig!C537,""", ""@")&amp;SUBSTITUTE(TEXT(IF(ISTEXT(Overig!D537),Overig!D537,10*Overig!D537),""",""????0;"",""???-0;"",""????0;"", ////"""),"'","""")&amp;SUBSTITUTE(TEXT(Overig!E537,""",""?00;"",""?-00;"",""?00;"", //"""),"'","""")</f>
        <v>073, 19450628, 12.00, ////, 07</v>
      </c>
    </row>
    <row r="538" spans="1:1" x14ac:dyDescent="0.25">
      <c r="A538" s="16" t="str">
        <f ca="1">TEXT(Overig!A538,"000\,")&amp;TEXT(Overig!B538,"?00000000")&amp;TEXT(Overig!C538,""", ""@")&amp;SUBSTITUTE(TEXT(IF(ISTEXT(Overig!D538),Overig!D538,10*Overig!D538),""",""????0;"",""???-0;"",""????0;"", ////"""),"'","""")&amp;SUBSTITUTE(TEXT(Overig!E538,""",""?00;"",""?-00;"",""?00;"", //"""),"'","""")</f>
        <v>073, 19450628, 16.00, ////, 07</v>
      </c>
    </row>
    <row r="539" spans="1:1" x14ac:dyDescent="0.25">
      <c r="A539" s="16" t="str">
        <f ca="1">TEXT(Overig!A539,"000\,")&amp;TEXT(Overig!B539,"?00000000")&amp;TEXT(Overig!C539,""", ""@")&amp;SUBSTITUTE(TEXT(IF(ISTEXT(Overig!D539),Overig!D539,10*Overig!D539),""",""????0;"",""???-0;"",""????0;"", ////"""),"'","""")&amp;SUBSTITUTE(TEXT(Overig!E539,""",""?00;"",""?-00;"",""?00;"", //"""),"'","""")</f>
        <v>073, 19450629, 08.00, ////, 07</v>
      </c>
    </row>
    <row r="540" spans="1:1" x14ac:dyDescent="0.25">
      <c r="A540" s="16" t="str">
        <f ca="1">TEXT(Overig!A540,"000\,")&amp;TEXT(Overig!B540,"?00000000")&amp;TEXT(Overig!C540,""", ""@")&amp;SUBSTITUTE(TEXT(IF(ISTEXT(Overig!D540),Overig!D540,10*Overig!D540),""",""????0;"",""???-0;"",""????0;"", ////"""),"'","""")&amp;SUBSTITUTE(TEXT(Overig!E540,""",""?00;"",""?-00;"",""?00;"", //"""),"'","""")</f>
        <v>073, 19450629, 12.00, ////, 07</v>
      </c>
    </row>
    <row r="541" spans="1:1" x14ac:dyDescent="0.25">
      <c r="A541" s="16" t="str">
        <f ca="1">TEXT(Overig!A541,"000\,")&amp;TEXT(Overig!B541,"?00000000")&amp;TEXT(Overig!C541,""", ""@")&amp;SUBSTITUTE(TEXT(IF(ISTEXT(Overig!D541),Overig!D541,10*Overig!D541),""",""????0;"",""???-0;"",""????0;"", ////"""),"'","""")&amp;SUBSTITUTE(TEXT(Overig!E541,""",""?00;"",""?-00;"",""?00;"", //"""),"'","""")</f>
        <v>073, 19450629, 16.00, ////, 07</v>
      </c>
    </row>
    <row r="542" spans="1:1" x14ac:dyDescent="0.25">
      <c r="A542" s="16" t="str">
        <f ca="1">TEXT(Overig!A542,"000\,")&amp;TEXT(Overig!B542,"?00000000")&amp;TEXT(Overig!C542,""", ""@")&amp;SUBSTITUTE(TEXT(IF(ISTEXT(Overig!D542),Overig!D542,10*Overig!D542),""",""????0;"",""???-0;"",""????0;"", ////"""),"'","""")&amp;SUBSTITUTE(TEXT(Overig!E542,""",""?00;"",""?-00;"",""?00;"", //"""),"'","""")</f>
        <v>073, 19450630, 08.00, ////, 07</v>
      </c>
    </row>
    <row r="543" spans="1:1" x14ac:dyDescent="0.25">
      <c r="A543" s="16" t="str">
        <f ca="1">TEXT(Overig!A543,"000\,")&amp;TEXT(Overig!B543,"?00000000")&amp;TEXT(Overig!C543,""", ""@")&amp;SUBSTITUTE(TEXT(IF(ISTEXT(Overig!D543),Overig!D543,10*Overig!D543),""",""????0;"",""???-0;"",""????0;"", ////"""),"'","""")&amp;SUBSTITUTE(TEXT(Overig!E543,""",""?00;"",""?-00;"",""?00;"", //"""),"'","""")</f>
        <v>073, 19450630, 12.00, ////, 07</v>
      </c>
    </row>
    <row r="544" spans="1:1" x14ac:dyDescent="0.25">
      <c r="A544" s="16" t="str">
        <f ca="1">TEXT(Overig!A544,"000\,")&amp;TEXT(Overig!B544,"?00000000")&amp;TEXT(Overig!C544,""", ""@")&amp;SUBSTITUTE(TEXT(IF(ISTEXT(Overig!D544),Overig!D544,10*Overig!D544),""",""????0;"",""???-0;"",""????0;"", ////"""),"'","""")&amp;SUBSTITUTE(TEXT(Overig!E544,""",""?00;"",""?-00;"",""?00;"", //"""),"'","""")</f>
        <v>073, 19450630, 16.00, ////, 07</v>
      </c>
    </row>
    <row r="545" spans="1:1" x14ac:dyDescent="0.25">
      <c r="A545" s="16" t="str">
        <f ca="1">TEXT(Overig!A545,"000\,")&amp;TEXT(Overig!B545,"?00000000")&amp;TEXT(Overig!C545,""", ""@")&amp;SUBSTITUTE(TEXT(IF(ISTEXT(Overig!D545),Overig!D545,10*Overig!D545),""",""????0;"",""???-0;"",""????0;"", ////"""),"'","""")&amp;SUBSTITUTE(TEXT(Overig!E545,""",""?00;"",""?-00;"",""?00;"", //"""),"'","""")</f>
        <v>073, 19450701, 08.00, ////, 07</v>
      </c>
    </row>
    <row r="546" spans="1:1" x14ac:dyDescent="0.25">
      <c r="A546" s="16" t="str">
        <f ca="1">TEXT(Overig!A546,"000\,")&amp;TEXT(Overig!B546,"?00000000")&amp;TEXT(Overig!C546,""", ""@")&amp;SUBSTITUTE(TEXT(IF(ISTEXT(Overig!D546),Overig!D546,10*Overig!D546),""",""????0;"",""???-0;"",""????0;"", ////"""),"'","""")&amp;SUBSTITUTE(TEXT(Overig!E546,""",""?00;"",""?-00;"",""?00;"", //"""),"'","""")</f>
        <v>073, 19450701, 12.00, ////, 07</v>
      </c>
    </row>
    <row r="547" spans="1:1" x14ac:dyDescent="0.25">
      <c r="A547" s="16" t="str">
        <f ca="1">TEXT(Overig!A547,"000\,")&amp;TEXT(Overig!B547,"?00000000")&amp;TEXT(Overig!C547,""", ""@")&amp;SUBSTITUTE(TEXT(IF(ISTEXT(Overig!D547),Overig!D547,10*Overig!D547),""",""????0;"",""???-0;"",""????0;"", ////"""),"'","""")&amp;SUBSTITUTE(TEXT(Overig!E547,""",""?00;"",""?-00;"",""?00;"", //"""),"'","""")</f>
        <v>073, 19450701, 16.00, ////, 07</v>
      </c>
    </row>
    <row r="548" spans="1:1" x14ac:dyDescent="0.25">
      <c r="A548" s="16" t="str">
        <f ca="1">TEXT(Overig!A548,"000\,")&amp;TEXT(Overig!B548,"?00000000")&amp;TEXT(Overig!C548,""", ""@")&amp;SUBSTITUTE(TEXT(IF(ISTEXT(Overig!D548),Overig!D548,10*Overig!D548),""",""????0;"",""???-0;"",""????0;"", ////"""),"'","""")&amp;SUBSTITUTE(TEXT(Overig!E548,""",""?00;"",""?-00;"",""?00;"", //"""),"'","""")</f>
        <v>073, 19450702, 08.00, ////, 07</v>
      </c>
    </row>
    <row r="549" spans="1:1" x14ac:dyDescent="0.25">
      <c r="A549" s="16" t="str">
        <f ca="1">TEXT(Overig!A549,"000\,")&amp;TEXT(Overig!B549,"?00000000")&amp;TEXT(Overig!C549,""", ""@")&amp;SUBSTITUTE(TEXT(IF(ISTEXT(Overig!D549),Overig!D549,10*Overig!D549),""",""????0;"",""???-0;"",""????0;"", ////"""),"'","""")&amp;SUBSTITUTE(TEXT(Overig!E549,""",""?00;"",""?-00;"",""?00;"", //"""),"'","""")</f>
        <v>073, 19450702, 12.00, ////, 07</v>
      </c>
    </row>
    <row r="550" spans="1:1" x14ac:dyDescent="0.25">
      <c r="A550" s="16" t="str">
        <f ca="1">TEXT(Overig!A550,"000\,")&amp;TEXT(Overig!B550,"?00000000")&amp;TEXT(Overig!C550,""", ""@")&amp;SUBSTITUTE(TEXT(IF(ISTEXT(Overig!D550),Overig!D550,10*Overig!D550),""",""????0;"",""???-0;"",""????0;"", ////"""),"'","""")&amp;SUBSTITUTE(TEXT(Overig!E550,""",""?00;"",""?-00;"",""?00;"", //"""),"'","""")</f>
        <v>073, 19450702, 16.00, ////, 07</v>
      </c>
    </row>
    <row r="551" spans="1:1" x14ac:dyDescent="0.25">
      <c r="A551" s="16" t="str">
        <f ca="1">TEXT(Overig!A551,"000\,")&amp;TEXT(Overig!B551,"?00000000")&amp;TEXT(Overig!C551,""", ""@")&amp;SUBSTITUTE(TEXT(IF(ISTEXT(Overig!D551),Overig!D551,10*Overig!D551),""",""????0;"",""???-0;"",""????0;"", ////"""),"'","""")&amp;SUBSTITUTE(TEXT(Overig!E551,""",""?00;"",""?-00;"",""?00;"", //"""),"'","""")</f>
        <v>073, 19450703, 08.00, ////, 07</v>
      </c>
    </row>
    <row r="552" spans="1:1" x14ac:dyDescent="0.25">
      <c r="A552" s="16" t="str">
        <f ca="1">TEXT(Overig!A552,"000\,")&amp;TEXT(Overig!B552,"?00000000")&amp;TEXT(Overig!C552,""", ""@")&amp;SUBSTITUTE(TEXT(IF(ISTEXT(Overig!D552),Overig!D552,10*Overig!D552),""",""????0;"",""???-0;"",""????0;"", ////"""),"'","""")&amp;SUBSTITUTE(TEXT(Overig!E552,""",""?00;"",""?-00;"",""?00;"", //"""),"'","""")</f>
        <v>073, 19450703, 12.00, ////, 07</v>
      </c>
    </row>
    <row r="553" spans="1:1" x14ac:dyDescent="0.25">
      <c r="A553" s="16" t="str">
        <f ca="1">TEXT(Overig!A553,"000\,")&amp;TEXT(Overig!B553,"?00000000")&amp;TEXT(Overig!C553,""", ""@")&amp;SUBSTITUTE(TEXT(IF(ISTEXT(Overig!D553),Overig!D553,10*Overig!D553),""",""????0;"",""???-0;"",""????0;"", ////"""),"'","""")&amp;SUBSTITUTE(TEXT(Overig!E553,""",""?00;"",""?-00;"",""?00;"", //"""),"'","""")</f>
        <v>073, 19450703, 16.00, ////, 07</v>
      </c>
    </row>
    <row r="554" spans="1:1" x14ac:dyDescent="0.25">
      <c r="A554" s="16" t="str">
        <f ca="1">TEXT(Overig!A554,"000\,")&amp;TEXT(Overig!B554,"?00000000")&amp;TEXT(Overig!C554,""", ""@")&amp;SUBSTITUTE(TEXT(IF(ISTEXT(Overig!D554),Overig!D554,10*Overig!D554),""",""????0;"",""???-0;"",""????0;"", ////"""),"'","""")&amp;SUBSTITUTE(TEXT(Overig!E554,""",""?00;"",""?-00;"",""?00;"", //"""),"'","""")</f>
        <v>073, 19450704, 08.00, ////, 07</v>
      </c>
    </row>
    <row r="555" spans="1:1" x14ac:dyDescent="0.25">
      <c r="A555" s="16" t="str">
        <f ca="1">TEXT(Overig!A555,"000\,")&amp;TEXT(Overig!B555,"?00000000")&amp;TEXT(Overig!C555,""", ""@")&amp;SUBSTITUTE(TEXT(IF(ISTEXT(Overig!D555),Overig!D555,10*Overig!D555),""",""????0;"",""???-0;"",""????0;"", ////"""),"'","""")&amp;SUBSTITUTE(TEXT(Overig!E555,""",""?00;"",""?-00;"",""?00;"", //"""),"'","""")</f>
        <v>073, 19450704, 12.00, ////, 07</v>
      </c>
    </row>
    <row r="556" spans="1:1" x14ac:dyDescent="0.25">
      <c r="A556" s="16" t="str">
        <f ca="1">TEXT(Overig!A556,"000\,")&amp;TEXT(Overig!B556,"?00000000")&amp;TEXT(Overig!C556,""", ""@")&amp;SUBSTITUTE(TEXT(IF(ISTEXT(Overig!D556),Overig!D556,10*Overig!D556),""",""????0;"",""???-0;"",""????0;"", ////"""),"'","""")&amp;SUBSTITUTE(TEXT(Overig!E556,""",""?00;"",""?-00;"",""?00;"", //"""),"'","""")</f>
        <v>073, 19450704, 16.00, ////, 07</v>
      </c>
    </row>
    <row r="557" spans="1:1" x14ac:dyDescent="0.25">
      <c r="A557" s="16" t="str">
        <f ca="1">TEXT(Overig!A557,"000\,")&amp;TEXT(Overig!B557,"?00000000")&amp;TEXT(Overig!C557,""", ""@")&amp;SUBSTITUTE(TEXT(IF(ISTEXT(Overig!D557),Overig!D557,10*Overig!D557),""",""????0;"",""???-0;"",""????0;"", ////"""),"'","""")&amp;SUBSTITUTE(TEXT(Overig!E557,""",""?00;"",""?-00;"",""?00;"", //"""),"'","""")</f>
        <v>073, 19450705, 08.00, ////, 07</v>
      </c>
    </row>
    <row r="558" spans="1:1" x14ac:dyDescent="0.25">
      <c r="A558" s="16" t="str">
        <f ca="1">TEXT(Overig!A558,"000\,")&amp;TEXT(Overig!B558,"?00000000")&amp;TEXT(Overig!C558,""", ""@")&amp;SUBSTITUTE(TEXT(IF(ISTEXT(Overig!D558),Overig!D558,10*Overig!D558),""",""????0;"",""???-0;"",""????0;"", ////"""),"'","""")&amp;SUBSTITUTE(TEXT(Overig!E558,""",""?00;"",""?-00;"",""?00;"", //"""),"'","""")</f>
        <v>073, 19450705, 12.00, ////, 07</v>
      </c>
    </row>
    <row r="559" spans="1:1" x14ac:dyDescent="0.25">
      <c r="A559" s="16" t="str">
        <f ca="1">TEXT(Overig!A559,"000\,")&amp;TEXT(Overig!B559,"?00000000")&amp;TEXT(Overig!C559,""", ""@")&amp;SUBSTITUTE(TEXT(IF(ISTEXT(Overig!D559),Overig!D559,10*Overig!D559),""",""????0;"",""???-0;"",""????0;"", ////"""),"'","""")&amp;SUBSTITUTE(TEXT(Overig!E559,""",""?00;"",""?-00;"",""?00;"", //"""),"'","""")</f>
        <v>073, 19450705, 16.00, ////, 07</v>
      </c>
    </row>
    <row r="560" spans="1:1" x14ac:dyDescent="0.25">
      <c r="A560" s="16" t="str">
        <f ca="1">TEXT(Overig!A560,"000\,")&amp;TEXT(Overig!B560,"?00000000")&amp;TEXT(Overig!C560,""", ""@")&amp;SUBSTITUTE(TEXT(IF(ISTEXT(Overig!D560),Overig!D560,10*Overig!D560),""",""????0;"",""???-0;"",""????0;"", ////"""),"'","""")&amp;SUBSTITUTE(TEXT(Overig!E560,""",""?00;"",""?-00;"",""?00;"", //"""),"'","""")</f>
        <v>073, 19450706, 08.00, ////, 07</v>
      </c>
    </row>
    <row r="561" spans="1:1" x14ac:dyDescent="0.25">
      <c r="A561" s="16" t="str">
        <f ca="1">TEXT(Overig!A561,"000\,")&amp;TEXT(Overig!B561,"?00000000")&amp;TEXT(Overig!C561,""", ""@")&amp;SUBSTITUTE(TEXT(IF(ISTEXT(Overig!D561),Overig!D561,10*Overig!D561),""",""????0;"",""???-0;"",""????0;"", ////"""),"'","""")&amp;SUBSTITUTE(TEXT(Overig!E561,""",""?00;"",""?-00;"",""?00;"", //"""),"'","""")</f>
        <v>073, 19450706, 12.00, ////, 07</v>
      </c>
    </row>
    <row r="562" spans="1:1" x14ac:dyDescent="0.25">
      <c r="A562" s="16" t="str">
        <f ca="1">TEXT(Overig!A562,"000\,")&amp;TEXT(Overig!B562,"?00000000")&amp;TEXT(Overig!C562,""", ""@")&amp;SUBSTITUTE(TEXT(IF(ISTEXT(Overig!D562),Overig!D562,10*Overig!D562),""",""????0;"",""???-0;"",""????0;"", ////"""),"'","""")&amp;SUBSTITUTE(TEXT(Overig!E562,""",""?00;"",""?-00;"",""?00;"", //"""),"'","""")</f>
        <v>073, 19450706, 16.00, ////, 07</v>
      </c>
    </row>
    <row r="563" spans="1:1" x14ac:dyDescent="0.25">
      <c r="A563" s="16" t="str">
        <f ca="1">TEXT(Overig!A563,"000\,")&amp;TEXT(Overig!B563,"?00000000")&amp;TEXT(Overig!C563,""", ""@")&amp;SUBSTITUTE(TEXT(IF(ISTEXT(Overig!D563),Overig!D563,10*Overig!D563),""",""????0;"",""???-0;"",""????0;"", ////"""),"'","""")&amp;SUBSTITUTE(TEXT(Overig!E563,""",""?00;"",""?-00;"",""?00;"", //"""),"'","""")</f>
        <v>073, 19450707, 08.00, ////, 07</v>
      </c>
    </row>
    <row r="564" spans="1:1" x14ac:dyDescent="0.25">
      <c r="A564" s="16" t="str">
        <f ca="1">TEXT(Overig!A564,"000\,")&amp;TEXT(Overig!B564,"?00000000")&amp;TEXT(Overig!C564,""", ""@")&amp;SUBSTITUTE(TEXT(IF(ISTEXT(Overig!D564),Overig!D564,10*Overig!D564),""",""????0;"",""???-0;"",""????0;"", ////"""),"'","""")&amp;SUBSTITUTE(TEXT(Overig!E564,""",""?00;"",""?-00;"",""?00;"", //"""),"'","""")</f>
        <v>073, 19450707, 12.00, ////, 07</v>
      </c>
    </row>
    <row r="565" spans="1:1" x14ac:dyDescent="0.25">
      <c r="A565" s="16" t="str">
        <f ca="1">TEXT(Overig!A565,"000\,")&amp;TEXT(Overig!B565,"?00000000")&amp;TEXT(Overig!C565,""", ""@")&amp;SUBSTITUTE(TEXT(IF(ISTEXT(Overig!D565),Overig!D565,10*Overig!D565),""",""????0;"",""???-0;"",""????0;"", ////"""),"'","""")&amp;SUBSTITUTE(TEXT(Overig!E565,""",""?00;"",""?-00;"",""?00;"", //"""),"'","""")</f>
        <v>073, 19450707, 16.00, ////, 07</v>
      </c>
    </row>
    <row r="566" spans="1:1" x14ac:dyDescent="0.25">
      <c r="A566" s="16" t="str">
        <f ca="1">TEXT(Overig!A566,"000\,")&amp;TEXT(Overig!B566,"?00000000")&amp;TEXT(Overig!C566,""", ""@")&amp;SUBSTITUTE(TEXT(IF(ISTEXT(Overig!D566),Overig!D566,10*Overig!D566),""",""????0;"",""???-0;"",""????0;"", ////"""),"'","""")&amp;SUBSTITUTE(TEXT(Overig!E566,""",""?00;"",""?-00;"",""?00;"", //"""),"'","""")</f>
        <v>073, 19450708, 08.00, ////, 07</v>
      </c>
    </row>
    <row r="567" spans="1:1" x14ac:dyDescent="0.25">
      <c r="A567" s="16" t="str">
        <f ca="1">TEXT(Overig!A567,"000\,")&amp;TEXT(Overig!B567,"?00000000")&amp;TEXT(Overig!C567,""", ""@")&amp;SUBSTITUTE(TEXT(IF(ISTEXT(Overig!D567),Overig!D567,10*Overig!D567),""",""????0;"",""???-0;"",""????0;"", ////"""),"'","""")&amp;SUBSTITUTE(TEXT(Overig!E567,""",""?00;"",""?-00;"",""?00;"", //"""),"'","""")</f>
        <v>073, 19450708, 12.00, ////, 07</v>
      </c>
    </row>
    <row r="568" spans="1:1" x14ac:dyDescent="0.25">
      <c r="A568" s="16" t="str">
        <f ca="1">TEXT(Overig!A568,"000\,")&amp;TEXT(Overig!B568,"?00000000")&amp;TEXT(Overig!C568,""", ""@")&amp;SUBSTITUTE(TEXT(IF(ISTEXT(Overig!D568),Overig!D568,10*Overig!D568),""",""????0;"",""???-0;"",""????0;"", ////"""),"'","""")&amp;SUBSTITUTE(TEXT(Overig!E568,""",""?00;"",""?-00;"",""?00;"", //"""),"'","""")</f>
        <v>073, 19450708, 16.00, ////, 07</v>
      </c>
    </row>
    <row r="569" spans="1:1" x14ac:dyDescent="0.25">
      <c r="A569" s="16" t="str">
        <f ca="1">TEXT(Overig!A569,"000\,")&amp;TEXT(Overig!B569,"?00000000")&amp;TEXT(Overig!C569,""", ""@")&amp;SUBSTITUTE(TEXT(IF(ISTEXT(Overig!D569),Overig!D569,10*Overig!D569),""",""????0;"",""???-0;"",""????0;"", ////"""),"'","""")&amp;SUBSTITUTE(TEXT(Overig!E569,""",""?00;"",""?-00;"",""?00;"", //"""),"'","""")</f>
        <v>073, 19450709, 08.00, ////, 07</v>
      </c>
    </row>
    <row r="570" spans="1:1" x14ac:dyDescent="0.25">
      <c r="A570" s="16" t="str">
        <f ca="1">TEXT(Overig!A570,"000\,")&amp;TEXT(Overig!B570,"?00000000")&amp;TEXT(Overig!C570,""", ""@")&amp;SUBSTITUTE(TEXT(IF(ISTEXT(Overig!D570),Overig!D570,10*Overig!D570),""",""????0;"",""???-0;"",""????0;"", ////"""),"'","""")&amp;SUBSTITUTE(TEXT(Overig!E570,""",""?00;"",""?-00;"",""?00;"", //"""),"'","""")</f>
        <v>073, 19450709, 12.00, ////, 07</v>
      </c>
    </row>
    <row r="571" spans="1:1" x14ac:dyDescent="0.25">
      <c r="A571" s="16" t="str">
        <f ca="1">TEXT(Overig!A571,"000\,")&amp;TEXT(Overig!B571,"?00000000")&amp;TEXT(Overig!C571,""", ""@")&amp;SUBSTITUTE(TEXT(IF(ISTEXT(Overig!D571),Overig!D571,10*Overig!D571),""",""????0;"",""???-0;"",""????0;"", ////"""),"'","""")&amp;SUBSTITUTE(TEXT(Overig!E571,""",""?00;"",""?-00;"",""?00;"", //"""),"'","""")</f>
        <v>073, 19450709, 16.00, ////, 07</v>
      </c>
    </row>
    <row r="572" spans="1:1" x14ac:dyDescent="0.25">
      <c r="A572" s="16" t="str">
        <f ca="1">TEXT(Overig!A572,"000\,")&amp;TEXT(Overig!B572,"?00000000")&amp;TEXT(Overig!C572,""", ""@")&amp;SUBSTITUTE(TEXT(IF(ISTEXT(Overig!D572),Overig!D572,10*Overig!D572),""",""????0;"",""???-0;"",""????0;"", ////"""),"'","""")&amp;SUBSTITUTE(TEXT(Overig!E572,""",""?00;"",""?-00;"",""?00;"", //"""),"'","""")</f>
        <v>073, 19450710, 08.00, ////, 07</v>
      </c>
    </row>
    <row r="573" spans="1:1" x14ac:dyDescent="0.25">
      <c r="A573" s="16" t="str">
        <f ca="1">TEXT(Overig!A573,"000\,")&amp;TEXT(Overig!B573,"?00000000")&amp;TEXT(Overig!C573,""", ""@")&amp;SUBSTITUTE(TEXT(IF(ISTEXT(Overig!D573),Overig!D573,10*Overig!D573),""",""????0;"",""???-0;"",""????0;"", ////"""),"'","""")&amp;SUBSTITUTE(TEXT(Overig!E573,""",""?00;"",""?-00;"",""?00;"", //"""),"'","""")</f>
        <v>073, 19450710, 12.00, ////, 07</v>
      </c>
    </row>
    <row r="574" spans="1:1" x14ac:dyDescent="0.25">
      <c r="A574" s="16" t="str">
        <f ca="1">TEXT(Overig!A574,"000\,")&amp;TEXT(Overig!B574,"?00000000")&amp;TEXT(Overig!C574,""", ""@")&amp;SUBSTITUTE(TEXT(IF(ISTEXT(Overig!D574),Overig!D574,10*Overig!D574),""",""????0;"",""???-0;"",""????0;"", ////"""),"'","""")&amp;SUBSTITUTE(TEXT(Overig!E574,""",""?00;"",""?-00;"",""?00;"", //"""),"'","""")</f>
        <v>073, 19450710, 16.00, ////, 07</v>
      </c>
    </row>
    <row r="575" spans="1:1" x14ac:dyDescent="0.25">
      <c r="A575" s="16" t="str">
        <f ca="1">TEXT(Overig!A575,"000\,")&amp;TEXT(Overig!B575,"?00000000")&amp;TEXT(Overig!C575,""", ""@")&amp;SUBSTITUTE(TEXT(IF(ISTEXT(Overig!D575),Overig!D575,10*Overig!D575),""",""????0;"",""???-0;"",""????0;"", ////"""),"'","""")&amp;SUBSTITUTE(TEXT(Overig!E575,""",""?00;"",""?-00;"",""?00;"", //"""),"'","""")</f>
        <v>073, 19450711, 08.00, ////, 07</v>
      </c>
    </row>
    <row r="576" spans="1:1" x14ac:dyDescent="0.25">
      <c r="A576" s="16" t="str">
        <f ca="1">TEXT(Overig!A576,"000\,")&amp;TEXT(Overig!B576,"?00000000")&amp;TEXT(Overig!C576,""", ""@")&amp;SUBSTITUTE(TEXT(IF(ISTEXT(Overig!D576),Overig!D576,10*Overig!D576),""",""????0;"",""???-0;"",""????0;"", ////"""),"'","""")&amp;SUBSTITUTE(TEXT(Overig!E576,""",""?00;"",""?-00;"",""?00;"", //"""),"'","""")</f>
        <v>073, 19450711, 12.00, ////, 07</v>
      </c>
    </row>
    <row r="577" spans="1:1" x14ac:dyDescent="0.25">
      <c r="A577" s="16" t="str">
        <f ca="1">TEXT(Overig!A577,"000\,")&amp;TEXT(Overig!B577,"?00000000")&amp;TEXT(Overig!C577,""", ""@")&amp;SUBSTITUTE(TEXT(IF(ISTEXT(Overig!D577),Overig!D577,10*Overig!D577),""",""????0;"",""???-0;"",""????0;"", ////"""),"'","""")&amp;SUBSTITUTE(TEXT(Overig!E577,""",""?00;"",""?-00;"",""?00;"", //"""),"'","""")</f>
        <v>073, 19450711, 16.00, ////, 07</v>
      </c>
    </row>
    <row r="578" spans="1:1" x14ac:dyDescent="0.25">
      <c r="A578" s="16" t="str">
        <f ca="1">TEXT(Overig!A578,"000\,")&amp;TEXT(Overig!B578,"?00000000")&amp;TEXT(Overig!C578,""", ""@")&amp;SUBSTITUTE(TEXT(IF(ISTEXT(Overig!D578),Overig!D578,10*Overig!D578),""",""????0;"",""???-0;"",""????0;"", ////"""),"'","""")&amp;SUBSTITUTE(TEXT(Overig!E578,""",""?00;"",""?-00;"",""?00;"", //"""),"'","""")</f>
        <v>073, 19450712, 08.00, ////, 07</v>
      </c>
    </row>
    <row r="579" spans="1:1" x14ac:dyDescent="0.25">
      <c r="A579" s="16" t="str">
        <f ca="1">TEXT(Overig!A579,"000\,")&amp;TEXT(Overig!B579,"?00000000")&amp;TEXT(Overig!C579,""", ""@")&amp;SUBSTITUTE(TEXT(IF(ISTEXT(Overig!D579),Overig!D579,10*Overig!D579),""",""????0;"",""???-0;"",""????0;"", ////"""),"'","""")&amp;SUBSTITUTE(TEXT(Overig!E579,""",""?00;"",""?-00;"",""?00;"", //"""),"'","""")</f>
        <v>073, 19450712, 12.00, ////, 07</v>
      </c>
    </row>
    <row r="580" spans="1:1" x14ac:dyDescent="0.25">
      <c r="A580" s="16" t="str">
        <f ca="1">TEXT(Overig!A580,"000\,")&amp;TEXT(Overig!B580,"?00000000")&amp;TEXT(Overig!C580,""", ""@")&amp;SUBSTITUTE(TEXT(IF(ISTEXT(Overig!D580),Overig!D580,10*Overig!D580),""",""????0;"",""???-0;"",""????0;"", ////"""),"'","""")&amp;SUBSTITUTE(TEXT(Overig!E580,""",""?00;"",""?-00;"",""?00;"", //"""),"'","""")</f>
        <v>073, 19450712, 16.00, ////, 07</v>
      </c>
    </row>
    <row r="581" spans="1:1" x14ac:dyDescent="0.25">
      <c r="A581" s="16" t="str">
        <f ca="1">TEXT(Overig!A581,"000\,")&amp;TEXT(Overig!B581,"?00000000")&amp;TEXT(Overig!C581,""", ""@")&amp;SUBSTITUTE(TEXT(IF(ISTEXT(Overig!D581),Overig!D581,10*Overig!D581),""",""????0;"",""???-0;"",""????0;"", ////"""),"'","""")&amp;SUBSTITUTE(TEXT(Overig!E581,""",""?00;"",""?-00;"",""?00;"", //"""),"'","""")</f>
        <v>073, 19450713, 08.00, ////, 07</v>
      </c>
    </row>
    <row r="582" spans="1:1" x14ac:dyDescent="0.25">
      <c r="A582" s="16" t="str">
        <f ca="1">TEXT(Overig!A582,"000\,")&amp;TEXT(Overig!B582,"?00000000")&amp;TEXT(Overig!C582,""", ""@")&amp;SUBSTITUTE(TEXT(IF(ISTEXT(Overig!D582),Overig!D582,10*Overig!D582),""",""????0;"",""???-0;"",""????0;"", ////"""),"'","""")&amp;SUBSTITUTE(TEXT(Overig!E582,""",""?00;"",""?-00;"",""?00;"", //"""),"'","""")</f>
        <v>073, 19450713, 12.00, ////, 07</v>
      </c>
    </row>
    <row r="583" spans="1:1" x14ac:dyDescent="0.25">
      <c r="A583" s="16" t="str">
        <f ca="1">TEXT(Overig!A583,"000\,")&amp;TEXT(Overig!B583,"?00000000")&amp;TEXT(Overig!C583,""", ""@")&amp;SUBSTITUTE(TEXT(IF(ISTEXT(Overig!D583),Overig!D583,10*Overig!D583),""",""????0;"",""???-0;"",""????0;"", ////"""),"'","""")&amp;SUBSTITUTE(TEXT(Overig!E583,""",""?00;"",""?-00;"",""?00;"", //"""),"'","""")</f>
        <v>073, 19450713, 16.00, ////, 07</v>
      </c>
    </row>
    <row r="584" spans="1:1" x14ac:dyDescent="0.25">
      <c r="A584" s="16" t="str">
        <f ca="1">TEXT(Overig!A584,"000\,")&amp;TEXT(Overig!B584,"?00000000")&amp;TEXT(Overig!C584,""", ""@")&amp;SUBSTITUTE(TEXT(IF(ISTEXT(Overig!D584),Overig!D584,10*Overig!D584),""",""????0;"",""???-0;"",""????0;"", ////"""),"'","""")&amp;SUBSTITUTE(TEXT(Overig!E584,""",""?00;"",""?-00;"",""?00;"", //"""),"'","""")</f>
        <v>073, 19450714, 08.00, ////, 07</v>
      </c>
    </row>
    <row r="585" spans="1:1" x14ac:dyDescent="0.25">
      <c r="A585" s="16" t="str">
        <f ca="1">TEXT(Overig!A585,"000\,")&amp;TEXT(Overig!B585,"?00000000")&amp;TEXT(Overig!C585,""", ""@")&amp;SUBSTITUTE(TEXT(IF(ISTEXT(Overig!D585),Overig!D585,10*Overig!D585),""",""????0;"",""???-0;"",""????0;"", ////"""),"'","""")&amp;SUBSTITUTE(TEXT(Overig!E585,""",""?00;"",""?-00;"",""?00;"", //"""),"'","""")</f>
        <v>073, 19450714, 12.00, ////, 07</v>
      </c>
    </row>
    <row r="586" spans="1:1" x14ac:dyDescent="0.25">
      <c r="A586" s="16" t="str">
        <f ca="1">TEXT(Overig!A586,"000\,")&amp;TEXT(Overig!B586,"?00000000")&amp;TEXT(Overig!C586,""", ""@")&amp;SUBSTITUTE(TEXT(IF(ISTEXT(Overig!D586),Overig!D586,10*Overig!D586),""",""????0;"",""???-0;"",""????0;"", ////"""),"'","""")&amp;SUBSTITUTE(TEXT(Overig!E586,""",""?00;"",""?-00;"",""?00;"", //"""),"'","""")</f>
        <v>073, 19450714, 16.00, ////, 07</v>
      </c>
    </row>
    <row r="587" spans="1:1" x14ac:dyDescent="0.25">
      <c r="A587" s="16" t="str">
        <f ca="1">TEXT(Overig!A587,"000\,")&amp;TEXT(Overig!B587,"?00000000")&amp;TEXT(Overig!C587,""", ""@")&amp;SUBSTITUTE(TEXT(IF(ISTEXT(Overig!D587),Overig!D587,10*Overig!D587),""",""????0;"",""???-0;"",""????0;"", ////"""),"'","""")&amp;SUBSTITUTE(TEXT(Overig!E587,""",""?00;"",""?-00;"",""?00;"", //"""),"'","""")</f>
        <v>073, 19450715, 08.00, ////, 07</v>
      </c>
    </row>
    <row r="588" spans="1:1" x14ac:dyDescent="0.25">
      <c r="A588" s="16" t="str">
        <f ca="1">TEXT(Overig!A588,"000\,")&amp;TEXT(Overig!B588,"?00000000")&amp;TEXT(Overig!C588,""", ""@")&amp;SUBSTITUTE(TEXT(IF(ISTEXT(Overig!D588),Overig!D588,10*Overig!D588),""",""????0;"",""???-0;"",""????0;"", ////"""),"'","""")&amp;SUBSTITUTE(TEXT(Overig!E588,""",""?00;"",""?-00;"",""?00;"", //"""),"'","""")</f>
        <v>073, 19450715, 12.00, ////, 07</v>
      </c>
    </row>
    <row r="589" spans="1:1" x14ac:dyDescent="0.25">
      <c r="A589" s="16" t="str">
        <f ca="1">TEXT(Overig!A589,"000\,")&amp;TEXT(Overig!B589,"?00000000")&amp;TEXT(Overig!C589,""", ""@")&amp;SUBSTITUTE(TEXT(IF(ISTEXT(Overig!D589),Overig!D589,10*Overig!D589),""",""????0;"",""???-0;"",""????0;"", ////"""),"'","""")&amp;SUBSTITUTE(TEXT(Overig!E589,""",""?00;"",""?-00;"",""?00;"", //"""),"'","""")</f>
        <v>073, 19450715, 16.00, ////, 07</v>
      </c>
    </row>
    <row r="590" spans="1:1" x14ac:dyDescent="0.25">
      <c r="A590" s="16" t="str">
        <f ca="1">TEXT(Overig!A590,"000\,")&amp;TEXT(Overig!B590,"?00000000")&amp;TEXT(Overig!C590,""", ""@")&amp;SUBSTITUTE(TEXT(IF(ISTEXT(Overig!D590),Overig!D590,10*Overig!D590),""",""????0;"",""???-0;"",""????0;"", ////"""),"'","""")&amp;SUBSTITUTE(TEXT(Overig!E590,""",""?00;"",""?-00;"",""?00;"", //"""),"'","""")</f>
        <v>073, 19450716, 08.00, ////, 07</v>
      </c>
    </row>
    <row r="591" spans="1:1" x14ac:dyDescent="0.25">
      <c r="A591" s="16" t="str">
        <f ca="1">TEXT(Overig!A591,"000\,")&amp;TEXT(Overig!B591,"?00000000")&amp;TEXT(Overig!C591,""", ""@")&amp;SUBSTITUTE(TEXT(IF(ISTEXT(Overig!D591),Overig!D591,10*Overig!D591),""",""????0;"",""???-0;"",""????0;"", ////"""),"'","""")&amp;SUBSTITUTE(TEXT(Overig!E591,""",""?00;"",""?-00;"",""?00;"", //"""),"'","""")</f>
        <v>073, 19450716, 12.00, ////, 07</v>
      </c>
    </row>
    <row r="592" spans="1:1" x14ac:dyDescent="0.25">
      <c r="A592" s="16" t="str">
        <f ca="1">TEXT(Overig!A592,"000\,")&amp;TEXT(Overig!B592,"?00000000")&amp;TEXT(Overig!C592,""", ""@")&amp;SUBSTITUTE(TEXT(IF(ISTEXT(Overig!D592),Overig!D592,10*Overig!D592),""",""????0;"",""???-0;"",""????0;"", ////"""),"'","""")&amp;SUBSTITUTE(TEXT(Overig!E592,""",""?00;"",""?-00;"",""?00;"", //"""),"'","""")</f>
        <v>073, 19450716, 16.00, ////, 07</v>
      </c>
    </row>
    <row r="593" spans="1:1" x14ac:dyDescent="0.25">
      <c r="A593" s="16" t="str">
        <f ca="1">TEXT(Overig!A593,"000\,")&amp;TEXT(Overig!B593,"?00000000")&amp;TEXT(Overig!C593,""", ""@")&amp;SUBSTITUTE(TEXT(IF(ISTEXT(Overig!D593),Overig!D593,10*Overig!D593),""",""????0;"",""???-0;"",""????0;"", ////"""),"'","""")&amp;SUBSTITUTE(TEXT(Overig!E593,""",""?00;"",""?-00;"",""?00;"", //"""),"'","""")</f>
        <v>073, 19450717, 08.00, ////, 07</v>
      </c>
    </row>
    <row r="594" spans="1:1" x14ac:dyDescent="0.25">
      <c r="A594" s="16" t="str">
        <f ca="1">TEXT(Overig!A594,"000\,")&amp;TEXT(Overig!B594,"?00000000")&amp;TEXT(Overig!C594,""", ""@")&amp;SUBSTITUTE(TEXT(IF(ISTEXT(Overig!D594),Overig!D594,10*Overig!D594),""",""????0;"",""???-0;"",""????0;"", ////"""),"'","""")&amp;SUBSTITUTE(TEXT(Overig!E594,""",""?00;"",""?-00;"",""?00;"", //"""),"'","""")</f>
        <v>073, 19450717, 12.00, ////, 07</v>
      </c>
    </row>
    <row r="595" spans="1:1" x14ac:dyDescent="0.25">
      <c r="A595" s="16" t="str">
        <f ca="1">TEXT(Overig!A595,"000\,")&amp;TEXT(Overig!B595,"?00000000")&amp;TEXT(Overig!C595,""", ""@")&amp;SUBSTITUTE(TEXT(IF(ISTEXT(Overig!D595),Overig!D595,10*Overig!D595),""",""????0;"",""???-0;"",""????0;"", ////"""),"'","""")&amp;SUBSTITUTE(TEXT(Overig!E595,""",""?00;"",""?-00;"",""?00;"", //"""),"'","""")</f>
        <v>073, 19450717, 16.00, ////, 07</v>
      </c>
    </row>
    <row r="596" spans="1:1" x14ac:dyDescent="0.25">
      <c r="A596" s="16" t="str">
        <f ca="1">TEXT(Overig!A596,"000\,")&amp;TEXT(Overig!B596,"?00000000")&amp;TEXT(Overig!C596,""", ""@")&amp;SUBSTITUTE(TEXT(IF(ISTEXT(Overig!D596),Overig!D596,10*Overig!D596),""",""????0;"",""???-0;"",""????0;"", ////"""),"'","""")&amp;SUBSTITUTE(TEXT(Overig!E596,""",""?00;"",""?-00;"",""?00;"", //"""),"'","""")</f>
        <v>073, 19450718, 08.00, ////, 07</v>
      </c>
    </row>
    <row r="597" spans="1:1" x14ac:dyDescent="0.25">
      <c r="A597" s="16" t="str">
        <f ca="1">TEXT(Overig!A597,"000\,")&amp;TEXT(Overig!B597,"?00000000")&amp;TEXT(Overig!C597,""", ""@")&amp;SUBSTITUTE(TEXT(IF(ISTEXT(Overig!D597),Overig!D597,10*Overig!D597),""",""????0;"",""???-0;"",""????0;"", ////"""),"'","""")&amp;SUBSTITUTE(TEXT(Overig!E597,""",""?00;"",""?-00;"",""?00;"", //"""),"'","""")</f>
        <v>073, 19450718, 12.00, ////, 07</v>
      </c>
    </row>
    <row r="598" spans="1:1" x14ac:dyDescent="0.25">
      <c r="A598" s="16" t="str">
        <f ca="1">TEXT(Overig!A598,"000\,")&amp;TEXT(Overig!B598,"?00000000")&amp;TEXT(Overig!C598,""", ""@")&amp;SUBSTITUTE(TEXT(IF(ISTEXT(Overig!D598),Overig!D598,10*Overig!D598),""",""????0;"",""???-0;"",""????0;"", ////"""),"'","""")&amp;SUBSTITUTE(TEXT(Overig!E598,""",""?00;"",""?-00;"",""?00;"", //"""),"'","""")</f>
        <v>073, 19450718, 16.00, ////, 07</v>
      </c>
    </row>
    <row r="599" spans="1:1" x14ac:dyDescent="0.25">
      <c r="A599" s="16" t="str">
        <f ca="1">TEXT(Overig!A599,"000\,")&amp;TEXT(Overig!B599,"?00000000")&amp;TEXT(Overig!C599,""", ""@")&amp;SUBSTITUTE(TEXT(IF(ISTEXT(Overig!D599),Overig!D599,10*Overig!D599),""",""????0;"",""???-0;"",""????0;"", ////"""),"'","""")&amp;SUBSTITUTE(TEXT(Overig!E599,""",""?00;"",""?-00;"",""?00;"", //"""),"'","""")</f>
        <v>073, 19450719, 08.00, ////, 07</v>
      </c>
    </row>
    <row r="600" spans="1:1" x14ac:dyDescent="0.25">
      <c r="A600" s="16" t="str">
        <f ca="1">TEXT(Overig!A600,"000\,")&amp;TEXT(Overig!B600,"?00000000")&amp;TEXT(Overig!C600,""", ""@")&amp;SUBSTITUTE(TEXT(IF(ISTEXT(Overig!D600),Overig!D600,10*Overig!D600),""",""????0;"",""???-0;"",""????0;"", ////"""),"'","""")&amp;SUBSTITUTE(TEXT(Overig!E600,""",""?00;"",""?-00;"",""?00;"", //"""),"'","""")</f>
        <v>073, 19450719, 12.00, ////, 07</v>
      </c>
    </row>
    <row r="601" spans="1:1" x14ac:dyDescent="0.25">
      <c r="A601" s="16" t="str">
        <f ca="1">TEXT(Overig!A601,"000\,")&amp;TEXT(Overig!B601,"?00000000")&amp;TEXT(Overig!C601,""", ""@")&amp;SUBSTITUTE(TEXT(IF(ISTEXT(Overig!D601),Overig!D601,10*Overig!D601),""",""????0;"",""???-0;"",""????0;"", ////"""),"'","""")&amp;SUBSTITUTE(TEXT(Overig!E601,""",""?00;"",""?-00;"",""?00;"", //"""),"'","""")</f>
        <v>073, 19450719, 16.00, ////, 07</v>
      </c>
    </row>
    <row r="602" spans="1:1" x14ac:dyDescent="0.25">
      <c r="A602" s="16" t="str">
        <f ca="1">TEXT(Overig!A602,"000\,")&amp;TEXT(Overig!B602,"?00000000")&amp;TEXT(Overig!C602,""", ""@")&amp;SUBSTITUTE(TEXT(IF(ISTEXT(Overig!D602),Overig!D602,10*Overig!D602),""",""????0;"",""???-0;"",""????0;"", ////"""),"'","""")&amp;SUBSTITUTE(TEXT(Overig!E602,""",""?00;"",""?-00;"",""?00;"", //"""),"'","""")</f>
        <v>073, 19450720, 08.00, ////, 07</v>
      </c>
    </row>
    <row r="603" spans="1:1" x14ac:dyDescent="0.25">
      <c r="A603" s="16" t="str">
        <f ca="1">TEXT(Overig!A603,"000\,")&amp;TEXT(Overig!B603,"?00000000")&amp;TEXT(Overig!C603,""", ""@")&amp;SUBSTITUTE(TEXT(IF(ISTEXT(Overig!D603),Overig!D603,10*Overig!D603),""",""????0;"",""???-0;"",""????0;"", ////"""),"'","""")&amp;SUBSTITUTE(TEXT(Overig!E603,""",""?00;"",""?-00;"",""?00;"", //"""),"'","""")</f>
        <v>073, 19450720, 12.00, ////, 07</v>
      </c>
    </row>
    <row r="604" spans="1:1" x14ac:dyDescent="0.25">
      <c r="A604" s="16" t="str">
        <f ca="1">TEXT(Overig!A604,"000\,")&amp;TEXT(Overig!B604,"?00000000")&amp;TEXT(Overig!C604,""", ""@")&amp;SUBSTITUTE(TEXT(IF(ISTEXT(Overig!D604),Overig!D604,10*Overig!D604),""",""????0;"",""???-0;"",""????0;"", ////"""),"'","""")&amp;SUBSTITUTE(TEXT(Overig!E604,""",""?00;"",""?-00;"",""?00;"", //"""),"'","""")</f>
        <v>073, 19450720, 16.00, ////, 07</v>
      </c>
    </row>
    <row r="605" spans="1:1" x14ac:dyDescent="0.25">
      <c r="A605" s="16" t="str">
        <f ca="1">TEXT(Overig!A605,"000\,")&amp;TEXT(Overig!B605,"?00000000")&amp;TEXT(Overig!C605,""", ""@")&amp;SUBSTITUTE(TEXT(IF(ISTEXT(Overig!D605),Overig!D605,10*Overig!D605),""",""????0;"",""???-0;"",""????0;"", ////"""),"'","""")&amp;SUBSTITUTE(TEXT(Overig!E605,""",""?00;"",""?-00;"",""?00;"", //"""),"'","""")</f>
        <v>073, 19450721, 08.00, ////, 07</v>
      </c>
    </row>
    <row r="606" spans="1:1" x14ac:dyDescent="0.25">
      <c r="A606" s="16" t="str">
        <f ca="1">TEXT(Overig!A606,"000\,")&amp;TEXT(Overig!B606,"?00000000")&amp;TEXT(Overig!C606,""", ""@")&amp;SUBSTITUTE(TEXT(IF(ISTEXT(Overig!D606),Overig!D606,10*Overig!D606),""",""????0;"",""???-0;"",""????0;"", ////"""),"'","""")&amp;SUBSTITUTE(TEXT(Overig!E606,""",""?00;"",""?-00;"",""?00;"", //"""),"'","""")</f>
        <v>073, 19450721, 12.00, ////, 07</v>
      </c>
    </row>
    <row r="607" spans="1:1" x14ac:dyDescent="0.25">
      <c r="A607" s="16" t="str">
        <f ca="1">TEXT(Overig!A607,"000\,")&amp;TEXT(Overig!B607,"?00000000")&amp;TEXT(Overig!C607,""", ""@")&amp;SUBSTITUTE(TEXT(IF(ISTEXT(Overig!D607),Overig!D607,10*Overig!D607),""",""????0;"",""???-0;"",""????0;"", ////"""),"'","""")&amp;SUBSTITUTE(TEXT(Overig!E607,""",""?00;"",""?-00;"",""?00;"", //"""),"'","""")</f>
        <v>073, 19450721, 16.00, ////, 07</v>
      </c>
    </row>
    <row r="608" spans="1:1" x14ac:dyDescent="0.25">
      <c r="A608" s="16" t="str">
        <f ca="1">TEXT(Overig!A608,"000\,")&amp;TEXT(Overig!B608,"?00000000")&amp;TEXT(Overig!C608,""", ""@")&amp;SUBSTITUTE(TEXT(IF(ISTEXT(Overig!D608),Overig!D608,10*Overig!D608),""",""????0;"",""???-0;"",""????0;"", ////"""),"'","""")&amp;SUBSTITUTE(TEXT(Overig!E608,""",""?00;"",""?-00;"",""?00;"", //"""),"'","""")</f>
        <v>073, 19450722, 08.00, ////, 07</v>
      </c>
    </row>
    <row r="609" spans="1:1" x14ac:dyDescent="0.25">
      <c r="A609" s="16" t="str">
        <f ca="1">TEXT(Overig!A609,"000\,")&amp;TEXT(Overig!B609,"?00000000")&amp;TEXT(Overig!C609,""", ""@")&amp;SUBSTITUTE(TEXT(IF(ISTEXT(Overig!D609),Overig!D609,10*Overig!D609),""",""????0;"",""???-0;"",""????0;"", ////"""),"'","""")&amp;SUBSTITUTE(TEXT(Overig!E609,""",""?00;"",""?-00;"",""?00;"", //"""),"'","""")</f>
        <v>073, 19450722, 12.00, ////, 07</v>
      </c>
    </row>
    <row r="610" spans="1:1" x14ac:dyDescent="0.25">
      <c r="A610" s="16" t="str">
        <f ca="1">TEXT(Overig!A610,"000\,")&amp;TEXT(Overig!B610,"?00000000")&amp;TEXT(Overig!C610,""", ""@")&amp;SUBSTITUTE(TEXT(IF(ISTEXT(Overig!D610),Overig!D610,10*Overig!D610),""",""????0;"",""???-0;"",""????0;"", ////"""),"'","""")&amp;SUBSTITUTE(TEXT(Overig!E610,""",""?00;"",""?-00;"",""?00;"", //"""),"'","""")</f>
        <v>073, 19450722, 16.00, ////, 07</v>
      </c>
    </row>
    <row r="611" spans="1:1" x14ac:dyDescent="0.25">
      <c r="A611" s="16" t="str">
        <f ca="1">TEXT(Overig!A611,"000\,")&amp;TEXT(Overig!B611,"?00000000")&amp;TEXT(Overig!C611,""", ""@")&amp;SUBSTITUTE(TEXT(IF(ISTEXT(Overig!D611),Overig!D611,10*Overig!D611),""",""????0;"",""???-0;"",""????0;"", ////"""),"'","""")&amp;SUBSTITUTE(TEXT(Overig!E611,""",""?00;"",""?-00;"",""?00;"", //"""),"'","""")</f>
        <v>073, 19450723, 08.00, ////, 07</v>
      </c>
    </row>
    <row r="612" spans="1:1" x14ac:dyDescent="0.25">
      <c r="A612" s="16" t="str">
        <f ca="1">TEXT(Overig!A612,"000\,")&amp;TEXT(Overig!B612,"?00000000")&amp;TEXT(Overig!C612,""", ""@")&amp;SUBSTITUTE(TEXT(IF(ISTEXT(Overig!D612),Overig!D612,10*Overig!D612),""",""????0;"",""???-0;"",""????0;"", ////"""),"'","""")&amp;SUBSTITUTE(TEXT(Overig!E612,""",""?00;"",""?-00;"",""?00;"", //"""),"'","""")</f>
        <v>073, 19450723, 12.00, ////, 07</v>
      </c>
    </row>
    <row r="613" spans="1:1" x14ac:dyDescent="0.25">
      <c r="A613" s="16" t="str">
        <f ca="1">TEXT(Overig!A613,"000\,")&amp;TEXT(Overig!B613,"?00000000")&amp;TEXT(Overig!C613,""", ""@")&amp;SUBSTITUTE(TEXT(IF(ISTEXT(Overig!D613),Overig!D613,10*Overig!D613),""",""????0;"",""???-0;"",""????0;"", ////"""),"'","""")&amp;SUBSTITUTE(TEXT(Overig!E613,""",""?00;"",""?-00;"",""?00;"", //"""),"'","""")</f>
        <v>073, 19450723, 16.00, ////, 07</v>
      </c>
    </row>
    <row r="614" spans="1:1" x14ac:dyDescent="0.25">
      <c r="A614" s="16" t="str">
        <f ca="1">TEXT(Overig!A614,"000\,")&amp;TEXT(Overig!B614,"?00000000")&amp;TEXT(Overig!C614,""", ""@")&amp;SUBSTITUTE(TEXT(IF(ISTEXT(Overig!D614),Overig!D614,10*Overig!D614),""",""????0;"",""???-0;"",""????0;"", ////"""),"'","""")&amp;SUBSTITUTE(TEXT(Overig!E614,""",""?00;"",""?-00;"",""?00;"", //"""),"'","""")</f>
        <v>073, 19450724, 08.00, ////, 07</v>
      </c>
    </row>
    <row r="615" spans="1:1" x14ac:dyDescent="0.25">
      <c r="A615" s="16" t="str">
        <f ca="1">TEXT(Overig!A615,"000\,")&amp;TEXT(Overig!B615,"?00000000")&amp;TEXT(Overig!C615,""", ""@")&amp;SUBSTITUTE(TEXT(IF(ISTEXT(Overig!D615),Overig!D615,10*Overig!D615),""",""????0;"",""???-0;"",""????0;"", ////"""),"'","""")&amp;SUBSTITUTE(TEXT(Overig!E615,""",""?00;"",""?-00;"",""?00;"", //"""),"'","""")</f>
        <v>073, 19450724, 12.00, ////, 07</v>
      </c>
    </row>
    <row r="616" spans="1:1" x14ac:dyDescent="0.25">
      <c r="A616" s="16" t="str">
        <f ca="1">TEXT(Overig!A616,"000\,")&amp;TEXT(Overig!B616,"?00000000")&amp;TEXT(Overig!C616,""", ""@")&amp;SUBSTITUTE(TEXT(IF(ISTEXT(Overig!D616),Overig!D616,10*Overig!D616),""",""????0;"",""???-0;"",""????0;"", ////"""),"'","""")&amp;SUBSTITUTE(TEXT(Overig!E616,""",""?00;"",""?-00;"",""?00;"", //"""),"'","""")</f>
        <v>073, 19450724, 16.00, ////, 07</v>
      </c>
    </row>
    <row r="617" spans="1:1" x14ac:dyDescent="0.25">
      <c r="A617" s="16" t="str">
        <f ca="1">TEXT(Overig!A617,"000\,")&amp;TEXT(Overig!B617,"?00000000")&amp;TEXT(Overig!C617,""", ""@")&amp;SUBSTITUTE(TEXT(IF(ISTEXT(Overig!D617),Overig!D617,10*Overig!D617),""",""????0;"",""???-0;"",""????0;"", ////"""),"'","""")&amp;SUBSTITUTE(TEXT(Overig!E617,""",""?00;"",""?-00;"",""?00;"", //"""),"'","""")</f>
        <v>073, 19450725, 08.00, ////, 07</v>
      </c>
    </row>
    <row r="618" spans="1:1" x14ac:dyDescent="0.25">
      <c r="A618" s="16" t="str">
        <f ca="1">TEXT(Overig!A618,"000\,")&amp;TEXT(Overig!B618,"?00000000")&amp;TEXT(Overig!C618,""", ""@")&amp;SUBSTITUTE(TEXT(IF(ISTEXT(Overig!D618),Overig!D618,10*Overig!D618),""",""????0;"",""???-0;"",""????0;"", ////"""),"'","""")&amp;SUBSTITUTE(TEXT(Overig!E618,""",""?00;"",""?-00;"",""?00;"", //"""),"'","""")</f>
        <v>073, 19450725, 12.00, ////, 07</v>
      </c>
    </row>
    <row r="619" spans="1:1" x14ac:dyDescent="0.25">
      <c r="A619" s="16" t="str">
        <f ca="1">TEXT(Overig!A619,"000\,")&amp;TEXT(Overig!B619,"?00000000")&amp;TEXT(Overig!C619,""", ""@")&amp;SUBSTITUTE(TEXT(IF(ISTEXT(Overig!D619),Overig!D619,10*Overig!D619),""",""????0;"",""???-0;"",""????0;"", ////"""),"'","""")&amp;SUBSTITUTE(TEXT(Overig!E619,""",""?00;"",""?-00;"",""?00;"", //"""),"'","""")</f>
        <v>073, 19450725, 16.00, ////, 07</v>
      </c>
    </row>
    <row r="620" spans="1:1" x14ac:dyDescent="0.25">
      <c r="A620" s="16" t="str">
        <f ca="1">TEXT(Overig!A620,"000\,")&amp;TEXT(Overig!B620,"?00000000")&amp;TEXT(Overig!C620,""", ""@")&amp;SUBSTITUTE(TEXT(IF(ISTEXT(Overig!D620),Overig!D620,10*Overig!D620),""",""????0;"",""???-0;"",""????0;"", ////"""),"'","""")&amp;SUBSTITUTE(TEXT(Overig!E620,""",""?00;"",""?-00;"",""?00;"", //"""),"'","""")</f>
        <v>073, 19450726, 08.00, ////, 07</v>
      </c>
    </row>
    <row r="621" spans="1:1" x14ac:dyDescent="0.25">
      <c r="A621" s="16" t="str">
        <f ca="1">TEXT(Overig!A621,"000\,")&amp;TEXT(Overig!B621,"?00000000")&amp;TEXT(Overig!C621,""", ""@")&amp;SUBSTITUTE(TEXT(IF(ISTEXT(Overig!D621),Overig!D621,10*Overig!D621),""",""????0;"",""???-0;"",""????0;"", ////"""),"'","""")&amp;SUBSTITUTE(TEXT(Overig!E621,""",""?00;"",""?-00;"",""?00;"", //"""),"'","""")</f>
        <v>073, 19450726, 12.00, ////, 07</v>
      </c>
    </row>
    <row r="622" spans="1:1" x14ac:dyDescent="0.25">
      <c r="A622" s="16" t="str">
        <f ca="1">TEXT(Overig!A622,"000\,")&amp;TEXT(Overig!B622,"?00000000")&amp;TEXT(Overig!C622,""", ""@")&amp;SUBSTITUTE(TEXT(IF(ISTEXT(Overig!D622),Overig!D622,10*Overig!D622),""",""????0;"",""???-0;"",""????0;"", ////"""),"'","""")&amp;SUBSTITUTE(TEXT(Overig!E622,""",""?00;"",""?-00;"",""?00;"", //"""),"'","""")</f>
        <v>073, 19450726, 16.00, ////, 07</v>
      </c>
    </row>
    <row r="623" spans="1:1" x14ac:dyDescent="0.25">
      <c r="A623" s="16" t="str">
        <f ca="1">TEXT(Overig!A623,"000\,")&amp;TEXT(Overig!B623,"?00000000")&amp;TEXT(Overig!C623,""", ""@")&amp;SUBSTITUTE(TEXT(IF(ISTEXT(Overig!D623),Overig!D623,10*Overig!D623),""",""????0;"",""???-0;"",""????0;"", ////"""),"'","""")&amp;SUBSTITUTE(TEXT(Overig!E623,""",""?00;"",""?-00;"",""?00;"", //"""),"'","""")</f>
        <v>073, 19450727, 08.00, ////, 07</v>
      </c>
    </row>
    <row r="624" spans="1:1" x14ac:dyDescent="0.25">
      <c r="A624" s="16" t="str">
        <f ca="1">TEXT(Overig!A624,"000\,")&amp;TEXT(Overig!B624,"?00000000")&amp;TEXT(Overig!C624,""", ""@")&amp;SUBSTITUTE(TEXT(IF(ISTEXT(Overig!D624),Overig!D624,10*Overig!D624),""",""????0;"",""???-0;"",""????0;"", ////"""),"'","""")&amp;SUBSTITUTE(TEXT(Overig!E624,""",""?00;"",""?-00;"",""?00;"", //"""),"'","""")</f>
        <v>073, 19450727, 12.00, ////, 07</v>
      </c>
    </row>
    <row r="625" spans="1:1" x14ac:dyDescent="0.25">
      <c r="A625" s="16" t="str">
        <f ca="1">TEXT(Overig!A625,"000\,")&amp;TEXT(Overig!B625,"?00000000")&amp;TEXT(Overig!C625,""", ""@")&amp;SUBSTITUTE(TEXT(IF(ISTEXT(Overig!D625),Overig!D625,10*Overig!D625),""",""????0;"",""???-0;"",""????0;"", ////"""),"'","""")&amp;SUBSTITUTE(TEXT(Overig!E625,""",""?00;"",""?-00;"",""?00;"", //"""),"'","""")</f>
        <v>073, 19450727, 16.00, ////, 07</v>
      </c>
    </row>
    <row r="626" spans="1:1" x14ac:dyDescent="0.25">
      <c r="A626" s="16" t="str">
        <f ca="1">TEXT(Overig!A626,"000\,")&amp;TEXT(Overig!B626,"?00000000")&amp;TEXT(Overig!C626,""", ""@")&amp;SUBSTITUTE(TEXT(IF(ISTEXT(Overig!D626),Overig!D626,10*Overig!D626),""",""????0;"",""???-0;"",""????0;"", ////"""),"'","""")&amp;SUBSTITUTE(TEXT(Overig!E626,""",""?00;"",""?-00;"",""?00;"", //"""),"'","""")</f>
        <v>073, 19450728, 08.00, ////, 07</v>
      </c>
    </row>
    <row r="627" spans="1:1" x14ac:dyDescent="0.25">
      <c r="A627" s="16" t="str">
        <f ca="1">TEXT(Overig!A627,"000\,")&amp;TEXT(Overig!B627,"?00000000")&amp;TEXT(Overig!C627,""", ""@")&amp;SUBSTITUTE(TEXT(IF(ISTEXT(Overig!D627),Overig!D627,10*Overig!D627),""",""????0;"",""???-0;"",""????0;"", ////"""),"'","""")&amp;SUBSTITUTE(TEXT(Overig!E627,""",""?00;"",""?-00;"",""?00;"", //"""),"'","""")</f>
        <v>073, 19450728, 12.00, ////, 07</v>
      </c>
    </row>
    <row r="628" spans="1:1" x14ac:dyDescent="0.25">
      <c r="A628" s="16" t="str">
        <f ca="1">TEXT(Overig!A628,"000\,")&amp;TEXT(Overig!B628,"?00000000")&amp;TEXT(Overig!C628,""", ""@")&amp;SUBSTITUTE(TEXT(IF(ISTEXT(Overig!D628),Overig!D628,10*Overig!D628),""",""????0;"",""???-0;"",""????0;"", ////"""),"'","""")&amp;SUBSTITUTE(TEXT(Overig!E628,""",""?00;"",""?-00;"",""?00;"", //"""),"'","""")</f>
        <v>073, 19450728, 16.00, ////, 07</v>
      </c>
    </row>
    <row r="629" spans="1:1" x14ac:dyDescent="0.25">
      <c r="A629" s="16" t="str">
        <f ca="1">TEXT(Overig!A629,"000\,")&amp;TEXT(Overig!B629,"?00000000")&amp;TEXT(Overig!C629,""", ""@")&amp;SUBSTITUTE(TEXT(IF(ISTEXT(Overig!D629),Overig!D629,10*Overig!D629),""",""????0;"",""???-0;"",""????0;"", ////"""),"'","""")&amp;SUBSTITUTE(TEXT(Overig!E629,""",""?00;"",""?-00;"",""?00;"", //"""),"'","""")</f>
        <v>073, 19450729, 08.00, ////, 07</v>
      </c>
    </row>
    <row r="630" spans="1:1" x14ac:dyDescent="0.25">
      <c r="A630" s="16" t="str">
        <f ca="1">TEXT(Overig!A630,"000\,")&amp;TEXT(Overig!B630,"?00000000")&amp;TEXT(Overig!C630,""", ""@")&amp;SUBSTITUTE(TEXT(IF(ISTEXT(Overig!D630),Overig!D630,10*Overig!D630),""",""????0;"",""???-0;"",""????0;"", ////"""),"'","""")&amp;SUBSTITUTE(TEXT(Overig!E630,""",""?00;"",""?-00;"",""?00;"", //"""),"'","""")</f>
        <v>073, 19450729, 12.00, ////, 07</v>
      </c>
    </row>
    <row r="631" spans="1:1" x14ac:dyDescent="0.25">
      <c r="A631" s="16" t="str">
        <f ca="1">TEXT(Overig!A631,"000\,")&amp;TEXT(Overig!B631,"?00000000")&amp;TEXT(Overig!C631,""", ""@")&amp;SUBSTITUTE(TEXT(IF(ISTEXT(Overig!D631),Overig!D631,10*Overig!D631),""",""????0;"",""???-0;"",""????0;"", ////"""),"'","""")&amp;SUBSTITUTE(TEXT(Overig!E631,""",""?00;"",""?-00;"",""?00;"", //"""),"'","""")</f>
        <v>073, 19450729, 16.00, ////, 07</v>
      </c>
    </row>
    <row r="632" spans="1:1" x14ac:dyDescent="0.25">
      <c r="A632" s="16" t="str">
        <f ca="1">TEXT(Overig!A632,"000\,")&amp;TEXT(Overig!B632,"?00000000")&amp;TEXT(Overig!C632,""", ""@")&amp;SUBSTITUTE(TEXT(IF(ISTEXT(Overig!D632),Overig!D632,10*Overig!D632),""",""????0;"",""???-0;"",""????0;"", ////"""),"'","""")&amp;SUBSTITUTE(TEXT(Overig!E632,""",""?00;"",""?-00;"",""?00;"", //"""),"'","""")</f>
        <v>073, 19450730, 08.00, ////, 07</v>
      </c>
    </row>
    <row r="633" spans="1:1" x14ac:dyDescent="0.25">
      <c r="A633" s="16" t="str">
        <f ca="1">TEXT(Overig!A633,"000\,")&amp;TEXT(Overig!B633,"?00000000")&amp;TEXT(Overig!C633,""", ""@")&amp;SUBSTITUTE(TEXT(IF(ISTEXT(Overig!D633),Overig!D633,10*Overig!D633),""",""????0;"",""???-0;"",""????0;"", ////"""),"'","""")&amp;SUBSTITUTE(TEXT(Overig!E633,""",""?00;"",""?-00;"",""?00;"", //"""),"'","""")</f>
        <v>073, 19450730, 12.00, ////, 07</v>
      </c>
    </row>
    <row r="634" spans="1:1" x14ac:dyDescent="0.25">
      <c r="A634" s="16" t="str">
        <f ca="1">TEXT(Overig!A634,"000\,")&amp;TEXT(Overig!B634,"?00000000")&amp;TEXT(Overig!C634,""", ""@")&amp;SUBSTITUTE(TEXT(IF(ISTEXT(Overig!D634),Overig!D634,10*Overig!D634),""",""????0;"",""???-0;"",""????0;"", ////"""),"'","""")&amp;SUBSTITUTE(TEXT(Overig!E634,""",""?00;"",""?-00;"",""?00;"", //"""),"'","""")</f>
        <v>073, 19450730, 16.00, ////, 07</v>
      </c>
    </row>
    <row r="635" spans="1:1" x14ac:dyDescent="0.25">
      <c r="A635" s="16" t="str">
        <f ca="1">TEXT(Overig!A635,"000\,")&amp;TEXT(Overig!B635,"?00000000")&amp;TEXT(Overig!C635,""", ""@")&amp;SUBSTITUTE(TEXT(IF(ISTEXT(Overig!D635),Overig!D635,10*Overig!D635),""",""????0;"",""???-0;"",""????0;"", ////"""),"'","""")&amp;SUBSTITUTE(TEXT(Overig!E635,""",""?00;"",""?-00;"",""?00;"", //"""),"'","""")</f>
        <v>073, 19450731, 08.00, ////, 07</v>
      </c>
    </row>
    <row r="636" spans="1:1" x14ac:dyDescent="0.25">
      <c r="A636" s="16" t="str">
        <f ca="1">TEXT(Overig!A636,"000\,")&amp;TEXT(Overig!B636,"?00000000")&amp;TEXT(Overig!C636,""", ""@")&amp;SUBSTITUTE(TEXT(IF(ISTEXT(Overig!D636),Overig!D636,10*Overig!D636),""",""????0;"",""???-0;"",""????0;"", ////"""),"'","""")&amp;SUBSTITUTE(TEXT(Overig!E636,""",""?00;"",""?-00;"",""?00;"", //"""),"'","""")</f>
        <v>073, 19450731, 12.00, ////, 07</v>
      </c>
    </row>
    <row r="637" spans="1:1" x14ac:dyDescent="0.25">
      <c r="A637" s="16" t="str">
        <f ca="1">TEXT(Overig!A637,"000\,")&amp;TEXT(Overig!B637,"?00000000")&amp;TEXT(Overig!C637,""", ""@")&amp;SUBSTITUTE(TEXT(IF(ISTEXT(Overig!D637),Overig!D637,10*Overig!D637),""",""????0;"",""???-0;"",""????0;"", ////"""),"'","""")&amp;SUBSTITUTE(TEXT(Overig!E637,""",""?00;"",""?-00;"",""?00;"", //"""),"'","""")</f>
        <v>073, 19450731, 16.00, ////, 07</v>
      </c>
    </row>
    <row r="638" spans="1:1" x14ac:dyDescent="0.25">
      <c r="A638" s="16" t="str">
        <f ca="1">TEXT(Overig!A638,"000\,")&amp;TEXT(Overig!B638,"?00000000")&amp;TEXT(Overig!C638,""", ""@")&amp;SUBSTITUTE(TEXT(IF(ISTEXT(Overig!D638),Overig!D638,10*Overig!D638),""",""????0;"",""???-0;"",""????0;"", ////"""),"'","""")&amp;SUBSTITUTE(TEXT(Overig!E638,""",""?00;"",""?-00;"",""?00;"", //"""),"'","""")</f>
        <v>073, 19450801, 08.00, ////, 07</v>
      </c>
    </row>
    <row r="639" spans="1:1" x14ac:dyDescent="0.25">
      <c r="A639" s="16" t="str">
        <f ca="1">TEXT(Overig!A639,"000\,")&amp;TEXT(Overig!B639,"?00000000")&amp;TEXT(Overig!C639,""", ""@")&amp;SUBSTITUTE(TEXT(IF(ISTEXT(Overig!D639),Overig!D639,10*Overig!D639),""",""????0;"",""???-0;"",""????0;"", ////"""),"'","""")&amp;SUBSTITUTE(TEXT(Overig!E639,""",""?00;"",""?-00;"",""?00;"", //"""),"'","""")</f>
        <v>073, 19450801, 12.00, ////, 07</v>
      </c>
    </row>
    <row r="640" spans="1:1" x14ac:dyDescent="0.25">
      <c r="A640" s="16" t="str">
        <f ca="1">TEXT(Overig!A640,"000\,")&amp;TEXT(Overig!B640,"?00000000")&amp;TEXT(Overig!C640,""", ""@")&amp;SUBSTITUTE(TEXT(IF(ISTEXT(Overig!D640),Overig!D640,10*Overig!D640),""",""????0;"",""???-0;"",""????0;"", ////"""),"'","""")&amp;SUBSTITUTE(TEXT(Overig!E640,""",""?00;"",""?-00;"",""?00;"", //"""),"'","""")</f>
        <v>073, 19450801, 16.00, ////, 07</v>
      </c>
    </row>
    <row r="641" spans="1:1" x14ac:dyDescent="0.25">
      <c r="A641" s="16" t="str">
        <f ca="1">TEXT(Overig!A641,"000\,")&amp;TEXT(Overig!B641,"?00000000")&amp;TEXT(Overig!C641,""", ""@")&amp;SUBSTITUTE(TEXT(IF(ISTEXT(Overig!D641),Overig!D641,10*Overig!D641),""",""????0;"",""???-0;"",""????0;"", ////"""),"'","""")&amp;SUBSTITUTE(TEXT(Overig!E641,""",""?00;"",""?-00;"",""?00;"", //"""),"'","""")</f>
        <v>073, 19450802, 08.00, ////, 07</v>
      </c>
    </row>
    <row r="642" spans="1:1" x14ac:dyDescent="0.25">
      <c r="A642" s="16" t="str">
        <f ca="1">TEXT(Overig!A642,"000\,")&amp;TEXT(Overig!B642,"?00000000")&amp;TEXT(Overig!C642,""", ""@")&amp;SUBSTITUTE(TEXT(IF(ISTEXT(Overig!D642),Overig!D642,10*Overig!D642),""",""????0;"",""???-0;"",""????0;"", ////"""),"'","""")&amp;SUBSTITUTE(TEXT(Overig!E642,""",""?00;"",""?-00;"",""?00;"", //"""),"'","""")</f>
        <v>073, 19450802, 12.00, ////, 07</v>
      </c>
    </row>
    <row r="643" spans="1:1" x14ac:dyDescent="0.25">
      <c r="A643" s="16" t="str">
        <f ca="1">TEXT(Overig!A643,"000\,")&amp;TEXT(Overig!B643,"?00000000")&amp;TEXT(Overig!C643,""", ""@")&amp;SUBSTITUTE(TEXT(IF(ISTEXT(Overig!D643),Overig!D643,10*Overig!D643),""",""????0;"",""???-0;"",""????0;"", ////"""),"'","""")&amp;SUBSTITUTE(TEXT(Overig!E643,""",""?00;"",""?-00;"",""?00;"", //"""),"'","""")</f>
        <v>073, 19450802, 16.00, ////, 07</v>
      </c>
    </row>
    <row r="644" spans="1:1" x14ac:dyDescent="0.25">
      <c r="A644" s="16" t="str">
        <f ca="1">TEXT(Overig!A644,"000\,")&amp;TEXT(Overig!B644,"?00000000")&amp;TEXT(Overig!C644,""", ""@")&amp;SUBSTITUTE(TEXT(IF(ISTEXT(Overig!D644),Overig!D644,10*Overig!D644),""",""????0;"",""???-0;"",""????0;"", ////"""),"'","""")&amp;SUBSTITUTE(TEXT(Overig!E644,""",""?00;"",""?-00;"",""?00;"", //"""),"'","""")</f>
        <v>073, 19450803, 08.00, ////, 07</v>
      </c>
    </row>
    <row r="645" spans="1:1" x14ac:dyDescent="0.25">
      <c r="A645" s="16" t="str">
        <f ca="1">TEXT(Overig!A645,"000\,")&amp;TEXT(Overig!B645,"?00000000")&amp;TEXT(Overig!C645,""", ""@")&amp;SUBSTITUTE(TEXT(IF(ISTEXT(Overig!D645),Overig!D645,10*Overig!D645),""",""????0;"",""???-0;"",""????0;"", ////"""),"'","""")&amp;SUBSTITUTE(TEXT(Overig!E645,""",""?00;"",""?-00;"",""?00;"", //"""),"'","""")</f>
        <v>073, 19450803, 12.00, ////, 07</v>
      </c>
    </row>
    <row r="646" spans="1:1" x14ac:dyDescent="0.25">
      <c r="A646" s="16" t="str">
        <f ca="1">TEXT(Overig!A646,"000\,")&amp;TEXT(Overig!B646,"?00000000")&amp;TEXT(Overig!C646,""", ""@")&amp;SUBSTITUTE(TEXT(IF(ISTEXT(Overig!D646),Overig!D646,10*Overig!D646),""",""????0;"",""???-0;"",""????0;"", ////"""),"'","""")&amp;SUBSTITUTE(TEXT(Overig!E646,""",""?00;"",""?-00;"",""?00;"", //"""),"'","""")</f>
        <v>073, 19450803, 16.00, ////, 07</v>
      </c>
    </row>
    <row r="647" spans="1:1" x14ac:dyDescent="0.25">
      <c r="A647" s="16" t="str">
        <f ca="1">TEXT(Overig!A647,"000\,")&amp;TEXT(Overig!B647,"?00000000")&amp;TEXT(Overig!C647,""", ""@")&amp;SUBSTITUTE(TEXT(IF(ISTEXT(Overig!D647),Overig!D647,10*Overig!D647),""",""????0;"",""???-0;"",""????0;"", ////"""),"'","""")&amp;SUBSTITUTE(TEXT(Overig!E647,""",""?00;"",""?-00;"",""?00;"", //"""),"'","""")</f>
        <v>073, 19450804, 08.00, ////, 07</v>
      </c>
    </row>
    <row r="648" spans="1:1" x14ac:dyDescent="0.25">
      <c r="A648" s="16" t="str">
        <f ca="1">TEXT(Overig!A648,"000\,")&amp;TEXT(Overig!B648,"?00000000")&amp;TEXT(Overig!C648,""", ""@")&amp;SUBSTITUTE(TEXT(IF(ISTEXT(Overig!D648),Overig!D648,10*Overig!D648),""",""????0;"",""???-0;"",""????0;"", ////"""),"'","""")&amp;SUBSTITUTE(TEXT(Overig!E648,""",""?00;"",""?-00;"",""?00;"", //"""),"'","""")</f>
        <v>073, 19450804, 12.00, ////, 07</v>
      </c>
    </row>
    <row r="649" spans="1:1" x14ac:dyDescent="0.25">
      <c r="A649" s="16" t="str">
        <f ca="1">TEXT(Overig!A649,"000\,")&amp;TEXT(Overig!B649,"?00000000")&amp;TEXT(Overig!C649,""", ""@")&amp;SUBSTITUTE(TEXT(IF(ISTEXT(Overig!D649),Overig!D649,10*Overig!D649),""",""????0;"",""???-0;"",""????0;"", ////"""),"'","""")&amp;SUBSTITUTE(TEXT(Overig!E649,""",""?00;"",""?-00;"",""?00;"", //"""),"'","""")</f>
        <v>073, 19450804, 16.00, ////, 07</v>
      </c>
    </row>
    <row r="650" spans="1:1" x14ac:dyDescent="0.25">
      <c r="A650" s="16" t="str">
        <f ca="1">TEXT(Overig!A650,"000\,")&amp;TEXT(Overig!B650,"?00000000")&amp;TEXT(Overig!C650,""", ""@")&amp;SUBSTITUTE(TEXT(IF(ISTEXT(Overig!D650),Overig!D650,10*Overig!D650),""",""????0;"",""???-0;"",""????0;"", ////"""),"'","""")&amp;SUBSTITUTE(TEXT(Overig!E650,""",""?00;"",""?-00;"",""?00;"", //"""),"'","""")</f>
        <v>073, 19450805, 08.00, ////, 07</v>
      </c>
    </row>
    <row r="651" spans="1:1" x14ac:dyDescent="0.25">
      <c r="A651" s="16" t="str">
        <f ca="1">TEXT(Overig!A651,"000\,")&amp;TEXT(Overig!B651,"?00000000")&amp;TEXT(Overig!C651,""", ""@")&amp;SUBSTITUTE(TEXT(IF(ISTEXT(Overig!D651),Overig!D651,10*Overig!D651),""",""????0;"",""???-0;"",""????0;"", ////"""),"'","""")&amp;SUBSTITUTE(TEXT(Overig!E651,""",""?00;"",""?-00;"",""?00;"", //"""),"'","""")</f>
        <v>073, 19450805, 12.00, ////, 07</v>
      </c>
    </row>
    <row r="652" spans="1:1" x14ac:dyDescent="0.25">
      <c r="A652" s="16" t="str">
        <f ca="1">TEXT(Overig!A652,"000\,")&amp;TEXT(Overig!B652,"?00000000")&amp;TEXT(Overig!C652,""", ""@")&amp;SUBSTITUTE(TEXT(IF(ISTEXT(Overig!D652),Overig!D652,10*Overig!D652),""",""????0;"",""???-0;"",""????0;"", ////"""),"'","""")&amp;SUBSTITUTE(TEXT(Overig!E652,""",""?00;"",""?-00;"",""?00;"", //"""),"'","""")</f>
        <v>073, 19450805, 16.00, ////, 07</v>
      </c>
    </row>
    <row r="653" spans="1:1" x14ac:dyDescent="0.25">
      <c r="A653" s="16" t="str">
        <f ca="1">TEXT(Overig!A653,"000\,")&amp;TEXT(Overig!B653,"?00000000")&amp;TEXT(Overig!C653,""", ""@")&amp;SUBSTITUTE(TEXT(IF(ISTEXT(Overig!D653),Overig!D653,10*Overig!D653),""",""????0;"",""???-0;"",""????0;"", ////"""),"'","""")&amp;SUBSTITUTE(TEXT(Overig!E653,""",""?00;"",""?-00;"",""?00;"", //"""),"'","""")</f>
        <v>073, 19450806, 08.00, ////, 07</v>
      </c>
    </row>
    <row r="654" spans="1:1" x14ac:dyDescent="0.25">
      <c r="A654" s="16" t="str">
        <f ca="1">TEXT(Overig!A654,"000\,")&amp;TEXT(Overig!B654,"?00000000")&amp;TEXT(Overig!C654,""", ""@")&amp;SUBSTITUTE(TEXT(IF(ISTEXT(Overig!D654),Overig!D654,10*Overig!D654),""",""????0;"",""???-0;"",""????0;"", ////"""),"'","""")&amp;SUBSTITUTE(TEXT(Overig!E654,""",""?00;"",""?-00;"",""?00;"", //"""),"'","""")</f>
        <v>073, 19450806, 12.00, ////, 07</v>
      </c>
    </row>
    <row r="655" spans="1:1" x14ac:dyDescent="0.25">
      <c r="A655" s="16" t="str">
        <f ca="1">TEXT(Overig!A655,"000\,")&amp;TEXT(Overig!B655,"?00000000")&amp;TEXT(Overig!C655,""", ""@")&amp;SUBSTITUTE(TEXT(IF(ISTEXT(Overig!D655),Overig!D655,10*Overig!D655),""",""????0;"",""???-0;"",""????0;"", ////"""),"'","""")&amp;SUBSTITUTE(TEXT(Overig!E655,""",""?00;"",""?-00;"",""?00;"", //"""),"'","""")</f>
        <v>073, 19450806, 16.00, ////, 07</v>
      </c>
    </row>
    <row r="656" spans="1:1" x14ac:dyDescent="0.25">
      <c r="A656" s="16" t="str">
        <f ca="1">TEXT(Overig!A656,"000\,")&amp;TEXT(Overig!B656,"?00000000")&amp;TEXT(Overig!C656,""", ""@")&amp;SUBSTITUTE(TEXT(IF(ISTEXT(Overig!D656),Overig!D656,10*Overig!D656),""",""????0;"",""???-0;"",""????0;"", ////"""),"'","""")&amp;SUBSTITUTE(TEXT(Overig!E656,""",""?00;"",""?-00;"",""?00;"", //"""),"'","""")</f>
        <v>073, 19450807, 08.00, ////, 07</v>
      </c>
    </row>
    <row r="657" spans="1:1" x14ac:dyDescent="0.25">
      <c r="A657" s="16" t="str">
        <f ca="1">TEXT(Overig!A657,"000\,")&amp;TEXT(Overig!B657,"?00000000")&amp;TEXT(Overig!C657,""", ""@")&amp;SUBSTITUTE(TEXT(IF(ISTEXT(Overig!D657),Overig!D657,10*Overig!D657),""",""????0;"",""???-0;"",""????0;"", ////"""),"'","""")&amp;SUBSTITUTE(TEXT(Overig!E657,""",""?00;"",""?-00;"",""?00;"", //"""),"'","""")</f>
        <v>073, 19450807, 12.00, ////, 07</v>
      </c>
    </row>
    <row r="658" spans="1:1" x14ac:dyDescent="0.25">
      <c r="A658" s="16" t="str">
        <f ca="1">TEXT(Overig!A658,"000\,")&amp;TEXT(Overig!B658,"?00000000")&amp;TEXT(Overig!C658,""", ""@")&amp;SUBSTITUTE(TEXT(IF(ISTEXT(Overig!D658),Overig!D658,10*Overig!D658),""",""????0;"",""???-0;"",""????0;"", ////"""),"'","""")&amp;SUBSTITUTE(TEXT(Overig!E658,""",""?00;"",""?-00;"",""?00;"", //"""),"'","""")</f>
        <v>073, 19450807, 16.00, ////, 07</v>
      </c>
    </row>
    <row r="659" spans="1:1" x14ac:dyDescent="0.25">
      <c r="A659" s="16" t="str">
        <f ca="1">TEXT(Overig!A659,"000\,")&amp;TEXT(Overig!B659,"?00000000")&amp;TEXT(Overig!C659,""", ""@")&amp;SUBSTITUTE(TEXT(IF(ISTEXT(Overig!D659),Overig!D659,10*Overig!D659),""",""????0;"",""???-0;"",""????0;"", ////"""),"'","""")&amp;SUBSTITUTE(TEXT(Overig!E659,""",""?00;"",""?-00;"",""?00;"", //"""),"'","""")</f>
        <v>073, 19450808, 08.00, ////, 07</v>
      </c>
    </row>
    <row r="660" spans="1:1" x14ac:dyDescent="0.25">
      <c r="A660" s="16" t="str">
        <f ca="1">TEXT(Overig!A660,"000\,")&amp;TEXT(Overig!B660,"?00000000")&amp;TEXT(Overig!C660,""", ""@")&amp;SUBSTITUTE(TEXT(IF(ISTEXT(Overig!D660),Overig!D660,10*Overig!D660),""",""????0;"",""???-0;"",""????0;"", ////"""),"'","""")&amp;SUBSTITUTE(TEXT(Overig!E660,""",""?00;"",""?-00;"",""?00;"", //"""),"'","""")</f>
        <v>073, 19450808, 12.00, ////, 07</v>
      </c>
    </row>
    <row r="661" spans="1:1" x14ac:dyDescent="0.25">
      <c r="A661" s="16" t="str">
        <f ca="1">TEXT(Overig!A661,"000\,")&amp;TEXT(Overig!B661,"?00000000")&amp;TEXT(Overig!C661,""", ""@")&amp;SUBSTITUTE(TEXT(IF(ISTEXT(Overig!D661),Overig!D661,10*Overig!D661),""",""????0;"",""???-0;"",""????0;"", ////"""),"'","""")&amp;SUBSTITUTE(TEXT(Overig!E661,""",""?00;"",""?-00;"",""?00;"", //"""),"'","""")</f>
        <v>073, 19450808, 16.00, ////, 07</v>
      </c>
    </row>
    <row r="662" spans="1:1" x14ac:dyDescent="0.25">
      <c r="A662" s="16" t="str">
        <f ca="1">TEXT(Overig!A662,"000\,")&amp;TEXT(Overig!B662,"?00000000")&amp;TEXT(Overig!C662,""", ""@")&amp;SUBSTITUTE(TEXT(IF(ISTEXT(Overig!D662),Overig!D662,10*Overig!D662),""",""????0;"",""???-0;"",""????0;"", ////"""),"'","""")&amp;SUBSTITUTE(TEXT(Overig!E662,""",""?00;"",""?-00;"",""?00;"", //"""),"'","""")</f>
        <v>073, 19450809, 08.00, ////, 07</v>
      </c>
    </row>
    <row r="663" spans="1:1" x14ac:dyDescent="0.25">
      <c r="A663" s="16" t="str">
        <f ca="1">TEXT(Overig!A663,"000\,")&amp;TEXT(Overig!B663,"?00000000")&amp;TEXT(Overig!C663,""", ""@")&amp;SUBSTITUTE(TEXT(IF(ISTEXT(Overig!D663),Overig!D663,10*Overig!D663),""",""????0;"",""???-0;"",""????0;"", ////"""),"'","""")&amp;SUBSTITUTE(TEXT(Overig!E663,""",""?00;"",""?-00;"",""?00;"", //"""),"'","""")</f>
        <v>073, 19450809, 12.00, ////, 07</v>
      </c>
    </row>
    <row r="664" spans="1:1" x14ac:dyDescent="0.25">
      <c r="A664" s="16" t="str">
        <f ca="1">TEXT(Overig!A664,"000\,")&amp;TEXT(Overig!B664,"?00000000")&amp;TEXT(Overig!C664,""", ""@")&amp;SUBSTITUTE(TEXT(IF(ISTEXT(Overig!D664),Overig!D664,10*Overig!D664),""",""????0;"",""???-0;"",""????0;"", ////"""),"'","""")&amp;SUBSTITUTE(TEXT(Overig!E664,""",""?00;"",""?-00;"",""?00;"", //"""),"'","""")</f>
        <v>073, 19450809, 16.00, ////, 07</v>
      </c>
    </row>
    <row r="665" spans="1:1" x14ac:dyDescent="0.25">
      <c r="A665" s="16" t="str">
        <f ca="1">TEXT(Overig!A665,"000\,")&amp;TEXT(Overig!B665,"?00000000")&amp;TEXT(Overig!C665,""", ""@")&amp;SUBSTITUTE(TEXT(IF(ISTEXT(Overig!D665),Overig!D665,10*Overig!D665),""",""????0;"",""???-0;"",""????0;"", ////"""),"'","""")&amp;SUBSTITUTE(TEXT(Overig!E665,""",""?00;"",""?-00;"",""?00;"", //"""),"'","""")</f>
        <v>073, 19450810, 08.00, ////, 07</v>
      </c>
    </row>
    <row r="666" spans="1:1" x14ac:dyDescent="0.25">
      <c r="A666" s="16" t="str">
        <f ca="1">TEXT(Overig!A666,"000\,")&amp;TEXT(Overig!B666,"?00000000")&amp;TEXT(Overig!C666,""", ""@")&amp;SUBSTITUTE(TEXT(IF(ISTEXT(Overig!D666),Overig!D666,10*Overig!D666),""",""????0;"",""???-0;"",""????0;"", ////"""),"'","""")&amp;SUBSTITUTE(TEXT(Overig!E666,""",""?00;"",""?-00;"",""?00;"", //"""),"'","""")</f>
        <v>073, 19450810, 12.00, ////, 07</v>
      </c>
    </row>
    <row r="667" spans="1:1" x14ac:dyDescent="0.25">
      <c r="A667" s="16" t="str">
        <f ca="1">TEXT(Overig!A667,"000\,")&amp;TEXT(Overig!B667,"?00000000")&amp;TEXT(Overig!C667,""", ""@")&amp;SUBSTITUTE(TEXT(IF(ISTEXT(Overig!D667),Overig!D667,10*Overig!D667),""",""????0;"",""???-0;"",""????0;"", ////"""),"'","""")&amp;SUBSTITUTE(TEXT(Overig!E667,""",""?00;"",""?-00;"",""?00;"", //"""),"'","""")</f>
        <v>073, 19450810, 16.00, ////, 07</v>
      </c>
    </row>
    <row r="668" spans="1:1" x14ac:dyDescent="0.25">
      <c r="A668" s="16" t="str">
        <f ca="1">TEXT(Overig!A668,"000\,")&amp;TEXT(Overig!B668,"?00000000")&amp;TEXT(Overig!C668,""", ""@")&amp;SUBSTITUTE(TEXT(IF(ISTEXT(Overig!D668),Overig!D668,10*Overig!D668),""",""????0;"",""???-0;"",""????0;"", ////"""),"'","""")&amp;SUBSTITUTE(TEXT(Overig!E668,""",""?00;"",""?-00;"",""?00;"", //"""),"'","""")</f>
        <v>073, 19450811, 08.00, ////, 07</v>
      </c>
    </row>
    <row r="669" spans="1:1" x14ac:dyDescent="0.25">
      <c r="A669" s="16" t="str">
        <f ca="1">TEXT(Overig!A669,"000\,")&amp;TEXT(Overig!B669,"?00000000")&amp;TEXT(Overig!C669,""", ""@")&amp;SUBSTITUTE(TEXT(IF(ISTEXT(Overig!D669),Overig!D669,10*Overig!D669),""",""????0;"",""???-0;"",""????0;"", ////"""),"'","""")&amp;SUBSTITUTE(TEXT(Overig!E669,""",""?00;"",""?-00;"",""?00;"", //"""),"'","""")</f>
        <v>073, 19450811, 12.00, ////, 07</v>
      </c>
    </row>
    <row r="670" spans="1:1" x14ac:dyDescent="0.25">
      <c r="A670" s="16" t="str">
        <f ca="1">TEXT(Overig!A670,"000\,")&amp;TEXT(Overig!B670,"?00000000")&amp;TEXT(Overig!C670,""", ""@")&amp;SUBSTITUTE(TEXT(IF(ISTEXT(Overig!D670),Overig!D670,10*Overig!D670),""",""????0;"",""???-0;"",""????0;"", ////"""),"'","""")&amp;SUBSTITUTE(TEXT(Overig!E670,""",""?00;"",""?-00;"",""?00;"", //"""),"'","""")</f>
        <v>073, 19450811, 16.00, ////, 07</v>
      </c>
    </row>
    <row r="671" spans="1:1" x14ac:dyDescent="0.25">
      <c r="A671" s="16" t="str">
        <f ca="1">TEXT(Overig!A671,"000\,")&amp;TEXT(Overig!B671,"?00000000")&amp;TEXT(Overig!C671,""", ""@")&amp;SUBSTITUTE(TEXT(IF(ISTEXT(Overig!D671),Overig!D671,10*Overig!D671),""",""????0;"",""???-0;"",""????0;"", ////"""),"'","""")&amp;SUBSTITUTE(TEXT(Overig!E671,""",""?00;"",""?-00;"",""?00;"", //"""),"'","""")</f>
        <v>073, 19450812, 08.00, ////, 07</v>
      </c>
    </row>
    <row r="672" spans="1:1" x14ac:dyDescent="0.25">
      <c r="A672" s="16" t="str">
        <f ca="1">TEXT(Overig!A672,"000\,")&amp;TEXT(Overig!B672,"?00000000")&amp;TEXT(Overig!C672,""", ""@")&amp;SUBSTITUTE(TEXT(IF(ISTEXT(Overig!D672),Overig!D672,10*Overig!D672),""",""????0;"",""???-0;"",""????0;"", ////"""),"'","""")&amp;SUBSTITUTE(TEXT(Overig!E672,""",""?00;"",""?-00;"",""?00;"", //"""),"'","""")</f>
        <v>073, 19450812, 12.00, ////, 07</v>
      </c>
    </row>
    <row r="673" spans="1:1" x14ac:dyDescent="0.25">
      <c r="A673" s="16" t="str">
        <f ca="1">TEXT(Overig!A673,"000\,")&amp;TEXT(Overig!B673,"?00000000")&amp;TEXT(Overig!C673,""", ""@")&amp;SUBSTITUTE(TEXT(IF(ISTEXT(Overig!D673),Overig!D673,10*Overig!D673),""",""????0;"",""???-0;"",""????0;"", ////"""),"'","""")&amp;SUBSTITUTE(TEXT(Overig!E673,""",""?00;"",""?-00;"",""?00;"", //"""),"'","""")</f>
        <v>073, 19450812, 16.00, ////, 07</v>
      </c>
    </row>
    <row r="674" spans="1:1" x14ac:dyDescent="0.25">
      <c r="A674" s="16" t="str">
        <f ca="1">TEXT(Overig!A674,"000\,")&amp;TEXT(Overig!B674,"?00000000")&amp;TEXT(Overig!C674,""", ""@")&amp;SUBSTITUTE(TEXT(IF(ISTEXT(Overig!D674),Overig!D674,10*Overig!D674),""",""????0;"",""???-0;"",""????0;"", ////"""),"'","""")&amp;SUBSTITUTE(TEXT(Overig!E674,""",""?00;"",""?-00;"",""?00;"", //"""),"'","""")</f>
        <v>073, 19450813, 08.00, ////, 07</v>
      </c>
    </row>
    <row r="675" spans="1:1" x14ac:dyDescent="0.25">
      <c r="A675" s="16" t="str">
        <f ca="1">TEXT(Overig!A675,"000\,")&amp;TEXT(Overig!B675,"?00000000")&amp;TEXT(Overig!C675,""", ""@")&amp;SUBSTITUTE(TEXT(IF(ISTEXT(Overig!D675),Overig!D675,10*Overig!D675),""",""????0;"",""???-0;"",""????0;"", ////"""),"'","""")&amp;SUBSTITUTE(TEXT(Overig!E675,""",""?00;"",""?-00;"",""?00;"", //"""),"'","""")</f>
        <v>073, 19450813, 12.00, ////, 07</v>
      </c>
    </row>
    <row r="676" spans="1:1" x14ac:dyDescent="0.25">
      <c r="A676" s="16" t="str">
        <f ca="1">TEXT(Overig!A676,"000\,")&amp;TEXT(Overig!B676,"?00000000")&amp;TEXT(Overig!C676,""", ""@")&amp;SUBSTITUTE(TEXT(IF(ISTEXT(Overig!D676),Overig!D676,10*Overig!D676),""",""????0;"",""???-0;"",""????0;"", ////"""),"'","""")&amp;SUBSTITUTE(TEXT(Overig!E676,""",""?00;"",""?-00;"",""?00;"", //"""),"'","""")</f>
        <v>073, 19450813, 16.00, ////, 07</v>
      </c>
    </row>
    <row r="677" spans="1:1" x14ac:dyDescent="0.25">
      <c r="A677" s="16" t="str">
        <f ca="1">TEXT(Overig!A677,"000\,")&amp;TEXT(Overig!B677,"?00000000")&amp;TEXT(Overig!C677,""", ""@")&amp;SUBSTITUTE(TEXT(IF(ISTEXT(Overig!D677),Overig!D677,10*Overig!D677),""",""????0;"",""???-0;"",""????0;"", ////"""),"'","""")&amp;SUBSTITUTE(TEXT(Overig!E677,""",""?00;"",""?-00;"",""?00;"", //"""),"'","""")</f>
        <v>073, 19450814, 08.00, ////, 07</v>
      </c>
    </row>
    <row r="678" spans="1:1" x14ac:dyDescent="0.25">
      <c r="A678" s="16" t="str">
        <f ca="1">TEXT(Overig!A678,"000\,")&amp;TEXT(Overig!B678,"?00000000")&amp;TEXT(Overig!C678,""", ""@")&amp;SUBSTITUTE(TEXT(IF(ISTEXT(Overig!D678),Overig!D678,10*Overig!D678),""",""????0;"",""???-0;"",""????0;"", ////"""),"'","""")&amp;SUBSTITUTE(TEXT(Overig!E678,""",""?00;"",""?-00;"",""?00;"", //"""),"'","""")</f>
        <v>073, 19450814, 12.00, ////, 07</v>
      </c>
    </row>
    <row r="679" spans="1:1" x14ac:dyDescent="0.25">
      <c r="A679" s="16" t="str">
        <f ca="1">TEXT(Overig!A679,"000\,")&amp;TEXT(Overig!B679,"?00000000")&amp;TEXT(Overig!C679,""", ""@")&amp;SUBSTITUTE(TEXT(IF(ISTEXT(Overig!D679),Overig!D679,10*Overig!D679),""",""????0;"",""???-0;"",""????0;"", ////"""),"'","""")&amp;SUBSTITUTE(TEXT(Overig!E679,""",""?00;"",""?-00;"",""?00;"", //"""),"'","""")</f>
        <v>073, 19450814, 16.00, ////, 07</v>
      </c>
    </row>
    <row r="680" spans="1:1" x14ac:dyDescent="0.25">
      <c r="A680" s="16" t="str">
        <f ca="1">TEXT(Overig!A680,"000\,")&amp;TEXT(Overig!B680,"?00000000")&amp;TEXT(Overig!C680,""", ""@")&amp;SUBSTITUTE(TEXT(IF(ISTEXT(Overig!D680),Overig!D680,10*Overig!D680),""",""????0;"",""???-0;"",""????0;"", ////"""),"'","""")&amp;SUBSTITUTE(TEXT(Overig!E680,""",""?00;"",""?-00;"",""?00;"", //"""),"'","""")</f>
        <v>073, 19450815, 08.00, ////, 07</v>
      </c>
    </row>
    <row r="681" spans="1:1" x14ac:dyDescent="0.25">
      <c r="A681" s="16" t="str">
        <f ca="1">TEXT(Overig!A681,"000\,")&amp;TEXT(Overig!B681,"?00000000")&amp;TEXT(Overig!C681,""", ""@")&amp;SUBSTITUTE(TEXT(IF(ISTEXT(Overig!D681),Overig!D681,10*Overig!D681),""",""????0;"",""???-0;"",""????0;"", ////"""),"'","""")&amp;SUBSTITUTE(TEXT(Overig!E681,""",""?00;"",""?-00;"",""?00;"", //"""),"'","""")</f>
        <v>073, 19450815, 12.00, ////, 07</v>
      </c>
    </row>
    <row r="682" spans="1:1" x14ac:dyDescent="0.25">
      <c r="A682" s="16" t="str">
        <f ca="1">TEXT(Overig!A682,"000\,")&amp;TEXT(Overig!B682,"?00000000")&amp;TEXT(Overig!C682,""", ""@")&amp;SUBSTITUTE(TEXT(IF(ISTEXT(Overig!D682),Overig!D682,10*Overig!D682),""",""????0;"",""???-0;"",""????0;"", ////"""),"'","""")&amp;SUBSTITUTE(TEXT(Overig!E682,""",""?00;"",""?-00;"",""?00;"", //"""),"'","""")</f>
        <v>073, 19450815, 16.00, ////, 07</v>
      </c>
    </row>
    <row r="683" spans="1:1" x14ac:dyDescent="0.25">
      <c r="A683" s="16" t="str">
        <f ca="1">TEXT(Overig!A683,"000\,")&amp;TEXT(Overig!B683,"?00000000")&amp;TEXT(Overig!C683,""", ""@")&amp;SUBSTITUTE(TEXT(IF(ISTEXT(Overig!D683),Overig!D683,10*Overig!D683),""",""????0;"",""???-0;"",""????0;"", ////"""),"'","""")&amp;SUBSTITUTE(TEXT(Overig!E683,""",""?00;"",""?-00;"",""?00;"", //"""),"'","""")</f>
        <v>073, 19450816, 08.00, ////, 07</v>
      </c>
    </row>
    <row r="684" spans="1:1" x14ac:dyDescent="0.25">
      <c r="A684" s="16" t="str">
        <f ca="1">TEXT(Overig!A684,"000\,")&amp;TEXT(Overig!B684,"?00000000")&amp;TEXT(Overig!C684,""", ""@")&amp;SUBSTITUTE(TEXT(IF(ISTEXT(Overig!D684),Overig!D684,10*Overig!D684),""",""????0;"",""???-0;"",""????0;"", ////"""),"'","""")&amp;SUBSTITUTE(TEXT(Overig!E684,""",""?00;"",""?-00;"",""?00;"", //"""),"'","""")</f>
        <v>073, 19450816, 12.00, ////, 07</v>
      </c>
    </row>
    <row r="685" spans="1:1" x14ac:dyDescent="0.25">
      <c r="A685" s="16" t="str">
        <f ca="1">TEXT(Overig!A685,"000\,")&amp;TEXT(Overig!B685,"?00000000")&amp;TEXT(Overig!C685,""", ""@")&amp;SUBSTITUTE(TEXT(IF(ISTEXT(Overig!D685),Overig!D685,10*Overig!D685),""",""????0;"",""???-0;"",""????0;"", ////"""),"'","""")&amp;SUBSTITUTE(TEXT(Overig!E685,""",""?00;"",""?-00;"",""?00;"", //"""),"'","""")</f>
        <v>073, 19450816, 16.00, ////, 07</v>
      </c>
    </row>
    <row r="686" spans="1:1" x14ac:dyDescent="0.25">
      <c r="A686" s="16" t="str">
        <f ca="1">TEXT(Overig!A686,"000\,")&amp;TEXT(Overig!B686,"?00000000")&amp;TEXT(Overig!C686,""", ""@")&amp;SUBSTITUTE(TEXT(IF(ISTEXT(Overig!D686),Overig!D686,10*Overig!D686),""",""????0;"",""???-0;"",""????0;"", ////"""),"'","""")&amp;SUBSTITUTE(TEXT(Overig!E686,""",""?00;"",""?-00;"",""?00;"", //"""),"'","""")</f>
        <v>073, 19450817, 08.00, ////, 07</v>
      </c>
    </row>
    <row r="687" spans="1:1" x14ac:dyDescent="0.25">
      <c r="A687" s="16" t="str">
        <f ca="1">TEXT(Overig!A687,"000\,")&amp;TEXT(Overig!B687,"?00000000")&amp;TEXT(Overig!C687,""", ""@")&amp;SUBSTITUTE(TEXT(IF(ISTEXT(Overig!D687),Overig!D687,10*Overig!D687),""",""????0;"",""???-0;"",""????0;"", ////"""),"'","""")&amp;SUBSTITUTE(TEXT(Overig!E687,""",""?00;"",""?-00;"",""?00;"", //"""),"'","""")</f>
        <v>073, 19450817, 12.00, ////, 07</v>
      </c>
    </row>
    <row r="688" spans="1:1" x14ac:dyDescent="0.25">
      <c r="A688" s="16" t="str">
        <f ca="1">TEXT(Overig!A688,"000\,")&amp;TEXT(Overig!B688,"?00000000")&amp;TEXT(Overig!C688,""", ""@")&amp;SUBSTITUTE(TEXT(IF(ISTEXT(Overig!D688),Overig!D688,10*Overig!D688),""",""????0;"",""???-0;"",""????0;"", ////"""),"'","""")&amp;SUBSTITUTE(TEXT(Overig!E688,""",""?00;"",""?-00;"",""?00;"", //"""),"'","""")</f>
        <v>073, 19450817, 16.00, ////, 07</v>
      </c>
    </row>
    <row r="689" spans="1:1" x14ac:dyDescent="0.25">
      <c r="A689" s="16" t="str">
        <f ca="1">TEXT(Overig!A689,"000\,")&amp;TEXT(Overig!B689,"?00000000")&amp;TEXT(Overig!C689,""", ""@")&amp;SUBSTITUTE(TEXT(IF(ISTEXT(Overig!D689),Overig!D689,10*Overig!D689),""",""????0;"",""???-0;"",""????0;"", ////"""),"'","""")&amp;SUBSTITUTE(TEXT(Overig!E689,""",""?00;"",""?-00;"",""?00;"", //"""),"'","""")</f>
        <v>073, 19450818, 08.00, ////, 07</v>
      </c>
    </row>
    <row r="690" spans="1:1" x14ac:dyDescent="0.25">
      <c r="A690" s="16" t="str">
        <f ca="1">TEXT(Overig!A690,"000\,")&amp;TEXT(Overig!B690,"?00000000")&amp;TEXT(Overig!C690,""", ""@")&amp;SUBSTITUTE(TEXT(IF(ISTEXT(Overig!D690),Overig!D690,10*Overig!D690),""",""????0;"",""???-0;"",""????0;"", ////"""),"'","""")&amp;SUBSTITUTE(TEXT(Overig!E690,""",""?00;"",""?-00;"",""?00;"", //"""),"'","""")</f>
        <v>073, 19450818, 12.00, ////, 07</v>
      </c>
    </row>
    <row r="691" spans="1:1" x14ac:dyDescent="0.25">
      <c r="A691" s="16" t="str">
        <f ca="1">TEXT(Overig!A691,"000\,")&amp;TEXT(Overig!B691,"?00000000")&amp;TEXT(Overig!C691,""", ""@")&amp;SUBSTITUTE(TEXT(IF(ISTEXT(Overig!D691),Overig!D691,10*Overig!D691),""",""????0;"",""???-0;"",""????0;"", ////"""),"'","""")&amp;SUBSTITUTE(TEXT(Overig!E691,""",""?00;"",""?-00;"",""?00;"", //"""),"'","""")</f>
        <v>073, 19450818, 16.00, ////, 07</v>
      </c>
    </row>
    <row r="692" spans="1:1" x14ac:dyDescent="0.25">
      <c r="A692" s="16" t="str">
        <f ca="1">TEXT(Overig!A692,"000\,")&amp;TEXT(Overig!B692,"?00000000")&amp;TEXT(Overig!C692,""", ""@")&amp;SUBSTITUTE(TEXT(IF(ISTEXT(Overig!D692),Overig!D692,10*Overig!D692),""",""????0;"",""???-0;"",""????0;"", ////"""),"'","""")&amp;SUBSTITUTE(TEXT(Overig!E692,""",""?00;"",""?-00;"",""?00;"", //"""),"'","""")</f>
        <v>073, 19450819, 08.00, ////, 07</v>
      </c>
    </row>
    <row r="693" spans="1:1" x14ac:dyDescent="0.25">
      <c r="A693" s="16" t="str">
        <f ca="1">TEXT(Overig!A693,"000\,")&amp;TEXT(Overig!B693,"?00000000")&amp;TEXT(Overig!C693,""", ""@")&amp;SUBSTITUTE(TEXT(IF(ISTEXT(Overig!D693),Overig!D693,10*Overig!D693),""",""????0;"",""???-0;"",""????0;"", ////"""),"'","""")&amp;SUBSTITUTE(TEXT(Overig!E693,""",""?00;"",""?-00;"",""?00;"", //"""),"'","""")</f>
        <v>073, 19450819, 12.00, ////, 07</v>
      </c>
    </row>
    <row r="694" spans="1:1" x14ac:dyDescent="0.25">
      <c r="A694" s="16" t="str">
        <f ca="1">TEXT(Overig!A694,"000\,")&amp;TEXT(Overig!B694,"?00000000")&amp;TEXT(Overig!C694,""", ""@")&amp;SUBSTITUTE(TEXT(IF(ISTEXT(Overig!D694),Overig!D694,10*Overig!D694),""",""????0;"",""???-0;"",""????0;"", ////"""),"'","""")&amp;SUBSTITUTE(TEXT(Overig!E694,""",""?00;"",""?-00;"",""?00;"", //"""),"'","""")</f>
        <v>073, 19450819, 16.00, ////, 07</v>
      </c>
    </row>
    <row r="695" spans="1:1" x14ac:dyDescent="0.25">
      <c r="A695" s="16" t="str">
        <f ca="1">TEXT(Overig!A695,"000\,")&amp;TEXT(Overig!B695,"?00000000")&amp;TEXT(Overig!C695,""", ""@")&amp;SUBSTITUTE(TEXT(IF(ISTEXT(Overig!D695),Overig!D695,10*Overig!D695),""",""????0;"",""???-0;"",""????0;"", ////"""),"'","""")&amp;SUBSTITUTE(TEXT(Overig!E695,""",""?00;"",""?-00;"",""?00;"", //"""),"'","""")</f>
        <v>073, 19450820, 08.00, ////, 07</v>
      </c>
    </row>
    <row r="696" spans="1:1" x14ac:dyDescent="0.25">
      <c r="A696" s="16" t="str">
        <f ca="1">TEXT(Overig!A696,"000\,")&amp;TEXT(Overig!B696,"?00000000")&amp;TEXT(Overig!C696,""", ""@")&amp;SUBSTITUTE(TEXT(IF(ISTEXT(Overig!D696),Overig!D696,10*Overig!D696),""",""????0;"",""???-0;"",""????0;"", ////"""),"'","""")&amp;SUBSTITUTE(TEXT(Overig!E696,""",""?00;"",""?-00;"",""?00;"", //"""),"'","""")</f>
        <v>073, 19450820, 12.00, ////, 07</v>
      </c>
    </row>
    <row r="697" spans="1:1" x14ac:dyDescent="0.25">
      <c r="A697" s="16" t="str">
        <f ca="1">TEXT(Overig!A697,"000\,")&amp;TEXT(Overig!B697,"?00000000")&amp;TEXT(Overig!C697,""", ""@")&amp;SUBSTITUTE(TEXT(IF(ISTEXT(Overig!D697),Overig!D697,10*Overig!D697),""",""????0;"",""???-0;"",""????0;"", ////"""),"'","""")&amp;SUBSTITUTE(TEXT(Overig!E697,""",""?00;"",""?-00;"",""?00;"", //"""),"'","""")</f>
        <v>073, 19450820, 16.00, ////, 07</v>
      </c>
    </row>
    <row r="698" spans="1:1" x14ac:dyDescent="0.25">
      <c r="A698" s="16" t="str">
        <f ca="1">TEXT(Overig!A698,"000\,")&amp;TEXT(Overig!B698,"?00000000")&amp;TEXT(Overig!C698,""", ""@")&amp;SUBSTITUTE(TEXT(IF(ISTEXT(Overig!D698),Overig!D698,10*Overig!D698),""",""????0;"",""???-0;"",""????0;"", ////"""),"'","""")&amp;SUBSTITUTE(TEXT(Overig!E698,""",""?00;"",""?-00;"",""?00;"", //"""),"'","""")</f>
        <v>073, 19450821, 08.00, ////, 07</v>
      </c>
    </row>
    <row r="699" spans="1:1" x14ac:dyDescent="0.25">
      <c r="A699" s="16" t="str">
        <f ca="1">TEXT(Overig!A699,"000\,")&amp;TEXT(Overig!B699,"?00000000")&amp;TEXT(Overig!C699,""", ""@")&amp;SUBSTITUTE(TEXT(IF(ISTEXT(Overig!D699),Overig!D699,10*Overig!D699),""",""????0;"",""???-0;"",""????0;"", ////"""),"'","""")&amp;SUBSTITUTE(TEXT(Overig!E699,""",""?00;"",""?-00;"",""?00;"", //"""),"'","""")</f>
        <v>073, 19450821, 12.00, ////, 07</v>
      </c>
    </row>
    <row r="700" spans="1:1" x14ac:dyDescent="0.25">
      <c r="A700" s="16" t="str">
        <f ca="1">TEXT(Overig!A700,"000\,")&amp;TEXT(Overig!B700,"?00000000")&amp;TEXT(Overig!C700,""", ""@")&amp;SUBSTITUTE(TEXT(IF(ISTEXT(Overig!D700),Overig!D700,10*Overig!D700),""",""????0;"",""???-0;"",""????0;"", ////"""),"'","""")&amp;SUBSTITUTE(TEXT(Overig!E700,""",""?00;"",""?-00;"",""?00;"", //"""),"'","""")</f>
        <v>073, 19450821, 16.00, ////, 07</v>
      </c>
    </row>
    <row r="701" spans="1:1" x14ac:dyDescent="0.25">
      <c r="A701" s="16" t="str">
        <f ca="1">TEXT(Overig!A701,"000\,")&amp;TEXT(Overig!B701,"?00000000")&amp;TEXT(Overig!C701,""", ""@")&amp;SUBSTITUTE(TEXT(IF(ISTEXT(Overig!D701),Overig!D701,10*Overig!D701),""",""????0;"",""???-0;"",""????0;"", ////"""),"'","""")&amp;SUBSTITUTE(TEXT(Overig!E701,""",""?00;"",""?-00;"",""?00;"", //"""),"'","""")</f>
        <v>073, 19450822, 08.00, ////, 07</v>
      </c>
    </row>
    <row r="702" spans="1:1" x14ac:dyDescent="0.25">
      <c r="A702" s="16" t="str">
        <f ca="1">TEXT(Overig!A702,"000\,")&amp;TEXT(Overig!B702,"?00000000")&amp;TEXT(Overig!C702,""", ""@")&amp;SUBSTITUTE(TEXT(IF(ISTEXT(Overig!D702),Overig!D702,10*Overig!D702),""",""????0;"",""???-0;"",""????0;"", ////"""),"'","""")&amp;SUBSTITUTE(TEXT(Overig!E702,""",""?00;"",""?-00;"",""?00;"", //"""),"'","""")</f>
        <v>073, 19450822, 12.00, ////, 07</v>
      </c>
    </row>
    <row r="703" spans="1:1" x14ac:dyDescent="0.25">
      <c r="A703" s="16" t="str">
        <f ca="1">TEXT(Overig!A703,"000\,")&amp;TEXT(Overig!B703,"?00000000")&amp;TEXT(Overig!C703,""", ""@")&amp;SUBSTITUTE(TEXT(IF(ISTEXT(Overig!D703),Overig!D703,10*Overig!D703),""",""????0;"",""???-0;"",""????0;"", ////"""),"'","""")&amp;SUBSTITUTE(TEXT(Overig!E703,""",""?00;"",""?-00;"",""?00;"", //"""),"'","""")</f>
        <v>073, 19450822, 16.00, ////, 07</v>
      </c>
    </row>
    <row r="704" spans="1:1" x14ac:dyDescent="0.25">
      <c r="A704" s="16" t="str">
        <f ca="1">TEXT(Overig!A704,"000\,")&amp;TEXT(Overig!B704,"?00000000")&amp;TEXT(Overig!C704,""", ""@")&amp;SUBSTITUTE(TEXT(IF(ISTEXT(Overig!D704),Overig!D704,10*Overig!D704),""",""????0;"",""???-0;"",""????0;"", ////"""),"'","""")&amp;SUBSTITUTE(TEXT(Overig!E704,""",""?00;"",""?-00;"",""?00;"", //"""),"'","""")</f>
        <v>073, 19450823, 08.00, ////, 07</v>
      </c>
    </row>
    <row r="705" spans="1:1" x14ac:dyDescent="0.25">
      <c r="A705" s="16" t="str">
        <f ca="1">TEXT(Overig!A705,"000\,")&amp;TEXT(Overig!B705,"?00000000")&amp;TEXT(Overig!C705,""", ""@")&amp;SUBSTITUTE(TEXT(IF(ISTEXT(Overig!D705),Overig!D705,10*Overig!D705),""",""????0;"",""???-0;"",""????0;"", ////"""),"'","""")&amp;SUBSTITUTE(TEXT(Overig!E705,""",""?00;"",""?-00;"",""?00;"", //"""),"'","""")</f>
        <v>073, 19450823, 12.00, ////, 07</v>
      </c>
    </row>
    <row r="706" spans="1:1" x14ac:dyDescent="0.25">
      <c r="A706" s="16" t="str">
        <f ca="1">TEXT(Overig!A706,"000\,")&amp;TEXT(Overig!B706,"?00000000")&amp;TEXT(Overig!C706,""", ""@")&amp;SUBSTITUTE(TEXT(IF(ISTEXT(Overig!D706),Overig!D706,10*Overig!D706),""",""????0;"",""???-0;"",""????0;"", ////"""),"'","""")&amp;SUBSTITUTE(TEXT(Overig!E706,""",""?00;"",""?-00;"",""?00;"", //"""),"'","""")</f>
        <v>073, 19450823, 16.00, ////, 07</v>
      </c>
    </row>
    <row r="707" spans="1:1" x14ac:dyDescent="0.25">
      <c r="A707" s="16" t="str">
        <f ca="1">TEXT(Overig!A707,"000\,")&amp;TEXT(Overig!B707,"?00000000")&amp;TEXT(Overig!C707,""", ""@")&amp;SUBSTITUTE(TEXT(IF(ISTEXT(Overig!D707),Overig!D707,10*Overig!D707),""",""????0;"",""???-0;"",""????0;"", ////"""),"'","""")&amp;SUBSTITUTE(TEXT(Overig!E707,""",""?00;"",""?-00;"",""?00;"", //"""),"'","""")</f>
        <v>073, 19450824, 08.00, ////, 07</v>
      </c>
    </row>
    <row r="708" spans="1:1" x14ac:dyDescent="0.25">
      <c r="A708" s="16" t="str">
        <f ca="1">TEXT(Overig!A708,"000\,")&amp;TEXT(Overig!B708,"?00000000")&amp;TEXT(Overig!C708,""", ""@")&amp;SUBSTITUTE(TEXT(IF(ISTEXT(Overig!D708),Overig!D708,10*Overig!D708),""",""????0;"",""???-0;"",""????0;"", ////"""),"'","""")&amp;SUBSTITUTE(TEXT(Overig!E708,""",""?00;"",""?-00;"",""?00;"", //"""),"'","""")</f>
        <v>073, 19450824, 12.00, ////, 07</v>
      </c>
    </row>
    <row r="709" spans="1:1" x14ac:dyDescent="0.25">
      <c r="A709" s="16" t="str">
        <f ca="1">TEXT(Overig!A709,"000\,")&amp;TEXT(Overig!B709,"?00000000")&amp;TEXT(Overig!C709,""", ""@")&amp;SUBSTITUTE(TEXT(IF(ISTEXT(Overig!D709),Overig!D709,10*Overig!D709),""",""????0;"",""???-0;"",""????0;"", ////"""),"'","""")&amp;SUBSTITUTE(TEXT(Overig!E709,""",""?00;"",""?-00;"",""?00;"", //"""),"'","""")</f>
        <v>073, 19450824, 16.00, ////, 07</v>
      </c>
    </row>
    <row r="710" spans="1:1" x14ac:dyDescent="0.25">
      <c r="A710" s="16" t="str">
        <f ca="1">TEXT(Overig!A710,"000\,")&amp;TEXT(Overig!B710,"?00000000")&amp;TEXT(Overig!C710,""", ""@")&amp;SUBSTITUTE(TEXT(IF(ISTEXT(Overig!D710),Overig!D710,10*Overig!D710),""",""????0;"",""???-0;"",""????0;"", ////"""),"'","""")&amp;SUBSTITUTE(TEXT(Overig!E710,""",""?00;"",""?-00;"",""?00;"", //"""),"'","""")</f>
        <v>073, 19450825, 08.00, ////, 07</v>
      </c>
    </row>
    <row r="711" spans="1:1" x14ac:dyDescent="0.25">
      <c r="A711" s="16" t="str">
        <f ca="1">TEXT(Overig!A711,"000\,")&amp;TEXT(Overig!B711,"?00000000")&amp;TEXT(Overig!C711,""", ""@")&amp;SUBSTITUTE(TEXT(IF(ISTEXT(Overig!D711),Overig!D711,10*Overig!D711),""",""????0;"",""???-0;"",""????0;"", ////"""),"'","""")&amp;SUBSTITUTE(TEXT(Overig!E711,""",""?00;"",""?-00;"",""?00;"", //"""),"'","""")</f>
        <v>073, 19450825, 12.00, ////, 07</v>
      </c>
    </row>
    <row r="712" spans="1:1" x14ac:dyDescent="0.25">
      <c r="A712" s="16" t="str">
        <f ca="1">TEXT(Overig!A712,"000\,")&amp;TEXT(Overig!B712,"?00000000")&amp;TEXT(Overig!C712,""", ""@")&amp;SUBSTITUTE(TEXT(IF(ISTEXT(Overig!D712),Overig!D712,10*Overig!D712),""",""????0;"",""???-0;"",""????0;"", ////"""),"'","""")&amp;SUBSTITUTE(TEXT(Overig!E712,""",""?00;"",""?-00;"",""?00;"", //"""),"'","""")</f>
        <v>073, 19450825, 16.00, ////, 07</v>
      </c>
    </row>
    <row r="713" spans="1:1" x14ac:dyDescent="0.25">
      <c r="A713" s="16" t="str">
        <f ca="1">TEXT(Overig!A713,"000\,")&amp;TEXT(Overig!B713,"?00000000")&amp;TEXT(Overig!C713,""", ""@")&amp;SUBSTITUTE(TEXT(IF(ISTEXT(Overig!D713),Overig!D713,10*Overig!D713),""",""????0;"",""???-0;"",""????0;"", ////"""),"'","""")&amp;SUBSTITUTE(TEXT(Overig!E713,""",""?00;"",""?-00;"",""?00;"", //"""),"'","""")</f>
        <v>073, 19450826, 08.00, ////, 07</v>
      </c>
    </row>
    <row r="714" spans="1:1" x14ac:dyDescent="0.25">
      <c r="A714" s="16" t="str">
        <f ca="1">TEXT(Overig!A714,"000\,")&amp;TEXT(Overig!B714,"?00000000")&amp;TEXT(Overig!C714,""", ""@")&amp;SUBSTITUTE(TEXT(IF(ISTEXT(Overig!D714),Overig!D714,10*Overig!D714),""",""????0;"",""???-0;"",""????0;"", ////"""),"'","""")&amp;SUBSTITUTE(TEXT(Overig!E714,""",""?00;"",""?-00;"",""?00;"", //"""),"'","""")</f>
        <v>073, 19450826, 12.00, ////, 07</v>
      </c>
    </row>
    <row r="715" spans="1:1" x14ac:dyDescent="0.25">
      <c r="A715" s="16" t="str">
        <f ca="1">TEXT(Overig!A715,"000\,")&amp;TEXT(Overig!B715,"?00000000")&amp;TEXT(Overig!C715,""", ""@")&amp;SUBSTITUTE(TEXT(IF(ISTEXT(Overig!D715),Overig!D715,10*Overig!D715),""",""????0;"",""???-0;"",""????0;"", ////"""),"'","""")&amp;SUBSTITUTE(TEXT(Overig!E715,""",""?00;"",""?-00;"",""?00;"", //"""),"'","""")</f>
        <v>073, 19450826, 16.00, ////, 07</v>
      </c>
    </row>
    <row r="716" spans="1:1" x14ac:dyDescent="0.25">
      <c r="A716" s="16" t="str">
        <f ca="1">TEXT(Overig!A716,"000\,")&amp;TEXT(Overig!B716,"?00000000")&amp;TEXT(Overig!C716,""", ""@")&amp;SUBSTITUTE(TEXT(IF(ISTEXT(Overig!D716),Overig!D716,10*Overig!D716),""",""????0;"",""???-0;"",""????0;"", ////"""),"'","""")&amp;SUBSTITUTE(TEXT(Overig!E716,""",""?00;"",""?-00;"",""?00;"", //"""),"'","""")</f>
        <v>073, 19450827, 08.00, ////, 07</v>
      </c>
    </row>
    <row r="717" spans="1:1" x14ac:dyDescent="0.25">
      <c r="A717" s="16" t="str">
        <f ca="1">TEXT(Overig!A717,"000\,")&amp;TEXT(Overig!B717,"?00000000")&amp;TEXT(Overig!C717,""", ""@")&amp;SUBSTITUTE(TEXT(IF(ISTEXT(Overig!D717),Overig!D717,10*Overig!D717),""",""????0;"",""???-0;"",""????0;"", ////"""),"'","""")&amp;SUBSTITUTE(TEXT(Overig!E717,""",""?00;"",""?-00;"",""?00;"", //"""),"'","""")</f>
        <v>073, 19450827, 12.00, ////, 07</v>
      </c>
    </row>
    <row r="718" spans="1:1" x14ac:dyDescent="0.25">
      <c r="A718" s="16" t="str">
        <f ca="1">TEXT(Overig!A718,"000\,")&amp;TEXT(Overig!B718,"?00000000")&amp;TEXT(Overig!C718,""", ""@")&amp;SUBSTITUTE(TEXT(IF(ISTEXT(Overig!D718),Overig!D718,10*Overig!D718),""",""????0;"",""???-0;"",""????0;"", ////"""),"'","""")&amp;SUBSTITUTE(TEXT(Overig!E718,""",""?00;"",""?-00;"",""?00;"", //"""),"'","""")</f>
        <v>073, 19450827, 16.00, ////, 07</v>
      </c>
    </row>
    <row r="719" spans="1:1" x14ac:dyDescent="0.25">
      <c r="A719" s="16" t="str">
        <f ca="1">TEXT(Overig!A719,"000\,")&amp;TEXT(Overig!B719,"?00000000")&amp;TEXT(Overig!C719,""", ""@")&amp;SUBSTITUTE(TEXT(IF(ISTEXT(Overig!D719),Overig!D719,10*Overig!D719),""",""????0;"",""???-0;"",""????0;"", ////"""),"'","""")&amp;SUBSTITUTE(TEXT(Overig!E719,""",""?00;"",""?-00;"",""?00;"", //"""),"'","""")</f>
        <v>073, 19450828, 08.00, ////, 07</v>
      </c>
    </row>
    <row r="720" spans="1:1" x14ac:dyDescent="0.25">
      <c r="A720" s="16" t="str">
        <f ca="1">TEXT(Overig!A720,"000\,")&amp;TEXT(Overig!B720,"?00000000")&amp;TEXT(Overig!C720,""", ""@")&amp;SUBSTITUTE(TEXT(IF(ISTEXT(Overig!D720),Overig!D720,10*Overig!D720),""",""????0;"",""???-0;"",""????0;"", ////"""),"'","""")&amp;SUBSTITUTE(TEXT(Overig!E720,""",""?00;"",""?-00;"",""?00;"", //"""),"'","""")</f>
        <v>073, 19450828, 12.00, ////, 07</v>
      </c>
    </row>
    <row r="721" spans="1:1" x14ac:dyDescent="0.25">
      <c r="A721" s="16" t="str">
        <f ca="1">TEXT(Overig!A721,"000\,")&amp;TEXT(Overig!B721,"?00000000")&amp;TEXT(Overig!C721,""", ""@")&amp;SUBSTITUTE(TEXT(IF(ISTEXT(Overig!D721),Overig!D721,10*Overig!D721),""",""????0;"",""???-0;"",""????0;"", ////"""),"'","""")&amp;SUBSTITUTE(TEXT(Overig!E721,""",""?00;"",""?-00;"",""?00;"", //"""),"'","""")</f>
        <v>073, 19450828, 16.00, ////, 07</v>
      </c>
    </row>
    <row r="722" spans="1:1" x14ac:dyDescent="0.25">
      <c r="A722" s="16" t="str">
        <f ca="1">TEXT(Overig!A722,"000\,")&amp;TEXT(Overig!B722,"?00000000")&amp;TEXT(Overig!C722,""", ""@")&amp;SUBSTITUTE(TEXT(IF(ISTEXT(Overig!D722),Overig!D722,10*Overig!D722),""",""????0;"",""???-0;"",""????0;"", ////"""),"'","""")&amp;SUBSTITUTE(TEXT(Overig!E722,""",""?00;"",""?-00;"",""?00;"", //"""),"'","""")</f>
        <v>073, 19450829, 08.00, ////, 07</v>
      </c>
    </row>
    <row r="723" spans="1:1" x14ac:dyDescent="0.25">
      <c r="A723" s="16" t="str">
        <f ca="1">TEXT(Overig!A723,"000\,")&amp;TEXT(Overig!B723,"?00000000")&amp;TEXT(Overig!C723,""", ""@")&amp;SUBSTITUTE(TEXT(IF(ISTEXT(Overig!D723),Overig!D723,10*Overig!D723),""",""????0;"",""???-0;"",""????0;"", ////"""),"'","""")&amp;SUBSTITUTE(TEXT(Overig!E723,""",""?00;"",""?-00;"",""?00;"", //"""),"'","""")</f>
        <v>073, 19450829, 12.00, ////, 07</v>
      </c>
    </row>
    <row r="724" spans="1:1" x14ac:dyDescent="0.25">
      <c r="A724" s="16" t="str">
        <f ca="1">TEXT(Overig!A724,"000\,")&amp;TEXT(Overig!B724,"?00000000")&amp;TEXT(Overig!C724,""", ""@")&amp;SUBSTITUTE(TEXT(IF(ISTEXT(Overig!D724),Overig!D724,10*Overig!D724),""",""????0;"",""???-0;"",""????0;"", ////"""),"'","""")&amp;SUBSTITUTE(TEXT(Overig!E724,""",""?00;"",""?-00;"",""?00;"", //"""),"'","""")</f>
        <v>073, 19450829, 16.00, ////, 07</v>
      </c>
    </row>
    <row r="725" spans="1:1" x14ac:dyDescent="0.25">
      <c r="A725" s="16" t="str">
        <f ca="1">TEXT(Overig!A725,"000\,")&amp;TEXT(Overig!B725,"?00000000")&amp;TEXT(Overig!C725,""", ""@")&amp;SUBSTITUTE(TEXT(IF(ISTEXT(Overig!D725),Overig!D725,10*Overig!D725),""",""????0;"",""???-0;"",""????0;"", ////"""),"'","""")&amp;SUBSTITUTE(TEXT(Overig!E725,""",""?00;"",""?-00;"",""?00;"", //"""),"'","""")</f>
        <v>073, 19450830, 08.00, ////, 07</v>
      </c>
    </row>
    <row r="726" spans="1:1" x14ac:dyDescent="0.25">
      <c r="A726" s="16" t="str">
        <f ca="1">TEXT(Overig!A726,"000\,")&amp;TEXT(Overig!B726,"?00000000")&amp;TEXT(Overig!C726,""", ""@")&amp;SUBSTITUTE(TEXT(IF(ISTEXT(Overig!D726),Overig!D726,10*Overig!D726),""",""????0;"",""???-0;"",""????0;"", ////"""),"'","""")&amp;SUBSTITUTE(TEXT(Overig!E726,""",""?00;"",""?-00;"",""?00;"", //"""),"'","""")</f>
        <v>073, 19450830, 12.00, ////, 07</v>
      </c>
    </row>
    <row r="727" spans="1:1" x14ac:dyDescent="0.25">
      <c r="A727" s="16" t="str">
        <f ca="1">TEXT(Overig!A727,"000\,")&amp;TEXT(Overig!B727,"?00000000")&amp;TEXT(Overig!C727,""", ""@")&amp;SUBSTITUTE(TEXT(IF(ISTEXT(Overig!D727),Overig!D727,10*Overig!D727),""",""????0;"",""???-0;"",""????0;"", ////"""),"'","""")&amp;SUBSTITUTE(TEXT(Overig!E727,""",""?00;"",""?-00;"",""?00;"", //"""),"'","""")</f>
        <v>073, 19450830, 16.00, ////, 07</v>
      </c>
    </row>
    <row r="728" spans="1:1" x14ac:dyDescent="0.25">
      <c r="A728" s="16" t="str">
        <f ca="1">TEXT(Overig!A728,"000\,")&amp;TEXT(Overig!B728,"?00000000")&amp;TEXT(Overig!C728,""", ""@")&amp;SUBSTITUTE(TEXT(IF(ISTEXT(Overig!D728),Overig!D728,10*Overig!D728),""",""????0;"",""???-0;"",""????0;"", ////"""),"'","""")&amp;SUBSTITUTE(TEXT(Overig!E728,""",""?00;"",""?-00;"",""?00;"", //"""),"'","""")</f>
        <v>073, 19450831, 08.00, ////, 07</v>
      </c>
    </row>
    <row r="729" spans="1:1" x14ac:dyDescent="0.25">
      <c r="A729" s="16" t="str">
        <f ca="1">TEXT(Overig!A729,"000\,")&amp;TEXT(Overig!B729,"?00000000")&amp;TEXT(Overig!C729,""", ""@")&amp;SUBSTITUTE(TEXT(IF(ISTEXT(Overig!D729),Overig!D729,10*Overig!D729),""",""????0;"",""???-0;"",""????0;"", ////"""),"'","""")&amp;SUBSTITUTE(TEXT(Overig!E729,""",""?00;"",""?-00;"",""?00;"", //"""),"'","""")</f>
        <v>073, 19450831, 12.00, ////, 07</v>
      </c>
    </row>
    <row r="730" spans="1:1" x14ac:dyDescent="0.25">
      <c r="A730" s="16" t="str">
        <f ca="1">TEXT(Overig!A730,"000\,")&amp;TEXT(Overig!B730,"?00000000")&amp;TEXT(Overig!C730,""", ""@")&amp;SUBSTITUTE(TEXT(IF(ISTEXT(Overig!D730),Overig!D730,10*Overig!D730),""",""????0;"",""???-0;"",""????0;"", ////"""),"'","""")&amp;SUBSTITUTE(TEXT(Overig!E730,""",""?00;"",""?-00;"",""?00;"", //"""),"'","""")</f>
        <v>073, 19450831, 16.00, ////, 07</v>
      </c>
    </row>
    <row r="731" spans="1:1" x14ac:dyDescent="0.25">
      <c r="A731" s="16" t="str">
        <f ca="1">TEXT(Overig!A731,"000\,")&amp;TEXT(Overig!B731,"?00000000")&amp;TEXT(Overig!C731,""", ""@")&amp;SUBSTITUTE(TEXT(IF(ISTEXT(Overig!D731),Overig!D731,10*Overig!D731),""",""????0;"",""???-0;"",""????0;"", ////"""),"'","""")&amp;SUBSTITUTE(TEXT(Overig!E731,""",""?00;"",""?-00;"",""?00;"", //"""),"'","""")</f>
        <v>073, 19450901, 08.00, ////, 07</v>
      </c>
    </row>
    <row r="732" spans="1:1" x14ac:dyDescent="0.25">
      <c r="A732" s="16" t="str">
        <f ca="1">TEXT(Overig!A732,"000\,")&amp;TEXT(Overig!B732,"?00000000")&amp;TEXT(Overig!C732,""", ""@")&amp;SUBSTITUTE(TEXT(IF(ISTEXT(Overig!D732),Overig!D732,10*Overig!D732),""",""????0;"",""???-0;"",""????0;"", ////"""),"'","""")&amp;SUBSTITUTE(TEXT(Overig!E732,""",""?00;"",""?-00;"",""?00;"", //"""),"'","""")</f>
        <v>073, 19450901, 12.00, ////, 07</v>
      </c>
    </row>
    <row r="733" spans="1:1" x14ac:dyDescent="0.25">
      <c r="A733" s="16" t="str">
        <f ca="1">TEXT(Overig!A733,"000\,")&amp;TEXT(Overig!B733,"?00000000")&amp;TEXT(Overig!C733,""", ""@")&amp;SUBSTITUTE(TEXT(IF(ISTEXT(Overig!D733),Overig!D733,10*Overig!D733),""",""????0;"",""???-0;"",""????0;"", ////"""),"'","""")&amp;SUBSTITUTE(TEXT(Overig!E733,""",""?00;"",""?-00;"",""?00;"", //"""),"'","""")</f>
        <v>073, 19450901, 16.00, ////, 07</v>
      </c>
    </row>
    <row r="734" spans="1:1" x14ac:dyDescent="0.25">
      <c r="A734" s="16" t="str">
        <f ca="1">TEXT(Overig!A734,"000\,")&amp;TEXT(Overig!B734,"?00000000")&amp;TEXT(Overig!C734,""", ""@")&amp;SUBSTITUTE(TEXT(IF(ISTEXT(Overig!D734),Overig!D734,10*Overig!D734),""",""????0;"",""???-0;"",""????0;"", ////"""),"'","""")&amp;SUBSTITUTE(TEXT(Overig!E734,""",""?00;"",""?-00;"",""?00;"", //"""),"'","""")</f>
        <v>073, 19450902, 08.00, ////, 07</v>
      </c>
    </row>
    <row r="735" spans="1:1" x14ac:dyDescent="0.25">
      <c r="A735" s="16" t="str">
        <f ca="1">TEXT(Overig!A735,"000\,")&amp;TEXT(Overig!B735,"?00000000")&amp;TEXT(Overig!C735,""", ""@")&amp;SUBSTITUTE(TEXT(IF(ISTEXT(Overig!D735),Overig!D735,10*Overig!D735),""",""????0;"",""???-0;"",""????0;"", ////"""),"'","""")&amp;SUBSTITUTE(TEXT(Overig!E735,""",""?00;"",""?-00;"",""?00;"", //"""),"'","""")</f>
        <v>073, 19450902, 12.00, ////, 07</v>
      </c>
    </row>
    <row r="736" spans="1:1" x14ac:dyDescent="0.25">
      <c r="A736" s="16" t="str">
        <f ca="1">TEXT(Overig!A736,"000\,")&amp;TEXT(Overig!B736,"?00000000")&amp;TEXT(Overig!C736,""", ""@")&amp;SUBSTITUTE(TEXT(IF(ISTEXT(Overig!D736),Overig!D736,10*Overig!D736),""",""????0;"",""???-0;"",""????0;"", ////"""),"'","""")&amp;SUBSTITUTE(TEXT(Overig!E736,""",""?00;"",""?-00;"",""?00;"", //"""),"'","""")</f>
        <v>073, 19450902, 16.00, ////, 07</v>
      </c>
    </row>
    <row r="737" spans="1:1" x14ac:dyDescent="0.25">
      <c r="A737" s="16" t="str">
        <f ca="1">TEXT(Overig!A737,"000\,")&amp;TEXT(Overig!B737,"?00000000")&amp;TEXT(Overig!C737,""", ""@")&amp;SUBSTITUTE(TEXT(IF(ISTEXT(Overig!D737),Overig!D737,10*Overig!D737),""",""????0;"",""???-0;"",""????0;"", ////"""),"'","""")&amp;SUBSTITUTE(TEXT(Overig!E737,""",""?00;"",""?-00;"",""?00;"", //"""),"'","""")</f>
        <v>073, 19450903, 08.00, ////, 07</v>
      </c>
    </row>
    <row r="738" spans="1:1" x14ac:dyDescent="0.25">
      <c r="A738" s="16" t="str">
        <f ca="1">TEXT(Overig!A738,"000\,")&amp;TEXT(Overig!B738,"?00000000")&amp;TEXT(Overig!C738,""", ""@")&amp;SUBSTITUTE(TEXT(IF(ISTEXT(Overig!D738),Overig!D738,10*Overig!D738),""",""????0;"",""???-0;"",""????0;"", ////"""),"'","""")&amp;SUBSTITUTE(TEXT(Overig!E738,""",""?00;"",""?-00;"",""?00;"", //"""),"'","""")</f>
        <v>073, 19450903, 12.00, ////, 07</v>
      </c>
    </row>
    <row r="739" spans="1:1" x14ac:dyDescent="0.25">
      <c r="A739" s="16" t="str">
        <f ca="1">TEXT(Overig!A739,"000\,")&amp;TEXT(Overig!B739,"?00000000")&amp;TEXT(Overig!C739,""", ""@")&amp;SUBSTITUTE(TEXT(IF(ISTEXT(Overig!D739),Overig!D739,10*Overig!D739),""",""????0;"",""???-0;"",""????0;"", ////"""),"'","""")&amp;SUBSTITUTE(TEXT(Overig!E739,""",""?00;"",""?-00;"",""?00;"", //"""),"'","""")</f>
        <v>073, 19450903, 16.00, ////, 07</v>
      </c>
    </row>
    <row r="740" spans="1:1" x14ac:dyDescent="0.25">
      <c r="A740" s="16" t="str">
        <f ca="1">TEXT(Overig!A740,"000\,")&amp;TEXT(Overig!B740,"?00000000")&amp;TEXT(Overig!C740,""", ""@")&amp;SUBSTITUTE(TEXT(IF(ISTEXT(Overig!D740),Overig!D740,10*Overig!D740),""",""????0;"",""???-0;"",""????0;"", ////"""),"'","""")&amp;SUBSTITUTE(TEXT(Overig!E740,""",""?00;"",""?-00;"",""?00;"", //"""),"'","""")</f>
        <v>073, 19450904, 08.00, ////, 07</v>
      </c>
    </row>
    <row r="741" spans="1:1" x14ac:dyDescent="0.25">
      <c r="A741" s="16" t="str">
        <f ca="1">TEXT(Overig!A741,"000\,")&amp;TEXT(Overig!B741,"?00000000")&amp;TEXT(Overig!C741,""", ""@")&amp;SUBSTITUTE(TEXT(IF(ISTEXT(Overig!D741),Overig!D741,10*Overig!D741),""",""????0;"",""???-0;"",""????0;"", ////"""),"'","""")&amp;SUBSTITUTE(TEXT(Overig!E741,""",""?00;"",""?-00;"",""?00;"", //"""),"'","""")</f>
        <v>073, 19450904, 12.00, ////, 07</v>
      </c>
    </row>
    <row r="742" spans="1:1" x14ac:dyDescent="0.25">
      <c r="A742" s="16" t="str">
        <f ca="1">TEXT(Overig!A742,"000\,")&amp;TEXT(Overig!B742,"?00000000")&amp;TEXT(Overig!C742,""", ""@")&amp;SUBSTITUTE(TEXT(IF(ISTEXT(Overig!D742),Overig!D742,10*Overig!D742),""",""????0;"",""???-0;"",""????0;"", ////"""),"'","""")&amp;SUBSTITUTE(TEXT(Overig!E742,""",""?00;"",""?-00;"",""?00;"", //"""),"'","""")</f>
        <v>073, 19450904, 16.00, ////, 07</v>
      </c>
    </row>
    <row r="743" spans="1:1" x14ac:dyDescent="0.25">
      <c r="A743" s="16" t="str">
        <f ca="1">TEXT(Overig!A743,"000\,")&amp;TEXT(Overig!B743,"?00000000")&amp;TEXT(Overig!C743,""", ""@")&amp;SUBSTITUTE(TEXT(IF(ISTEXT(Overig!D743),Overig!D743,10*Overig!D743),""",""????0;"",""???-0;"",""????0;"", ////"""),"'","""")&amp;SUBSTITUTE(TEXT(Overig!E743,""",""?00;"",""?-00;"",""?00;"", //"""),"'","""")</f>
        <v>073, 19450905, 08.00, ////, 07</v>
      </c>
    </row>
    <row r="744" spans="1:1" x14ac:dyDescent="0.25">
      <c r="A744" s="16" t="str">
        <f ca="1">TEXT(Overig!A744,"000\,")&amp;TEXT(Overig!B744,"?00000000")&amp;TEXT(Overig!C744,""", ""@")&amp;SUBSTITUTE(TEXT(IF(ISTEXT(Overig!D744),Overig!D744,10*Overig!D744),""",""????0;"",""???-0;"",""????0;"", ////"""),"'","""")&amp;SUBSTITUTE(TEXT(Overig!E744,""",""?00;"",""?-00;"",""?00;"", //"""),"'","""")</f>
        <v>073, 19450905, 12.00, ////, 07</v>
      </c>
    </row>
    <row r="745" spans="1:1" x14ac:dyDescent="0.25">
      <c r="A745" s="16" t="str">
        <f ca="1">TEXT(Overig!A745,"000\,")&amp;TEXT(Overig!B745,"?00000000")&amp;TEXT(Overig!C745,""", ""@")&amp;SUBSTITUTE(TEXT(IF(ISTEXT(Overig!D745),Overig!D745,10*Overig!D745),""",""????0;"",""???-0;"",""????0;"", ////"""),"'","""")&amp;SUBSTITUTE(TEXT(Overig!E745,""",""?00;"",""?-00;"",""?00;"", //"""),"'","""")</f>
        <v>073, 19450905, 16.00, ////, 07</v>
      </c>
    </row>
    <row r="746" spans="1:1" x14ac:dyDescent="0.25">
      <c r="A746" s="16" t="str">
        <f ca="1">TEXT(Overig!A746,"000\,")&amp;TEXT(Overig!B746,"?00000000")&amp;TEXT(Overig!C746,""", ""@")&amp;SUBSTITUTE(TEXT(IF(ISTEXT(Overig!D746),Overig!D746,10*Overig!D746),""",""????0;"",""???-0;"",""????0;"", ////"""),"'","""")&amp;SUBSTITUTE(TEXT(Overig!E746,""",""?00;"",""?-00;"",""?00;"", //"""),"'","""")</f>
        <v>073, 19450906, 08.00, ////, 07</v>
      </c>
    </row>
    <row r="747" spans="1:1" x14ac:dyDescent="0.25">
      <c r="A747" s="16" t="str">
        <f ca="1">TEXT(Overig!A747,"000\,")&amp;TEXT(Overig!B747,"?00000000")&amp;TEXT(Overig!C747,""", ""@")&amp;SUBSTITUTE(TEXT(IF(ISTEXT(Overig!D747),Overig!D747,10*Overig!D747),""",""????0;"",""???-0;"",""????0;"", ////"""),"'","""")&amp;SUBSTITUTE(TEXT(Overig!E747,""",""?00;"",""?-00;"",""?00;"", //"""),"'","""")</f>
        <v>073, 19450906, 12.00, ////, 07</v>
      </c>
    </row>
    <row r="748" spans="1:1" x14ac:dyDescent="0.25">
      <c r="A748" s="16" t="str">
        <f ca="1">TEXT(Overig!A748,"000\,")&amp;TEXT(Overig!B748,"?00000000")&amp;TEXT(Overig!C748,""", ""@")&amp;SUBSTITUTE(TEXT(IF(ISTEXT(Overig!D748),Overig!D748,10*Overig!D748),""",""????0;"",""???-0;"",""????0;"", ////"""),"'","""")&amp;SUBSTITUTE(TEXT(Overig!E748,""",""?00;"",""?-00;"",""?00;"", //"""),"'","""")</f>
        <v>073, 19450906, 16.00, ////, 07</v>
      </c>
    </row>
    <row r="749" spans="1:1" x14ac:dyDescent="0.25">
      <c r="A749" s="16" t="str">
        <f ca="1">TEXT(Overig!A749,"000\,")&amp;TEXT(Overig!B749,"?00000000")&amp;TEXT(Overig!C749,""", ""@")&amp;SUBSTITUTE(TEXT(IF(ISTEXT(Overig!D749),Overig!D749,10*Overig!D749),""",""????0;"",""???-0;"",""????0;"", ////"""),"'","""")&amp;SUBSTITUTE(TEXT(Overig!E749,""",""?00;"",""?-00;"",""?00;"", //"""),"'","""")</f>
        <v>073, 19450907, 08.00, ////, 07</v>
      </c>
    </row>
    <row r="750" spans="1:1" x14ac:dyDescent="0.25">
      <c r="A750" s="16" t="str">
        <f ca="1">TEXT(Overig!A750,"000\,")&amp;TEXT(Overig!B750,"?00000000")&amp;TEXT(Overig!C750,""", ""@")&amp;SUBSTITUTE(TEXT(IF(ISTEXT(Overig!D750),Overig!D750,10*Overig!D750),""",""????0;"",""???-0;"",""????0;"", ////"""),"'","""")&amp;SUBSTITUTE(TEXT(Overig!E750,""",""?00;"",""?-00;"",""?00;"", //"""),"'","""")</f>
        <v>073, 19450907, 12.00, ////, 07</v>
      </c>
    </row>
    <row r="751" spans="1:1" x14ac:dyDescent="0.25">
      <c r="A751" s="16" t="str">
        <f ca="1">TEXT(Overig!A751,"000\,")&amp;TEXT(Overig!B751,"?00000000")&amp;TEXT(Overig!C751,""", ""@")&amp;SUBSTITUTE(TEXT(IF(ISTEXT(Overig!D751),Overig!D751,10*Overig!D751),""",""????0;"",""???-0;"",""????0;"", ////"""),"'","""")&amp;SUBSTITUTE(TEXT(Overig!E751,""",""?00;"",""?-00;"",""?00;"", //"""),"'","""")</f>
        <v>073, 19450907, 16.00, ////, 07</v>
      </c>
    </row>
    <row r="752" spans="1:1" x14ac:dyDescent="0.25">
      <c r="A752" s="16" t="str">
        <f ca="1">TEXT(Overig!A752,"000\,")&amp;TEXT(Overig!B752,"?00000000")&amp;TEXT(Overig!C752,""", ""@")&amp;SUBSTITUTE(TEXT(IF(ISTEXT(Overig!D752),Overig!D752,10*Overig!D752),""",""????0;"",""???-0;"",""????0;"", ////"""),"'","""")&amp;SUBSTITUTE(TEXT(Overig!E752,""",""?00;"",""?-00;"",""?00;"", //"""),"'","""")</f>
        <v>073, 19450908, 08.00, ////, 07</v>
      </c>
    </row>
    <row r="753" spans="1:1" x14ac:dyDescent="0.25">
      <c r="A753" s="16" t="str">
        <f ca="1">TEXT(Overig!A753,"000\,")&amp;TEXT(Overig!B753,"?00000000")&amp;TEXT(Overig!C753,""", ""@")&amp;SUBSTITUTE(TEXT(IF(ISTEXT(Overig!D753),Overig!D753,10*Overig!D753),""",""????0;"",""???-0;"",""????0;"", ////"""),"'","""")&amp;SUBSTITUTE(TEXT(Overig!E753,""",""?00;"",""?-00;"",""?00;"", //"""),"'","""")</f>
        <v>073, 19450908, 12.00, ////, 07</v>
      </c>
    </row>
    <row r="754" spans="1:1" x14ac:dyDescent="0.25">
      <c r="A754" s="16" t="str">
        <f ca="1">TEXT(Overig!A754,"000\,")&amp;TEXT(Overig!B754,"?00000000")&amp;TEXT(Overig!C754,""", ""@")&amp;SUBSTITUTE(TEXT(IF(ISTEXT(Overig!D754),Overig!D754,10*Overig!D754),""",""????0;"",""???-0;"",""????0;"", ////"""),"'","""")&amp;SUBSTITUTE(TEXT(Overig!E754,""",""?00;"",""?-00;"",""?00;"", //"""),"'","""")</f>
        <v>073, 19450908, 16.00, ////, 07</v>
      </c>
    </row>
    <row r="755" spans="1:1" x14ac:dyDescent="0.25">
      <c r="A755" s="16" t="str">
        <f ca="1">TEXT(Overig!A755,"000\,")&amp;TEXT(Overig!B755,"?00000000")&amp;TEXT(Overig!C755,""", ""@")&amp;SUBSTITUTE(TEXT(IF(ISTEXT(Overig!D755),Overig!D755,10*Overig!D755),""",""????0;"",""???-0;"",""????0;"", ////"""),"'","""")&amp;SUBSTITUTE(TEXT(Overig!E755,""",""?00;"",""?-00;"",""?00;"", //"""),"'","""")</f>
        <v>073, 19450909, 08.00, ////, 07</v>
      </c>
    </row>
    <row r="756" spans="1:1" x14ac:dyDescent="0.25">
      <c r="A756" s="16" t="str">
        <f ca="1">TEXT(Overig!A756,"000\,")&amp;TEXT(Overig!B756,"?00000000")&amp;TEXT(Overig!C756,""", ""@")&amp;SUBSTITUTE(TEXT(IF(ISTEXT(Overig!D756),Overig!D756,10*Overig!D756),""",""????0;"",""???-0;"",""????0;"", ////"""),"'","""")&amp;SUBSTITUTE(TEXT(Overig!E756,""",""?00;"",""?-00;"",""?00;"", //"""),"'","""")</f>
        <v>073, 19450909, 12.00, ////, 07</v>
      </c>
    </row>
    <row r="757" spans="1:1" x14ac:dyDescent="0.25">
      <c r="A757" s="16" t="str">
        <f ca="1">TEXT(Overig!A757,"000\,")&amp;TEXT(Overig!B757,"?00000000")&amp;TEXT(Overig!C757,""", ""@")&amp;SUBSTITUTE(TEXT(IF(ISTEXT(Overig!D757),Overig!D757,10*Overig!D757),""",""????0;"",""???-0;"",""????0;"", ////"""),"'","""")&amp;SUBSTITUTE(TEXT(Overig!E757,""",""?00;"",""?-00;"",""?00;"", //"""),"'","""")</f>
        <v>073, 19450909, 16.00, ////, 07</v>
      </c>
    </row>
    <row r="758" spans="1:1" x14ac:dyDescent="0.25">
      <c r="A758" s="16" t="str">
        <f ca="1">TEXT(Overig!A758,"000\,")&amp;TEXT(Overig!B758,"?00000000")&amp;TEXT(Overig!C758,""", ""@")&amp;SUBSTITUTE(TEXT(IF(ISTEXT(Overig!D758),Overig!D758,10*Overig!D758),""",""????0;"",""???-0;"",""????0;"", ////"""),"'","""")&amp;SUBSTITUTE(TEXT(Overig!E758,""",""?00;"",""?-00;"",""?00;"", //"""),"'","""")</f>
        <v>073, 19450910, 08.00, ////, 07</v>
      </c>
    </row>
    <row r="759" spans="1:1" x14ac:dyDescent="0.25">
      <c r="A759" s="16" t="str">
        <f ca="1">TEXT(Overig!A759,"000\,")&amp;TEXT(Overig!B759,"?00000000")&amp;TEXT(Overig!C759,""", ""@")&amp;SUBSTITUTE(TEXT(IF(ISTEXT(Overig!D759),Overig!D759,10*Overig!D759),""",""????0;"",""???-0;"",""????0;"", ////"""),"'","""")&amp;SUBSTITUTE(TEXT(Overig!E759,""",""?00;"",""?-00;"",""?00;"", //"""),"'","""")</f>
        <v>073, 19450910, 12.00, ////, 07</v>
      </c>
    </row>
    <row r="760" spans="1:1" x14ac:dyDescent="0.25">
      <c r="A760" s="16" t="str">
        <f ca="1">TEXT(Overig!A760,"000\,")&amp;TEXT(Overig!B760,"?00000000")&amp;TEXT(Overig!C760,""", ""@")&amp;SUBSTITUTE(TEXT(IF(ISTEXT(Overig!D760),Overig!D760,10*Overig!D760),""",""????0;"",""???-0;"",""????0;"", ////"""),"'","""")&amp;SUBSTITUTE(TEXT(Overig!E760,""",""?00;"",""?-00;"",""?00;"", //"""),"'","""")</f>
        <v>073, 19450910, 16.00, ////, 07</v>
      </c>
    </row>
    <row r="761" spans="1:1" x14ac:dyDescent="0.25">
      <c r="A761" s="16" t="str">
        <f ca="1">TEXT(Overig!A761,"000\,")&amp;TEXT(Overig!B761,"?00000000")&amp;TEXT(Overig!C761,""", ""@")&amp;SUBSTITUTE(TEXT(IF(ISTEXT(Overig!D761),Overig!D761,10*Overig!D761),""",""????0;"",""???-0;"",""????0;"", ////"""),"'","""")&amp;SUBSTITUTE(TEXT(Overig!E761,""",""?00;"",""?-00;"",""?00;"", //"""),"'","""")</f>
        <v>073, 19450911, 08.00, ////, 07</v>
      </c>
    </row>
    <row r="762" spans="1:1" x14ac:dyDescent="0.25">
      <c r="A762" s="16" t="str">
        <f ca="1">TEXT(Overig!A762,"000\,")&amp;TEXT(Overig!B762,"?00000000")&amp;TEXT(Overig!C762,""", ""@")&amp;SUBSTITUTE(TEXT(IF(ISTEXT(Overig!D762),Overig!D762,10*Overig!D762),""",""????0;"",""???-0;"",""????0;"", ////"""),"'","""")&amp;SUBSTITUTE(TEXT(Overig!E762,""",""?00;"",""?-00;"",""?00;"", //"""),"'","""")</f>
        <v>073, 19450911, 12.00, ////, 07</v>
      </c>
    </row>
    <row r="763" spans="1:1" x14ac:dyDescent="0.25">
      <c r="A763" s="16" t="str">
        <f ca="1">TEXT(Overig!A763,"000\,")&amp;TEXT(Overig!B763,"?00000000")&amp;TEXT(Overig!C763,""", ""@")&amp;SUBSTITUTE(TEXT(IF(ISTEXT(Overig!D763),Overig!D763,10*Overig!D763),""",""????0;"",""???-0;"",""????0;"", ////"""),"'","""")&amp;SUBSTITUTE(TEXT(Overig!E763,""",""?00;"",""?-00;"",""?00;"", //"""),"'","""")</f>
        <v>073, 19450911, 16.00, ////, 07</v>
      </c>
    </row>
    <row r="764" spans="1:1" x14ac:dyDescent="0.25">
      <c r="A764" s="16" t="str">
        <f ca="1">TEXT(Overig!A764,"000\,")&amp;TEXT(Overig!B764,"?00000000")&amp;TEXT(Overig!C764,""", ""@")&amp;SUBSTITUTE(TEXT(IF(ISTEXT(Overig!D764),Overig!D764,10*Overig!D764),""",""????0;"",""???-0;"",""????0;"", ////"""),"'","""")&amp;SUBSTITUTE(TEXT(Overig!E764,""",""?00;"",""?-00;"",""?00;"", //"""),"'","""")</f>
        <v>073, 19450912, 08.00, ////, 07</v>
      </c>
    </row>
    <row r="765" spans="1:1" x14ac:dyDescent="0.25">
      <c r="A765" s="16" t="str">
        <f ca="1">TEXT(Overig!A765,"000\,")&amp;TEXT(Overig!B765,"?00000000")&amp;TEXT(Overig!C765,""", ""@")&amp;SUBSTITUTE(TEXT(IF(ISTEXT(Overig!D765),Overig!D765,10*Overig!D765),""",""????0;"",""???-0;"",""????0;"", ////"""),"'","""")&amp;SUBSTITUTE(TEXT(Overig!E765,""",""?00;"",""?-00;"",""?00;"", //"""),"'","""")</f>
        <v>073, 19450912, 12.00, ////, 07</v>
      </c>
    </row>
    <row r="766" spans="1:1" x14ac:dyDescent="0.25">
      <c r="A766" s="16" t="str">
        <f ca="1">TEXT(Overig!A766,"000\,")&amp;TEXT(Overig!B766,"?00000000")&amp;TEXT(Overig!C766,""", ""@")&amp;SUBSTITUTE(TEXT(IF(ISTEXT(Overig!D766),Overig!D766,10*Overig!D766),""",""????0;"",""???-0;"",""????0;"", ////"""),"'","""")&amp;SUBSTITUTE(TEXT(Overig!E766,""",""?00;"",""?-00;"",""?00;"", //"""),"'","""")</f>
        <v>073, 19450912, 16.00, ////, 07</v>
      </c>
    </row>
    <row r="767" spans="1:1" x14ac:dyDescent="0.25">
      <c r="A767" s="16" t="str">
        <f ca="1">TEXT(Overig!A767,"000\,")&amp;TEXT(Overig!B767,"?00000000")&amp;TEXT(Overig!C767,""", ""@")&amp;SUBSTITUTE(TEXT(IF(ISTEXT(Overig!D767),Overig!D767,10*Overig!D767),""",""????0;"",""???-0;"",""????0;"", ////"""),"'","""")&amp;SUBSTITUTE(TEXT(Overig!E767,""",""?00;"",""?-00;"",""?00;"", //"""),"'","""")</f>
        <v>073, 19450913, 08.00, ////, 07</v>
      </c>
    </row>
    <row r="768" spans="1:1" x14ac:dyDescent="0.25">
      <c r="A768" s="16" t="str">
        <f ca="1">TEXT(Overig!A768,"000\,")&amp;TEXT(Overig!B768,"?00000000")&amp;TEXT(Overig!C768,""", ""@")&amp;SUBSTITUTE(TEXT(IF(ISTEXT(Overig!D768),Overig!D768,10*Overig!D768),""",""????0;"",""???-0;"",""????0;"", ////"""),"'","""")&amp;SUBSTITUTE(TEXT(Overig!E768,""",""?00;"",""?-00;"",""?00;"", //"""),"'","""")</f>
        <v>073, 19450913, 12.00, ////, 07</v>
      </c>
    </row>
    <row r="769" spans="1:1" x14ac:dyDescent="0.25">
      <c r="A769" s="16" t="str">
        <f ca="1">TEXT(Overig!A769,"000\,")&amp;TEXT(Overig!B769,"?00000000")&amp;TEXT(Overig!C769,""", ""@")&amp;SUBSTITUTE(TEXT(IF(ISTEXT(Overig!D769),Overig!D769,10*Overig!D769),""",""????0;"",""???-0;"",""????0;"", ////"""),"'","""")&amp;SUBSTITUTE(TEXT(Overig!E769,""",""?00;"",""?-00;"",""?00;"", //"""),"'","""")</f>
        <v>073, 19450913, 16.00, ////, 07</v>
      </c>
    </row>
    <row r="770" spans="1:1" x14ac:dyDescent="0.25">
      <c r="A770" s="16" t="str">
        <f ca="1">TEXT(Overig!A770,"000\,")&amp;TEXT(Overig!B770,"?00000000")&amp;TEXT(Overig!C770,""", ""@")&amp;SUBSTITUTE(TEXT(IF(ISTEXT(Overig!D770),Overig!D770,10*Overig!D770),""",""????0;"",""???-0;"",""????0;"", ////"""),"'","""")&amp;SUBSTITUTE(TEXT(Overig!E770,""",""?00;"",""?-00;"",""?00;"", //"""),"'","""")</f>
        <v>073, 19450914, 08.00, ////, 07</v>
      </c>
    </row>
    <row r="771" spans="1:1" x14ac:dyDescent="0.25">
      <c r="A771" s="16" t="str">
        <f ca="1">TEXT(Overig!A771,"000\,")&amp;TEXT(Overig!B771,"?00000000")&amp;TEXT(Overig!C771,""", ""@")&amp;SUBSTITUTE(TEXT(IF(ISTEXT(Overig!D771),Overig!D771,10*Overig!D771),""",""????0;"",""???-0;"",""????0;"", ////"""),"'","""")&amp;SUBSTITUTE(TEXT(Overig!E771,""",""?00;"",""?-00;"",""?00;"", //"""),"'","""")</f>
        <v>073, 19450914, 12.00, ////, 07</v>
      </c>
    </row>
    <row r="772" spans="1:1" x14ac:dyDescent="0.25">
      <c r="A772" s="16" t="str">
        <f ca="1">TEXT(Overig!A772,"000\,")&amp;TEXT(Overig!B772,"?00000000")&amp;TEXT(Overig!C772,""", ""@")&amp;SUBSTITUTE(TEXT(IF(ISTEXT(Overig!D772),Overig!D772,10*Overig!D772),""",""????0;"",""???-0;"",""????0;"", ////"""),"'","""")&amp;SUBSTITUTE(TEXT(Overig!E772,""",""?00;"",""?-00;"",""?00;"", //"""),"'","""")</f>
        <v>073, 19450914, 16.00, ////, 07</v>
      </c>
    </row>
    <row r="773" spans="1:1" x14ac:dyDescent="0.25">
      <c r="A773" s="16" t="str">
        <f ca="1">TEXT(Overig!A773,"000\,")&amp;TEXT(Overig!B773,"?00000000")&amp;TEXT(Overig!C773,""", ""@")&amp;SUBSTITUTE(TEXT(IF(ISTEXT(Overig!D773),Overig!D773,10*Overig!D773),""",""????0;"",""???-0;"",""????0;"", ////"""),"'","""")&amp;SUBSTITUTE(TEXT(Overig!E773,""",""?00;"",""?-00;"",""?00;"", //"""),"'","""")</f>
        <v>073, 19450915, 08.00, ////, 07</v>
      </c>
    </row>
    <row r="774" spans="1:1" x14ac:dyDescent="0.25">
      <c r="A774" s="16" t="str">
        <f ca="1">TEXT(Overig!A774,"000\,")&amp;TEXT(Overig!B774,"?00000000")&amp;TEXT(Overig!C774,""", ""@")&amp;SUBSTITUTE(TEXT(IF(ISTEXT(Overig!D774),Overig!D774,10*Overig!D774),""",""????0;"",""???-0;"",""????0;"", ////"""),"'","""")&amp;SUBSTITUTE(TEXT(Overig!E774,""",""?00;"",""?-00;"",""?00;"", //"""),"'","""")</f>
        <v>073, 19450915, 12.00, ////, 07</v>
      </c>
    </row>
    <row r="775" spans="1:1" x14ac:dyDescent="0.25">
      <c r="A775" s="16" t="str">
        <f ca="1">TEXT(Overig!A775,"000\,")&amp;TEXT(Overig!B775,"?00000000")&amp;TEXT(Overig!C775,""", ""@")&amp;SUBSTITUTE(TEXT(IF(ISTEXT(Overig!D775),Overig!D775,10*Overig!D775),""",""????0;"",""???-0;"",""????0;"", ////"""),"'","""")&amp;SUBSTITUTE(TEXT(Overig!E775,""",""?00;"",""?-00;"",""?00;"", //"""),"'","""")</f>
        <v>073, 19450915, 16.00, ////, 07</v>
      </c>
    </row>
    <row r="776" spans="1:1" x14ac:dyDescent="0.25">
      <c r="A776" s="16" t="str">
        <f ca="1">TEXT(Overig!A776,"000\,")&amp;TEXT(Overig!B776,"?00000000")&amp;TEXT(Overig!C776,""", ""@")&amp;SUBSTITUTE(TEXT(IF(ISTEXT(Overig!D776),Overig!D776,10*Overig!D776),""",""????0;"",""???-0;"",""????0;"", ////"""),"'","""")&amp;SUBSTITUTE(TEXT(Overig!E776,""",""?00;"",""?-00;"",""?00;"", //"""),"'","""")</f>
        <v>073, 19450916, 08.00, ////, 07</v>
      </c>
    </row>
    <row r="777" spans="1:1" x14ac:dyDescent="0.25">
      <c r="A777" s="16" t="str">
        <f ca="1">TEXT(Overig!A777,"000\,")&amp;TEXT(Overig!B777,"?00000000")&amp;TEXT(Overig!C777,""", ""@")&amp;SUBSTITUTE(TEXT(IF(ISTEXT(Overig!D777),Overig!D777,10*Overig!D777),""",""????0;"",""???-0;"",""????0;"", ////"""),"'","""")&amp;SUBSTITUTE(TEXT(Overig!E777,""",""?00;"",""?-00;"",""?00;"", //"""),"'","""")</f>
        <v>073, 19450916, 12.00, ////, 07</v>
      </c>
    </row>
    <row r="778" spans="1:1" x14ac:dyDescent="0.25">
      <c r="A778" s="16" t="str">
        <f ca="1">TEXT(Overig!A778,"000\,")&amp;TEXT(Overig!B778,"?00000000")&amp;TEXT(Overig!C778,""", ""@")&amp;SUBSTITUTE(TEXT(IF(ISTEXT(Overig!D778),Overig!D778,10*Overig!D778),""",""????0;"",""???-0;"",""????0;"", ////"""),"'","""")&amp;SUBSTITUTE(TEXT(Overig!E778,""",""?00;"",""?-00;"",""?00;"", //"""),"'","""")</f>
        <v>073, 19450916, 16.00, ////, 07</v>
      </c>
    </row>
    <row r="779" spans="1:1" x14ac:dyDescent="0.25">
      <c r="A779" s="16" t="str">
        <f ca="1">TEXT(Overig!A779,"000\,")&amp;TEXT(Overig!B779,"?00000000")&amp;TEXT(Overig!C779,""", ""@")&amp;SUBSTITUTE(TEXT(IF(ISTEXT(Overig!D779),Overig!D779,10*Overig!D779),""",""????0;"",""???-0;"",""????0;"", ////"""),"'","""")&amp;SUBSTITUTE(TEXT(Overig!E779,""",""?00;"",""?-00;"",""?00;"", //"""),"'","""")</f>
        <v>073, 19450917, 08.00, ////, 07</v>
      </c>
    </row>
    <row r="780" spans="1:1" x14ac:dyDescent="0.25">
      <c r="A780" s="16" t="str">
        <f ca="1">TEXT(Overig!A780,"000\,")&amp;TEXT(Overig!B780,"?00000000")&amp;TEXT(Overig!C780,""", ""@")&amp;SUBSTITUTE(TEXT(IF(ISTEXT(Overig!D780),Overig!D780,10*Overig!D780),""",""????0;"",""???-0;"",""????0;"", ////"""),"'","""")&amp;SUBSTITUTE(TEXT(Overig!E780,""",""?00;"",""?-00;"",""?00;"", //"""),"'","""")</f>
        <v>073, 19450917, 12.00, ////, 07</v>
      </c>
    </row>
    <row r="781" spans="1:1" x14ac:dyDescent="0.25">
      <c r="A781" s="16" t="str">
        <f ca="1">TEXT(Overig!A781,"000\,")&amp;TEXT(Overig!B781,"?00000000")&amp;TEXT(Overig!C781,""", ""@")&amp;SUBSTITUTE(TEXT(IF(ISTEXT(Overig!D781),Overig!D781,10*Overig!D781),""",""????0;"",""???-0;"",""????0;"", ////"""),"'","""")&amp;SUBSTITUTE(TEXT(Overig!E781,""",""?00;"",""?-00;"",""?00;"", //"""),"'","""")</f>
        <v>073, 19450917, 16.00, ////, 07</v>
      </c>
    </row>
    <row r="782" spans="1:1" x14ac:dyDescent="0.25">
      <c r="A782" s="16" t="str">
        <f ca="1">TEXT(Overig!A782,"000\,")&amp;TEXT(Overig!B782,"?00000000")&amp;TEXT(Overig!C782,""", ""@")&amp;SUBSTITUTE(TEXT(IF(ISTEXT(Overig!D782),Overig!D782,10*Overig!D782),""",""????0;"",""???-0;"",""????0;"", ////"""),"'","""")&amp;SUBSTITUTE(TEXT(Overig!E782,""",""?00;"",""?-00;"",""?00;"", //"""),"'","""")</f>
        <v>073, 19450918, 08.00, ////, 07</v>
      </c>
    </row>
    <row r="783" spans="1:1" x14ac:dyDescent="0.25">
      <c r="A783" s="16" t="str">
        <f ca="1">TEXT(Overig!A783,"000\,")&amp;TEXT(Overig!B783,"?00000000")&amp;TEXT(Overig!C783,""", ""@")&amp;SUBSTITUTE(TEXT(IF(ISTEXT(Overig!D783),Overig!D783,10*Overig!D783),""",""????0;"",""???-0;"",""????0;"", ////"""),"'","""")&amp;SUBSTITUTE(TEXT(Overig!E783,""",""?00;"",""?-00;"",""?00;"", //"""),"'","""")</f>
        <v>073, 19450918, 12.00, ////, 07</v>
      </c>
    </row>
    <row r="784" spans="1:1" x14ac:dyDescent="0.25">
      <c r="A784" s="16" t="str">
        <f ca="1">TEXT(Overig!A784,"000\,")&amp;TEXT(Overig!B784,"?00000000")&amp;TEXT(Overig!C784,""", ""@")&amp;SUBSTITUTE(TEXT(IF(ISTEXT(Overig!D784),Overig!D784,10*Overig!D784),""",""????0;"",""???-0;"",""????0;"", ////"""),"'","""")&amp;SUBSTITUTE(TEXT(Overig!E784,""",""?00;"",""?-00;"",""?00;"", //"""),"'","""")</f>
        <v>073, 19450918, 16.00, ////, 07</v>
      </c>
    </row>
    <row r="785" spans="1:1" x14ac:dyDescent="0.25">
      <c r="A785" s="16" t="str">
        <f ca="1">TEXT(Overig!A785,"000\,")&amp;TEXT(Overig!B785,"?00000000")&amp;TEXT(Overig!C785,""", ""@")&amp;SUBSTITUTE(TEXT(IF(ISTEXT(Overig!D785),Overig!D785,10*Overig!D785),""",""????0;"",""???-0;"",""????0;"", ////"""),"'","""")&amp;SUBSTITUTE(TEXT(Overig!E785,""",""?00;"",""?-00;"",""?00;"", //"""),"'","""")</f>
        <v>073, 19450919, 08.00, ////, 07</v>
      </c>
    </row>
    <row r="786" spans="1:1" x14ac:dyDescent="0.25">
      <c r="A786" s="16" t="str">
        <f ca="1">TEXT(Overig!A786,"000\,")&amp;TEXT(Overig!B786,"?00000000")&amp;TEXT(Overig!C786,""", ""@")&amp;SUBSTITUTE(TEXT(IF(ISTEXT(Overig!D786),Overig!D786,10*Overig!D786),""",""????0;"",""???-0;"",""????0;"", ////"""),"'","""")&amp;SUBSTITUTE(TEXT(Overig!E786,""",""?00;"",""?-00;"",""?00;"", //"""),"'","""")</f>
        <v>073, 19450919, 12.00, ////, 07</v>
      </c>
    </row>
    <row r="787" spans="1:1" x14ac:dyDescent="0.25">
      <c r="A787" s="16" t="str">
        <f ca="1">TEXT(Overig!A787,"000\,")&amp;TEXT(Overig!B787,"?00000000")&amp;TEXT(Overig!C787,""", ""@")&amp;SUBSTITUTE(TEXT(IF(ISTEXT(Overig!D787),Overig!D787,10*Overig!D787),""",""????0;"",""???-0;"",""????0;"", ////"""),"'","""")&amp;SUBSTITUTE(TEXT(Overig!E787,""",""?00;"",""?-00;"",""?00;"", //"""),"'","""")</f>
        <v>073, 19450919, 16.00, ////, 07</v>
      </c>
    </row>
    <row r="788" spans="1:1" x14ac:dyDescent="0.25">
      <c r="A788" s="16" t="str">
        <f ca="1">TEXT(Overig!A788,"000\,")&amp;TEXT(Overig!B788,"?00000000")&amp;TEXT(Overig!C788,""", ""@")&amp;SUBSTITUTE(TEXT(IF(ISTEXT(Overig!D788),Overig!D788,10*Overig!D788),""",""????0;"",""???-0;"",""????0;"", ////"""),"'","""")&amp;SUBSTITUTE(TEXT(Overig!E788,""",""?00;"",""?-00;"",""?00;"", //"""),"'","""")</f>
        <v>073, 19450920, 08.00, ////, 07</v>
      </c>
    </row>
    <row r="789" spans="1:1" x14ac:dyDescent="0.25">
      <c r="A789" s="16" t="str">
        <f ca="1">TEXT(Overig!A789,"000\,")&amp;TEXT(Overig!B789,"?00000000")&amp;TEXT(Overig!C789,""", ""@")&amp;SUBSTITUTE(TEXT(IF(ISTEXT(Overig!D789),Overig!D789,10*Overig!D789),""",""????0;"",""???-0;"",""????0;"", ////"""),"'","""")&amp;SUBSTITUTE(TEXT(Overig!E789,""",""?00;"",""?-00;"",""?00;"", //"""),"'","""")</f>
        <v>073, 19450920, 12.00, ////, 07</v>
      </c>
    </row>
    <row r="790" spans="1:1" x14ac:dyDescent="0.25">
      <c r="A790" s="16" t="str">
        <f ca="1">TEXT(Overig!A790,"000\,")&amp;TEXT(Overig!B790,"?00000000")&amp;TEXT(Overig!C790,""", ""@")&amp;SUBSTITUTE(TEXT(IF(ISTEXT(Overig!D790),Overig!D790,10*Overig!D790),""",""????0;"",""???-0;"",""????0;"", ////"""),"'","""")&amp;SUBSTITUTE(TEXT(Overig!E790,""",""?00;"",""?-00;"",""?00;"", //"""),"'","""")</f>
        <v>073, 19450920, 16.00, ////, 07</v>
      </c>
    </row>
    <row r="791" spans="1:1" x14ac:dyDescent="0.25">
      <c r="A791" s="16" t="str">
        <f ca="1">TEXT(Overig!A791,"000\,")&amp;TEXT(Overig!B791,"?00000000")&amp;TEXT(Overig!C791,""", ""@")&amp;SUBSTITUTE(TEXT(IF(ISTEXT(Overig!D791),Overig!D791,10*Overig!D791),""",""????0;"",""???-0;"",""????0;"", ////"""),"'","""")&amp;SUBSTITUTE(TEXT(Overig!E791,""",""?00;"",""?-00;"",""?00;"", //"""),"'","""")</f>
        <v>073, 19450921, 08.00, ////, 07</v>
      </c>
    </row>
    <row r="792" spans="1:1" x14ac:dyDescent="0.25">
      <c r="A792" s="16" t="str">
        <f ca="1">TEXT(Overig!A792,"000\,")&amp;TEXT(Overig!B792,"?00000000")&amp;TEXT(Overig!C792,""", ""@")&amp;SUBSTITUTE(TEXT(IF(ISTEXT(Overig!D792),Overig!D792,10*Overig!D792),""",""????0;"",""???-0;"",""????0;"", ////"""),"'","""")&amp;SUBSTITUTE(TEXT(Overig!E792,""",""?00;"",""?-00;"",""?00;"", //"""),"'","""")</f>
        <v>073, 19450921, 12.00, ////, 07</v>
      </c>
    </row>
    <row r="793" spans="1:1" x14ac:dyDescent="0.25">
      <c r="A793" s="16" t="str">
        <f ca="1">TEXT(Overig!A793,"000\,")&amp;TEXT(Overig!B793,"?00000000")&amp;TEXT(Overig!C793,""", ""@")&amp;SUBSTITUTE(TEXT(IF(ISTEXT(Overig!D793),Overig!D793,10*Overig!D793),""",""????0;"",""???-0;"",""????0;"", ////"""),"'","""")&amp;SUBSTITUTE(TEXT(Overig!E793,""",""?00;"",""?-00;"",""?00;"", //"""),"'","""")</f>
        <v>073, 19450921, 16.00, ////, 07</v>
      </c>
    </row>
    <row r="794" spans="1:1" x14ac:dyDescent="0.25">
      <c r="A794" s="16" t="str">
        <f ca="1">TEXT(Overig!A794,"000\,")&amp;TEXT(Overig!B794,"?00000000")&amp;TEXT(Overig!C794,""", ""@")&amp;SUBSTITUTE(TEXT(IF(ISTEXT(Overig!D794),Overig!D794,10*Overig!D794),""",""????0;"",""???-0;"",""????0;"", ////"""),"'","""")&amp;SUBSTITUTE(TEXT(Overig!E794,""",""?00;"",""?-00;"",""?00;"", //"""),"'","""")</f>
        <v>073, 19450922, 08.00, ////, 07</v>
      </c>
    </row>
    <row r="795" spans="1:1" x14ac:dyDescent="0.25">
      <c r="A795" s="16" t="str">
        <f ca="1">TEXT(Overig!A795,"000\,")&amp;TEXT(Overig!B795,"?00000000")&amp;TEXT(Overig!C795,""", ""@")&amp;SUBSTITUTE(TEXT(IF(ISTEXT(Overig!D795),Overig!D795,10*Overig!D795),""",""????0;"",""???-0;"",""????0;"", ////"""),"'","""")&amp;SUBSTITUTE(TEXT(Overig!E795,""",""?00;"",""?-00;"",""?00;"", //"""),"'","""")</f>
        <v>073, 19450922, 12.00, ////, 07</v>
      </c>
    </row>
    <row r="796" spans="1:1" x14ac:dyDescent="0.25">
      <c r="A796" s="16" t="str">
        <f ca="1">TEXT(Overig!A796,"000\,")&amp;TEXT(Overig!B796,"?00000000")&amp;TEXT(Overig!C796,""", ""@")&amp;SUBSTITUTE(TEXT(IF(ISTEXT(Overig!D796),Overig!D796,10*Overig!D796),""",""????0;"",""???-0;"",""????0;"", ////"""),"'","""")&amp;SUBSTITUTE(TEXT(Overig!E796,""",""?00;"",""?-00;"",""?00;"", //"""),"'","""")</f>
        <v>073, 19450922, 16.00, ////, 07</v>
      </c>
    </row>
    <row r="797" spans="1:1" x14ac:dyDescent="0.25">
      <c r="A797" s="16" t="str">
        <f ca="1">TEXT(Overig!A797,"000\,")&amp;TEXT(Overig!B797,"?00000000")&amp;TEXT(Overig!C797,""", ""@")&amp;SUBSTITUTE(TEXT(IF(ISTEXT(Overig!D797),Overig!D797,10*Overig!D797),""",""????0;"",""???-0;"",""????0;"", ////"""),"'","""")&amp;SUBSTITUTE(TEXT(Overig!E797,""",""?00;"",""?-00;"",""?00;"", //"""),"'","""")</f>
        <v>073, 19450923, 08.00, ////, 07</v>
      </c>
    </row>
    <row r="798" spans="1:1" x14ac:dyDescent="0.25">
      <c r="A798" s="16" t="str">
        <f ca="1">TEXT(Overig!A798,"000\,")&amp;TEXT(Overig!B798,"?00000000")&amp;TEXT(Overig!C798,""", ""@")&amp;SUBSTITUTE(TEXT(IF(ISTEXT(Overig!D798),Overig!D798,10*Overig!D798),""",""????0;"",""???-0;"",""????0;"", ////"""),"'","""")&amp;SUBSTITUTE(TEXT(Overig!E798,""",""?00;"",""?-00;"",""?00;"", //"""),"'","""")</f>
        <v>073, 19450923, 12.00, ////, 07</v>
      </c>
    </row>
    <row r="799" spans="1:1" x14ac:dyDescent="0.25">
      <c r="A799" s="16" t="str">
        <f ca="1">TEXT(Overig!A799,"000\,")&amp;TEXT(Overig!B799,"?00000000")&amp;TEXT(Overig!C799,""", ""@")&amp;SUBSTITUTE(TEXT(IF(ISTEXT(Overig!D799),Overig!D799,10*Overig!D799),""",""????0;"",""???-0;"",""????0;"", ////"""),"'","""")&amp;SUBSTITUTE(TEXT(Overig!E799,""",""?00;"",""?-00;"",""?00;"", //"""),"'","""")</f>
        <v>073, 19450923, 16.00, ////, 07</v>
      </c>
    </row>
    <row r="800" spans="1:1" x14ac:dyDescent="0.25">
      <c r="A800" s="16" t="str">
        <f ca="1">TEXT(Overig!A800,"000\,")&amp;TEXT(Overig!B800,"?00000000")&amp;TEXT(Overig!C800,""", ""@")&amp;SUBSTITUTE(TEXT(IF(ISTEXT(Overig!D800),Overig!D800,10*Overig!D800),""",""????0;"",""???-0;"",""????0;"", ////"""),"'","""")&amp;SUBSTITUTE(TEXT(Overig!E800,""",""?00;"",""?-00;"",""?00;"", //"""),"'","""")</f>
        <v>073, 19450924, 08.00, ////, 07</v>
      </c>
    </row>
    <row r="801" spans="1:1" x14ac:dyDescent="0.25">
      <c r="A801" s="16" t="str">
        <f ca="1">TEXT(Overig!A801,"000\,")&amp;TEXT(Overig!B801,"?00000000")&amp;TEXT(Overig!C801,""", ""@")&amp;SUBSTITUTE(TEXT(IF(ISTEXT(Overig!D801),Overig!D801,10*Overig!D801),""",""????0;"",""???-0;"",""????0;"", ////"""),"'","""")&amp;SUBSTITUTE(TEXT(Overig!E801,""",""?00;"",""?-00;"",""?00;"", //"""),"'","""")</f>
        <v>073, 19450924, 12.00, ////, 07</v>
      </c>
    </row>
    <row r="802" spans="1:1" x14ac:dyDescent="0.25">
      <c r="A802" s="16" t="str">
        <f ca="1">TEXT(Overig!A802,"000\,")&amp;TEXT(Overig!B802,"?00000000")&amp;TEXT(Overig!C802,""", ""@")&amp;SUBSTITUTE(TEXT(IF(ISTEXT(Overig!D802),Overig!D802,10*Overig!D802),""",""????0;"",""???-0;"",""????0;"", ////"""),"'","""")&amp;SUBSTITUTE(TEXT(Overig!E802,""",""?00;"",""?-00;"",""?00;"", //"""),"'","""")</f>
        <v>073, 19450924, 16.00, ////, 07</v>
      </c>
    </row>
    <row r="803" spans="1:1" x14ac:dyDescent="0.25">
      <c r="A803" s="16" t="str">
        <f ca="1">TEXT(Overig!A803,"000\,")&amp;TEXT(Overig!B803,"?00000000")&amp;TEXT(Overig!C803,""", ""@")&amp;SUBSTITUTE(TEXT(IF(ISTEXT(Overig!D803),Overig!D803,10*Overig!D803),""",""????0;"",""???-0;"",""????0;"", ////"""),"'","""")&amp;SUBSTITUTE(TEXT(Overig!E803,""",""?00;"",""?-00;"",""?00;"", //"""),"'","""")</f>
        <v>073, 19450925, 08.00, ////, 07</v>
      </c>
    </row>
    <row r="804" spans="1:1" x14ac:dyDescent="0.25">
      <c r="A804" s="16" t="str">
        <f ca="1">TEXT(Overig!A804,"000\,")&amp;TEXT(Overig!B804,"?00000000")&amp;TEXT(Overig!C804,""", ""@")&amp;SUBSTITUTE(TEXT(IF(ISTEXT(Overig!D804),Overig!D804,10*Overig!D804),""",""????0;"",""???-0;"",""????0;"", ////"""),"'","""")&amp;SUBSTITUTE(TEXT(Overig!E804,""",""?00;"",""?-00;"",""?00;"", //"""),"'","""")</f>
        <v>073, 19450925, 12.00, ////, 07</v>
      </c>
    </row>
    <row r="805" spans="1:1" x14ac:dyDescent="0.25">
      <c r="A805" s="16" t="str">
        <f ca="1">TEXT(Overig!A805,"000\,")&amp;TEXT(Overig!B805,"?00000000")&amp;TEXT(Overig!C805,""", ""@")&amp;SUBSTITUTE(TEXT(IF(ISTEXT(Overig!D805),Overig!D805,10*Overig!D805),""",""????0;"",""???-0;"",""????0;"", ////"""),"'","""")&amp;SUBSTITUTE(TEXT(Overig!E805,""",""?00;"",""?-00;"",""?00;"", //"""),"'","""")</f>
        <v>073, 19450925, 16.00, ////, 07</v>
      </c>
    </row>
    <row r="806" spans="1:1" x14ac:dyDescent="0.25">
      <c r="A806" s="16" t="str">
        <f ca="1">TEXT(Overig!A806,"000\,")&amp;TEXT(Overig!B806,"?00000000")&amp;TEXT(Overig!C806,""", ""@")&amp;SUBSTITUTE(TEXT(IF(ISTEXT(Overig!D806),Overig!D806,10*Overig!D806),""",""????0;"",""???-0;"",""????0;"", ////"""),"'","""")&amp;SUBSTITUTE(TEXT(Overig!E806,""",""?00;"",""?-00;"",""?00;"", //"""),"'","""")</f>
        <v>073, 19450926, 08.00, ////, 07</v>
      </c>
    </row>
    <row r="807" spans="1:1" x14ac:dyDescent="0.25">
      <c r="A807" s="16" t="str">
        <f ca="1">TEXT(Overig!A807,"000\,")&amp;TEXT(Overig!B807,"?00000000")&amp;TEXT(Overig!C807,""", ""@")&amp;SUBSTITUTE(TEXT(IF(ISTEXT(Overig!D807),Overig!D807,10*Overig!D807),""",""????0;"",""???-0;"",""????0;"", ////"""),"'","""")&amp;SUBSTITUTE(TEXT(Overig!E807,""",""?00;"",""?-00;"",""?00;"", //"""),"'","""")</f>
        <v>073, 19450926, 12.00, ////, 07</v>
      </c>
    </row>
    <row r="808" spans="1:1" x14ac:dyDescent="0.25">
      <c r="A808" s="16" t="str">
        <f ca="1">TEXT(Overig!A808,"000\,")&amp;TEXT(Overig!B808,"?00000000")&amp;TEXT(Overig!C808,""", ""@")&amp;SUBSTITUTE(TEXT(IF(ISTEXT(Overig!D808),Overig!D808,10*Overig!D808),""",""????0;"",""???-0;"",""????0;"", ////"""),"'","""")&amp;SUBSTITUTE(TEXT(Overig!E808,""",""?00;"",""?-00;"",""?00;"", //"""),"'","""")</f>
        <v>073, 19450926, 16.00, ////, 07</v>
      </c>
    </row>
    <row r="809" spans="1:1" x14ac:dyDescent="0.25">
      <c r="A809" s="16" t="str">
        <f ca="1">TEXT(Overig!A809,"000\,")&amp;TEXT(Overig!B809,"?00000000")&amp;TEXT(Overig!C809,""", ""@")&amp;SUBSTITUTE(TEXT(IF(ISTEXT(Overig!D809),Overig!D809,10*Overig!D809),""",""????0;"",""???-0;"",""????0;"", ////"""),"'","""")&amp;SUBSTITUTE(TEXT(Overig!E809,""",""?00;"",""?-00;"",""?00;"", //"""),"'","""")</f>
        <v>073, 19450927, 08.00, ////, 07</v>
      </c>
    </row>
    <row r="810" spans="1:1" x14ac:dyDescent="0.25">
      <c r="A810" s="16" t="str">
        <f ca="1">TEXT(Overig!A810,"000\,")&amp;TEXT(Overig!B810,"?00000000")&amp;TEXT(Overig!C810,""", ""@")&amp;SUBSTITUTE(TEXT(IF(ISTEXT(Overig!D810),Overig!D810,10*Overig!D810),""",""????0;"",""???-0;"",""????0;"", ////"""),"'","""")&amp;SUBSTITUTE(TEXT(Overig!E810,""",""?00;"",""?-00;"",""?00;"", //"""),"'","""")</f>
        <v>073, 19450927, 12.00, ////, 07</v>
      </c>
    </row>
    <row r="811" spans="1:1" x14ac:dyDescent="0.25">
      <c r="A811" s="16" t="str">
        <f ca="1">TEXT(Overig!A811,"000\,")&amp;TEXT(Overig!B811,"?00000000")&amp;TEXT(Overig!C811,""", ""@")&amp;SUBSTITUTE(TEXT(IF(ISTEXT(Overig!D811),Overig!D811,10*Overig!D811),""",""????0;"",""???-0;"",""????0;"", ////"""),"'","""")&amp;SUBSTITUTE(TEXT(Overig!E811,""",""?00;"",""?-00;"",""?00;"", //"""),"'","""")</f>
        <v>073, 19450927, 16.00, ////, 07</v>
      </c>
    </row>
    <row r="812" spans="1:1" x14ac:dyDescent="0.25">
      <c r="A812" s="16" t="str">
        <f ca="1">TEXT(Overig!A812,"000\,")&amp;TEXT(Overig!B812,"?00000000")&amp;TEXT(Overig!C812,""", ""@")&amp;SUBSTITUTE(TEXT(IF(ISTEXT(Overig!D812),Overig!D812,10*Overig!D812),""",""????0;"",""???-0;"",""????0;"", ////"""),"'","""")&amp;SUBSTITUTE(TEXT(Overig!E812,""",""?00;"",""?-00;"",""?00;"", //"""),"'","""")</f>
        <v>073, 19450928, 08.00, ////, 07</v>
      </c>
    </row>
    <row r="813" spans="1:1" x14ac:dyDescent="0.25">
      <c r="A813" s="16" t="str">
        <f ca="1">TEXT(Overig!A813,"000\,")&amp;TEXT(Overig!B813,"?00000000")&amp;TEXT(Overig!C813,""", ""@")&amp;SUBSTITUTE(TEXT(IF(ISTEXT(Overig!D813),Overig!D813,10*Overig!D813),""",""????0;"",""???-0;"",""????0;"", ////"""),"'","""")&amp;SUBSTITUTE(TEXT(Overig!E813,""",""?00;"",""?-00;"",""?00;"", //"""),"'","""")</f>
        <v>073, 19450928, 12.00, ////, 07</v>
      </c>
    </row>
    <row r="814" spans="1:1" x14ac:dyDescent="0.25">
      <c r="A814" s="16" t="str">
        <f ca="1">TEXT(Overig!A814,"000\,")&amp;TEXT(Overig!B814,"?00000000")&amp;TEXT(Overig!C814,""", ""@")&amp;SUBSTITUTE(TEXT(IF(ISTEXT(Overig!D814),Overig!D814,10*Overig!D814),""",""????0;"",""???-0;"",""????0;"", ////"""),"'","""")&amp;SUBSTITUTE(TEXT(Overig!E814,""",""?00;"",""?-00;"",""?00;"", //"""),"'","""")</f>
        <v>073, 19450928, 16.00, ////, 07</v>
      </c>
    </row>
    <row r="815" spans="1:1" x14ac:dyDescent="0.25">
      <c r="A815" s="16" t="str">
        <f ca="1">TEXT(Overig!A815,"000\,")&amp;TEXT(Overig!B815,"?00000000")&amp;TEXT(Overig!C815,""", ""@")&amp;SUBSTITUTE(TEXT(IF(ISTEXT(Overig!D815),Overig!D815,10*Overig!D815),""",""????0;"",""???-0;"",""????0;"", ////"""),"'","""")&amp;SUBSTITUTE(TEXT(Overig!E815,""",""?00;"",""?-00;"",""?00;"", //"""),"'","""")</f>
        <v>073, 19450929, 08.00, ////, 07</v>
      </c>
    </row>
    <row r="816" spans="1:1" x14ac:dyDescent="0.25">
      <c r="A816" s="16" t="str">
        <f ca="1">TEXT(Overig!A816,"000\,")&amp;TEXT(Overig!B816,"?00000000")&amp;TEXT(Overig!C816,""", ""@")&amp;SUBSTITUTE(TEXT(IF(ISTEXT(Overig!D816),Overig!D816,10*Overig!D816),""",""????0;"",""???-0;"",""????0;"", ////"""),"'","""")&amp;SUBSTITUTE(TEXT(Overig!E816,""",""?00;"",""?-00;"",""?00;"", //"""),"'","""")</f>
        <v>073, 19450929, 12.00, ////, 07</v>
      </c>
    </row>
    <row r="817" spans="1:1" x14ac:dyDescent="0.25">
      <c r="A817" s="16" t="str">
        <f ca="1">TEXT(Overig!A817,"000\,")&amp;TEXT(Overig!B817,"?00000000")&amp;TEXT(Overig!C817,""", ""@")&amp;SUBSTITUTE(TEXT(IF(ISTEXT(Overig!D817),Overig!D817,10*Overig!D817),""",""????0;"",""???-0;"",""????0;"", ////"""),"'","""")&amp;SUBSTITUTE(TEXT(Overig!E817,""",""?00;"",""?-00;"",""?00;"", //"""),"'","""")</f>
        <v>073, 19450929, 16.00, ////, 07</v>
      </c>
    </row>
    <row r="818" spans="1:1" x14ac:dyDescent="0.25">
      <c r="A818" s="16" t="str">
        <f ca="1">TEXT(Overig!A818,"000\,")&amp;TEXT(Overig!B818,"?00000000")&amp;TEXT(Overig!C818,""", ""@")&amp;SUBSTITUTE(TEXT(IF(ISTEXT(Overig!D818),Overig!D818,10*Overig!D818),""",""????0;"",""???-0;"",""????0;"", ////"""),"'","""")&amp;SUBSTITUTE(TEXT(Overig!E818,""",""?00;"",""?-00;"",""?00;"", //"""),"'","""")</f>
        <v>073, 19450930, 08.00, ////, 07</v>
      </c>
    </row>
    <row r="819" spans="1:1" x14ac:dyDescent="0.25">
      <c r="A819" s="16" t="str">
        <f ca="1">TEXT(Overig!A819,"000\,")&amp;TEXT(Overig!B819,"?00000000")&amp;TEXT(Overig!C819,""", ""@")&amp;SUBSTITUTE(TEXT(IF(ISTEXT(Overig!D819),Overig!D819,10*Overig!D819),""",""????0;"",""???-0;"",""????0;"", ////"""),"'","""")&amp;SUBSTITUTE(TEXT(Overig!E819,""",""?00;"",""?-00;"",""?00;"", //"""),"'","""")</f>
        <v>073, 19450930, 12.00, ////, 07</v>
      </c>
    </row>
    <row r="820" spans="1:1" x14ac:dyDescent="0.25">
      <c r="A820" s="16" t="str">
        <f ca="1">TEXT(Overig!A820,"000\,")&amp;TEXT(Overig!B820,"?00000000")&amp;TEXT(Overig!C820,""", ""@")&amp;SUBSTITUTE(TEXT(IF(ISTEXT(Overig!D820),Overig!D820,10*Overig!D820),""",""????0;"",""???-0;"",""????0;"", ////"""),"'","""")&amp;SUBSTITUTE(TEXT(Overig!E820,""",""?00;"",""?-00;"",""?00;"", //"""),"'","""")</f>
        <v>073, 19450930, 16.00, ////, 07</v>
      </c>
    </row>
    <row r="821" spans="1:1" x14ac:dyDescent="0.25">
      <c r="A821" s="16" t="str">
        <f ca="1">TEXT(Overig!A821,"000\,")&amp;TEXT(Overig!B821,"?00000000")&amp;TEXT(Overig!C821,""", ""@")&amp;SUBSTITUTE(TEXT(IF(ISTEXT(Overig!D821),Overig!D821,10*Overig!D821),""",""????0;"",""???-0;"",""????0;"", ////"""),"'","""")&amp;SUBSTITUTE(TEXT(Overig!E821,""",""?00;"",""?-00;"",""?00;"", //"""),"'","""")</f>
        <v>073, 19451001, 08.00, ////, 07</v>
      </c>
    </row>
    <row r="822" spans="1:1" x14ac:dyDescent="0.25">
      <c r="A822" s="16" t="str">
        <f ca="1">TEXT(Overig!A822,"000\,")&amp;TEXT(Overig!B822,"?00000000")&amp;TEXT(Overig!C822,""", ""@")&amp;SUBSTITUTE(TEXT(IF(ISTEXT(Overig!D822),Overig!D822,10*Overig!D822),""",""????0;"",""???-0;"",""????0;"", ////"""),"'","""")&amp;SUBSTITUTE(TEXT(Overig!E822,""",""?00;"",""?-00;"",""?00;"", //"""),"'","""")</f>
        <v>073, 19451001, 12.00, ////, 07</v>
      </c>
    </row>
    <row r="823" spans="1:1" x14ac:dyDescent="0.25">
      <c r="A823" s="16" t="str">
        <f ca="1">TEXT(Overig!A823,"000\,")&amp;TEXT(Overig!B823,"?00000000")&amp;TEXT(Overig!C823,""", ""@")&amp;SUBSTITUTE(TEXT(IF(ISTEXT(Overig!D823),Overig!D823,10*Overig!D823),""",""????0;"",""???-0;"",""????0;"", ////"""),"'","""")&amp;SUBSTITUTE(TEXT(Overig!E823,""",""?00;"",""?-00;"",""?00;"", //"""),"'","""")</f>
        <v>073, 19451001, 16.00, ////, 07</v>
      </c>
    </row>
    <row r="824" spans="1:1" x14ac:dyDescent="0.25">
      <c r="A824" s="16" t="str">
        <f ca="1">TEXT(Overig!A824,"000\,")&amp;TEXT(Overig!B824,"?00000000")&amp;TEXT(Overig!C824,""", ""@")&amp;SUBSTITUTE(TEXT(IF(ISTEXT(Overig!D824),Overig!D824,10*Overig!D824),""",""????0;"",""???-0;"",""????0;"", ////"""),"'","""")&amp;SUBSTITUTE(TEXT(Overig!E824,""",""?00;"",""?-00;"",""?00;"", //"""),"'","""")</f>
        <v>073, 19451002, 08.00, ////, 07</v>
      </c>
    </row>
    <row r="825" spans="1:1" x14ac:dyDescent="0.25">
      <c r="A825" s="16" t="str">
        <f ca="1">TEXT(Overig!A825,"000\,")&amp;TEXT(Overig!B825,"?00000000")&amp;TEXT(Overig!C825,""", ""@")&amp;SUBSTITUTE(TEXT(IF(ISTEXT(Overig!D825),Overig!D825,10*Overig!D825),""",""????0;"",""???-0;"",""????0;"", ////"""),"'","""")&amp;SUBSTITUTE(TEXT(Overig!E825,""",""?00;"",""?-00;"",""?00;"", //"""),"'","""")</f>
        <v>073, 19451002, 12.00, ////, 07</v>
      </c>
    </row>
    <row r="826" spans="1:1" x14ac:dyDescent="0.25">
      <c r="A826" s="16" t="str">
        <f ca="1">TEXT(Overig!A826,"000\,")&amp;TEXT(Overig!B826,"?00000000")&amp;TEXT(Overig!C826,""", ""@")&amp;SUBSTITUTE(TEXT(IF(ISTEXT(Overig!D826),Overig!D826,10*Overig!D826),""",""????0;"",""???-0;"",""????0;"", ////"""),"'","""")&amp;SUBSTITUTE(TEXT(Overig!E826,""",""?00;"",""?-00;"",""?00;"", //"""),"'","""")</f>
        <v>073, 19451002, 16.00, ////, 07</v>
      </c>
    </row>
    <row r="827" spans="1:1" x14ac:dyDescent="0.25">
      <c r="A827" s="16" t="str">
        <f ca="1">TEXT(Overig!A827,"000\,")&amp;TEXT(Overig!B827,"?00000000")&amp;TEXT(Overig!C827,""", ""@")&amp;SUBSTITUTE(TEXT(IF(ISTEXT(Overig!D827),Overig!D827,10*Overig!D827),""",""????0;"",""???-0;"",""????0;"", ////"""),"'","""")&amp;SUBSTITUTE(TEXT(Overig!E827,""",""?00;"",""?-00;"",""?00;"", //"""),"'","""")</f>
        <v>073, 19451003, 08.00, ////, 07</v>
      </c>
    </row>
    <row r="828" spans="1:1" x14ac:dyDescent="0.25">
      <c r="A828" s="16" t="str">
        <f ca="1">TEXT(Overig!A828,"000\,")&amp;TEXT(Overig!B828,"?00000000")&amp;TEXT(Overig!C828,""", ""@")&amp;SUBSTITUTE(TEXT(IF(ISTEXT(Overig!D828),Overig!D828,10*Overig!D828),""",""????0;"",""???-0;"",""????0;"", ////"""),"'","""")&amp;SUBSTITUTE(TEXT(Overig!E828,""",""?00;"",""?-00;"",""?00;"", //"""),"'","""")</f>
        <v>073, 19451003, 12.00, ////, 07</v>
      </c>
    </row>
    <row r="829" spans="1:1" x14ac:dyDescent="0.25">
      <c r="A829" s="16" t="str">
        <f ca="1">TEXT(Overig!A829,"000\,")&amp;TEXT(Overig!B829,"?00000000")&amp;TEXT(Overig!C829,""", ""@")&amp;SUBSTITUTE(TEXT(IF(ISTEXT(Overig!D829),Overig!D829,10*Overig!D829),""",""????0;"",""???-0;"",""????0;"", ////"""),"'","""")&amp;SUBSTITUTE(TEXT(Overig!E829,""",""?00;"",""?-00;"",""?00;"", //"""),"'","""")</f>
        <v>073, 19451003, 16.00, ////, 07</v>
      </c>
    </row>
    <row r="830" spans="1:1" x14ac:dyDescent="0.25">
      <c r="A830" s="16" t="str">
        <f ca="1">TEXT(Overig!A830,"000\,")&amp;TEXT(Overig!B830,"?00000000")&amp;TEXT(Overig!C830,""", ""@")&amp;SUBSTITUTE(TEXT(IF(ISTEXT(Overig!D830),Overig!D830,10*Overig!D830),""",""????0;"",""???-0;"",""????0;"", ////"""),"'","""")&amp;SUBSTITUTE(TEXT(Overig!E830,""",""?00;"",""?-00;"",""?00;"", //"""),"'","""")</f>
        <v>073, 19451004, 08.00, ////, 07</v>
      </c>
    </row>
    <row r="831" spans="1:1" x14ac:dyDescent="0.25">
      <c r="A831" s="16" t="str">
        <f ca="1">TEXT(Overig!A831,"000\,")&amp;TEXT(Overig!B831,"?00000000")&amp;TEXT(Overig!C831,""", ""@")&amp;SUBSTITUTE(TEXT(IF(ISTEXT(Overig!D831),Overig!D831,10*Overig!D831),""",""????0;"",""???-0;"",""????0;"", ////"""),"'","""")&amp;SUBSTITUTE(TEXT(Overig!E831,""",""?00;"",""?-00;"",""?00;"", //"""),"'","""")</f>
        <v>073, 19451004, 12.00, ////, 07</v>
      </c>
    </row>
    <row r="832" spans="1:1" x14ac:dyDescent="0.25">
      <c r="A832" s="16" t="str">
        <f ca="1">TEXT(Overig!A832,"000\,")&amp;TEXT(Overig!B832,"?00000000")&amp;TEXT(Overig!C832,""", ""@")&amp;SUBSTITUTE(TEXT(IF(ISTEXT(Overig!D832),Overig!D832,10*Overig!D832),""",""????0;"",""???-0;"",""????0;"", ////"""),"'","""")&amp;SUBSTITUTE(TEXT(Overig!E832,""",""?00;"",""?-00;"",""?00;"", //"""),"'","""")</f>
        <v>073, 19451004, 16.00, ////, 07</v>
      </c>
    </row>
    <row r="833" spans="1:1" x14ac:dyDescent="0.25">
      <c r="A833" s="16" t="str">
        <f ca="1">TEXT(Overig!A833,"000\,")&amp;TEXT(Overig!B833,"?00000000")&amp;TEXT(Overig!C833,""", ""@")&amp;SUBSTITUTE(TEXT(IF(ISTEXT(Overig!D833),Overig!D833,10*Overig!D833),""",""????0;"",""???-0;"",""????0;"", ////"""),"'","""")&amp;SUBSTITUTE(TEXT(Overig!E833,""",""?00;"",""?-00;"",""?00;"", //"""),"'","""")</f>
        <v>073, 19451005, 08.00, ////, 07</v>
      </c>
    </row>
    <row r="834" spans="1:1" x14ac:dyDescent="0.25">
      <c r="A834" s="16" t="str">
        <f ca="1">TEXT(Overig!A834,"000\,")&amp;TEXT(Overig!B834,"?00000000")&amp;TEXT(Overig!C834,""", ""@")&amp;SUBSTITUTE(TEXT(IF(ISTEXT(Overig!D834),Overig!D834,10*Overig!D834),""",""????0;"",""???-0;"",""????0;"", ////"""),"'","""")&amp;SUBSTITUTE(TEXT(Overig!E834,""",""?00;"",""?-00;"",""?00;"", //"""),"'","""")</f>
        <v>073, 19451005, 12.00, ////, 07</v>
      </c>
    </row>
    <row r="835" spans="1:1" x14ac:dyDescent="0.25">
      <c r="A835" s="16" t="str">
        <f ca="1">TEXT(Overig!A835,"000\,")&amp;TEXT(Overig!B835,"?00000000")&amp;TEXT(Overig!C835,""", ""@")&amp;SUBSTITUTE(TEXT(IF(ISTEXT(Overig!D835),Overig!D835,10*Overig!D835),""",""????0;"",""???-0;"",""????0;"", ////"""),"'","""")&amp;SUBSTITUTE(TEXT(Overig!E835,""",""?00;"",""?-00;"",""?00;"", //"""),"'","""")</f>
        <v>073, 19451005, 16.00, ////, 07</v>
      </c>
    </row>
    <row r="836" spans="1:1" x14ac:dyDescent="0.25">
      <c r="A836" s="16" t="str">
        <f ca="1">TEXT(Overig!A836,"000\,")&amp;TEXT(Overig!B836,"?00000000")&amp;TEXT(Overig!C836,""", ""@")&amp;SUBSTITUTE(TEXT(IF(ISTEXT(Overig!D836),Overig!D836,10*Overig!D836),""",""????0;"",""???-0;"",""????0;"", ////"""),"'","""")&amp;SUBSTITUTE(TEXT(Overig!E836,""",""?00;"",""?-00;"",""?00;"", //"""),"'","""")</f>
        <v>073, 19451006, 08.00, ////, 07</v>
      </c>
    </row>
    <row r="837" spans="1:1" x14ac:dyDescent="0.25">
      <c r="A837" s="16" t="str">
        <f ca="1">TEXT(Overig!A837,"000\,")&amp;TEXT(Overig!B837,"?00000000")&amp;TEXT(Overig!C837,""", ""@")&amp;SUBSTITUTE(TEXT(IF(ISTEXT(Overig!D837),Overig!D837,10*Overig!D837),""",""????0;"",""???-0;"",""????0;"", ////"""),"'","""")&amp;SUBSTITUTE(TEXT(Overig!E837,""",""?00;"",""?-00;"",""?00;"", //"""),"'","""")</f>
        <v>073, 19451006, 12.00, ////, 07</v>
      </c>
    </row>
    <row r="838" spans="1:1" x14ac:dyDescent="0.25">
      <c r="A838" s="16" t="str">
        <f ca="1">TEXT(Overig!A838,"000\,")&amp;TEXT(Overig!B838,"?00000000")&amp;TEXT(Overig!C838,""", ""@")&amp;SUBSTITUTE(TEXT(IF(ISTEXT(Overig!D838),Overig!D838,10*Overig!D838),""",""????0;"",""???-0;"",""????0;"", ////"""),"'","""")&amp;SUBSTITUTE(TEXT(Overig!E838,""",""?00;"",""?-00;"",""?00;"", //"""),"'","""")</f>
        <v>073, 19451006, 16.00, ////, 07</v>
      </c>
    </row>
    <row r="839" spans="1:1" x14ac:dyDescent="0.25">
      <c r="A839" s="16" t="str">
        <f ca="1">TEXT(Overig!A839,"000\,")&amp;TEXT(Overig!B839,"?00000000")&amp;TEXT(Overig!C839,""", ""@")&amp;SUBSTITUTE(TEXT(IF(ISTEXT(Overig!D839),Overig!D839,10*Overig!D839),""",""????0;"",""???-0;"",""????0;"", ////"""),"'","""")&amp;SUBSTITUTE(TEXT(Overig!E839,""",""?00;"",""?-00;"",""?00;"", //"""),"'","""")</f>
        <v>073, 19451007, 08.00, ////, 07</v>
      </c>
    </row>
    <row r="840" spans="1:1" x14ac:dyDescent="0.25">
      <c r="A840" s="16" t="str">
        <f ca="1">TEXT(Overig!A840,"000\,")&amp;TEXT(Overig!B840,"?00000000")&amp;TEXT(Overig!C840,""", ""@")&amp;SUBSTITUTE(TEXT(IF(ISTEXT(Overig!D840),Overig!D840,10*Overig!D840),""",""????0;"",""???-0;"",""????0;"", ////"""),"'","""")&amp;SUBSTITUTE(TEXT(Overig!E840,""",""?00;"",""?-00;"",""?00;"", //"""),"'","""")</f>
        <v>073, 19451007, 12.00, ////, 07</v>
      </c>
    </row>
    <row r="841" spans="1:1" x14ac:dyDescent="0.25">
      <c r="A841" s="16" t="str">
        <f ca="1">TEXT(Overig!A841,"000\,")&amp;TEXT(Overig!B841,"?00000000")&amp;TEXT(Overig!C841,""", ""@")&amp;SUBSTITUTE(TEXT(IF(ISTEXT(Overig!D841),Overig!D841,10*Overig!D841),""",""????0;"",""???-0;"",""????0;"", ////"""),"'","""")&amp;SUBSTITUTE(TEXT(Overig!E841,""",""?00;"",""?-00;"",""?00;"", //"""),"'","""")</f>
        <v>073, 19451007, 16.00, ////, 07</v>
      </c>
    </row>
    <row r="842" spans="1:1" x14ac:dyDescent="0.25">
      <c r="A842" s="16" t="str">
        <f ca="1">TEXT(Overig!A842,"000\,")&amp;TEXT(Overig!B842,"?00000000")&amp;TEXT(Overig!C842,""", ""@")&amp;SUBSTITUTE(TEXT(IF(ISTEXT(Overig!D842),Overig!D842,10*Overig!D842),""",""????0;"",""???-0;"",""????0;"", ////"""),"'","""")&amp;SUBSTITUTE(TEXT(Overig!E842,""",""?00;"",""?-00;"",""?00;"", //"""),"'","""")</f>
        <v>073, 19451008, 08.00, ////, 07</v>
      </c>
    </row>
    <row r="843" spans="1:1" x14ac:dyDescent="0.25">
      <c r="A843" s="16" t="str">
        <f ca="1">TEXT(Overig!A843,"000\,")&amp;TEXT(Overig!B843,"?00000000")&amp;TEXT(Overig!C843,""", ""@")&amp;SUBSTITUTE(TEXT(IF(ISTEXT(Overig!D843),Overig!D843,10*Overig!D843),""",""????0;"",""???-0;"",""????0;"", ////"""),"'","""")&amp;SUBSTITUTE(TEXT(Overig!E843,""",""?00;"",""?-00;"",""?00;"", //"""),"'","""")</f>
        <v>073, 19451008, 12.00, ////, 07</v>
      </c>
    </row>
    <row r="844" spans="1:1" x14ac:dyDescent="0.25">
      <c r="A844" s="16" t="str">
        <f ca="1">TEXT(Overig!A844,"000\,")&amp;TEXT(Overig!B844,"?00000000")&amp;TEXT(Overig!C844,""", ""@")&amp;SUBSTITUTE(TEXT(IF(ISTEXT(Overig!D844),Overig!D844,10*Overig!D844),""",""????0;"",""???-0;"",""????0;"", ////"""),"'","""")&amp;SUBSTITUTE(TEXT(Overig!E844,""",""?00;"",""?-00;"",""?00;"", //"""),"'","""")</f>
        <v>073, 19451008, 16.00, ////, 07</v>
      </c>
    </row>
    <row r="845" spans="1:1" x14ac:dyDescent="0.25">
      <c r="A845" s="16" t="str">
        <f ca="1">TEXT(Overig!A845,"000\,")&amp;TEXT(Overig!B845,"?00000000")&amp;TEXT(Overig!C845,""", ""@")&amp;SUBSTITUTE(TEXT(IF(ISTEXT(Overig!D845),Overig!D845,10*Overig!D845),""",""????0;"",""???-0;"",""????0;"", ////"""),"'","""")&amp;SUBSTITUTE(TEXT(Overig!E845,""",""?00;"",""?-00;"",""?00;"", //"""),"'","""")</f>
        <v>073, 19451009, 08.00, ////, 07</v>
      </c>
    </row>
    <row r="846" spans="1:1" x14ac:dyDescent="0.25">
      <c r="A846" s="16" t="str">
        <f ca="1">TEXT(Overig!A846,"000\,")&amp;TEXT(Overig!B846,"?00000000")&amp;TEXT(Overig!C846,""", ""@")&amp;SUBSTITUTE(TEXT(IF(ISTEXT(Overig!D846),Overig!D846,10*Overig!D846),""",""????0;"",""???-0;"",""????0;"", ////"""),"'","""")&amp;SUBSTITUTE(TEXT(Overig!E846,""",""?00;"",""?-00;"",""?00;"", //"""),"'","""")</f>
        <v>073, 19451009, 12.00, ////, 07</v>
      </c>
    </row>
    <row r="847" spans="1:1" x14ac:dyDescent="0.25">
      <c r="A847" s="16" t="str">
        <f ca="1">TEXT(Overig!A847,"000\,")&amp;TEXT(Overig!B847,"?00000000")&amp;TEXT(Overig!C847,""", ""@")&amp;SUBSTITUTE(TEXT(IF(ISTEXT(Overig!D847),Overig!D847,10*Overig!D847),""",""????0;"",""???-0;"",""????0;"", ////"""),"'","""")&amp;SUBSTITUTE(TEXT(Overig!E847,""",""?00;"",""?-00;"",""?00;"", //"""),"'","""")</f>
        <v>073, 19451009, 16.00, ////, 07</v>
      </c>
    </row>
    <row r="848" spans="1:1" x14ac:dyDescent="0.25">
      <c r="A848" s="16" t="str">
        <f ca="1">TEXT(Overig!A848,"000\,")&amp;TEXT(Overig!B848,"?00000000")&amp;TEXT(Overig!C848,""", ""@")&amp;SUBSTITUTE(TEXT(IF(ISTEXT(Overig!D848),Overig!D848,10*Overig!D848),""",""????0;"",""???-0;"",""????0;"", ////"""),"'","""")&amp;SUBSTITUTE(TEXT(Overig!E848,""",""?00;"",""?-00;"",""?00;"", //"""),"'","""")</f>
        <v>073, 19451010, 08.00, ////, 07</v>
      </c>
    </row>
    <row r="849" spans="1:1" x14ac:dyDescent="0.25">
      <c r="A849" s="16" t="str">
        <f ca="1">TEXT(Overig!A849,"000\,")&amp;TEXT(Overig!B849,"?00000000")&amp;TEXT(Overig!C849,""", ""@")&amp;SUBSTITUTE(TEXT(IF(ISTEXT(Overig!D849),Overig!D849,10*Overig!D849),""",""????0;"",""???-0;"",""????0;"", ////"""),"'","""")&amp;SUBSTITUTE(TEXT(Overig!E849,""",""?00;"",""?-00;"",""?00;"", //"""),"'","""")</f>
        <v>073, 19451010, 12.00, ////, 07</v>
      </c>
    </row>
    <row r="850" spans="1:1" x14ac:dyDescent="0.25">
      <c r="A850" s="16" t="str">
        <f ca="1">TEXT(Overig!A850,"000\,")&amp;TEXT(Overig!B850,"?00000000")&amp;TEXT(Overig!C850,""", ""@")&amp;SUBSTITUTE(TEXT(IF(ISTEXT(Overig!D850),Overig!D850,10*Overig!D850),""",""????0;"",""???-0;"",""????0;"", ////"""),"'","""")&amp;SUBSTITUTE(TEXT(Overig!E850,""",""?00;"",""?-00;"",""?00;"", //"""),"'","""")</f>
        <v>073, 19451010, 16.00, ////, 07</v>
      </c>
    </row>
    <row r="851" spans="1:1" x14ac:dyDescent="0.25">
      <c r="A851" s="16" t="str">
        <f ca="1">TEXT(Overig!A851,"000\,")&amp;TEXT(Overig!B851,"?00000000")&amp;TEXT(Overig!C851,""", ""@")&amp;SUBSTITUTE(TEXT(IF(ISTEXT(Overig!D851),Overig!D851,10*Overig!D851),""",""????0;"",""???-0;"",""????0;"", ////"""),"'","""")&amp;SUBSTITUTE(TEXT(Overig!E851,""",""?00;"",""?-00;"",""?00;"", //"""),"'","""")</f>
        <v>073, 19451011, 08.00, ////, 07</v>
      </c>
    </row>
    <row r="852" spans="1:1" x14ac:dyDescent="0.25">
      <c r="A852" s="16" t="str">
        <f ca="1">TEXT(Overig!A852,"000\,")&amp;TEXT(Overig!B852,"?00000000")&amp;TEXT(Overig!C852,""", ""@")&amp;SUBSTITUTE(TEXT(IF(ISTEXT(Overig!D852),Overig!D852,10*Overig!D852),""",""????0;"",""???-0;"",""????0;"", ////"""),"'","""")&amp;SUBSTITUTE(TEXT(Overig!E852,""",""?00;"",""?-00;"",""?00;"", //"""),"'","""")</f>
        <v>073, 19451011, 12.00, ////, 07</v>
      </c>
    </row>
    <row r="853" spans="1:1" x14ac:dyDescent="0.25">
      <c r="A853" s="16" t="str">
        <f ca="1">TEXT(Overig!A853,"000\,")&amp;TEXT(Overig!B853,"?00000000")&amp;TEXT(Overig!C853,""", ""@")&amp;SUBSTITUTE(TEXT(IF(ISTEXT(Overig!D853),Overig!D853,10*Overig!D853),""",""????0;"",""???-0;"",""????0;"", ////"""),"'","""")&amp;SUBSTITUTE(TEXT(Overig!E853,""",""?00;"",""?-00;"",""?00;"", //"""),"'","""")</f>
        <v>073, 19451011, 16.00, ////, 07</v>
      </c>
    </row>
    <row r="854" spans="1:1" x14ac:dyDescent="0.25">
      <c r="A854" s="16" t="str">
        <f ca="1">TEXT(Overig!A854,"000\,")&amp;TEXT(Overig!B854,"?00000000")&amp;TEXT(Overig!C854,""", ""@")&amp;SUBSTITUTE(TEXT(IF(ISTEXT(Overig!D854),Overig!D854,10*Overig!D854),""",""????0;"",""???-0;"",""????0;"", ////"""),"'","""")&amp;SUBSTITUTE(TEXT(Overig!E854,""",""?00;"",""?-00;"",""?00;"", //"""),"'","""")</f>
        <v>073, 19451012, 08.00, ////, 07</v>
      </c>
    </row>
    <row r="855" spans="1:1" x14ac:dyDescent="0.25">
      <c r="A855" s="16" t="str">
        <f ca="1">TEXT(Overig!A855,"000\,")&amp;TEXT(Overig!B855,"?00000000")&amp;TEXT(Overig!C855,""", ""@")&amp;SUBSTITUTE(TEXT(IF(ISTEXT(Overig!D855),Overig!D855,10*Overig!D855),""",""????0;"",""???-0;"",""????0;"", ////"""),"'","""")&amp;SUBSTITUTE(TEXT(Overig!E855,""",""?00;"",""?-00;"",""?00;"", //"""),"'","""")</f>
        <v>073, 19451012, 12.00, ////, 07</v>
      </c>
    </row>
    <row r="856" spans="1:1" x14ac:dyDescent="0.25">
      <c r="A856" s="16" t="str">
        <f ca="1">TEXT(Overig!A856,"000\,")&amp;TEXT(Overig!B856,"?00000000")&amp;TEXT(Overig!C856,""", ""@")&amp;SUBSTITUTE(TEXT(IF(ISTEXT(Overig!D856),Overig!D856,10*Overig!D856),""",""????0;"",""???-0;"",""????0;"", ////"""),"'","""")&amp;SUBSTITUTE(TEXT(Overig!E856,""",""?00;"",""?-00;"",""?00;"", //"""),"'","""")</f>
        <v>073, 19451012, 16.00, ////, 07</v>
      </c>
    </row>
    <row r="857" spans="1:1" x14ac:dyDescent="0.25">
      <c r="A857" s="16" t="str">
        <f ca="1">TEXT(Overig!A857,"000\,")&amp;TEXT(Overig!B857,"?00000000")&amp;TEXT(Overig!C857,""", ""@")&amp;SUBSTITUTE(TEXT(IF(ISTEXT(Overig!D857),Overig!D857,10*Overig!D857),""",""????0;"",""???-0;"",""????0;"", ////"""),"'","""")&amp;SUBSTITUTE(TEXT(Overig!E857,""",""?00;"",""?-00;"",""?00;"", //"""),"'","""")</f>
        <v>073, 19451013, 08.00, ////, 07</v>
      </c>
    </row>
    <row r="858" spans="1:1" x14ac:dyDescent="0.25">
      <c r="A858" s="16" t="str">
        <f ca="1">TEXT(Overig!A858,"000\,")&amp;TEXT(Overig!B858,"?00000000")&amp;TEXT(Overig!C858,""", ""@")&amp;SUBSTITUTE(TEXT(IF(ISTEXT(Overig!D858),Overig!D858,10*Overig!D858),""",""????0;"",""???-0;"",""????0;"", ////"""),"'","""")&amp;SUBSTITUTE(TEXT(Overig!E858,""",""?00;"",""?-00;"",""?00;"", //"""),"'","""")</f>
        <v>073, 19451013, 12.00, ////, 07</v>
      </c>
    </row>
    <row r="859" spans="1:1" x14ac:dyDescent="0.25">
      <c r="A859" s="16" t="str">
        <f ca="1">TEXT(Overig!A859,"000\,")&amp;TEXT(Overig!B859,"?00000000")&amp;TEXT(Overig!C859,""", ""@")&amp;SUBSTITUTE(TEXT(IF(ISTEXT(Overig!D859),Overig!D859,10*Overig!D859),""",""????0;"",""???-0;"",""????0;"", ////"""),"'","""")&amp;SUBSTITUTE(TEXT(Overig!E859,""",""?00;"",""?-00;"",""?00;"", //"""),"'","""")</f>
        <v>073, 19451013, 16.00, ////, 07</v>
      </c>
    </row>
    <row r="860" spans="1:1" x14ac:dyDescent="0.25">
      <c r="A860" s="16" t="str">
        <f ca="1">TEXT(Overig!A860,"000\,")&amp;TEXT(Overig!B860,"?00000000")&amp;TEXT(Overig!C860,""", ""@")&amp;SUBSTITUTE(TEXT(IF(ISTEXT(Overig!D860),Overig!D860,10*Overig!D860),""",""????0;"",""???-0;"",""????0;"", ////"""),"'","""")&amp;SUBSTITUTE(TEXT(Overig!E860,""",""?00;"",""?-00;"",""?00;"", //"""),"'","""")</f>
        <v>073, 19451014, 08.00, ////, 07</v>
      </c>
    </row>
    <row r="861" spans="1:1" x14ac:dyDescent="0.25">
      <c r="A861" s="16" t="str">
        <f ca="1">TEXT(Overig!A861,"000\,")&amp;TEXT(Overig!B861,"?00000000")&amp;TEXT(Overig!C861,""", ""@")&amp;SUBSTITUTE(TEXT(IF(ISTEXT(Overig!D861),Overig!D861,10*Overig!D861),""",""????0;"",""???-0;"",""????0;"", ////"""),"'","""")&amp;SUBSTITUTE(TEXT(Overig!E861,""",""?00;"",""?-00;"",""?00;"", //"""),"'","""")</f>
        <v>073, 19451014, 12.00, ////, 07</v>
      </c>
    </row>
    <row r="862" spans="1:1" x14ac:dyDescent="0.25">
      <c r="A862" s="16" t="str">
        <f ca="1">TEXT(Overig!A862,"000\,")&amp;TEXT(Overig!B862,"?00000000")&amp;TEXT(Overig!C862,""", ""@")&amp;SUBSTITUTE(TEXT(IF(ISTEXT(Overig!D862),Overig!D862,10*Overig!D862),""",""????0;"",""???-0;"",""????0;"", ////"""),"'","""")&amp;SUBSTITUTE(TEXT(Overig!E862,""",""?00;"",""?-00;"",""?00;"", //"""),"'","""")</f>
        <v>073, 19451014, 16.00, ////, 07</v>
      </c>
    </row>
    <row r="863" spans="1:1" x14ac:dyDescent="0.25">
      <c r="A863" s="16" t="str">
        <f ca="1">TEXT(Overig!A863,"000\,")&amp;TEXT(Overig!B863,"?00000000")&amp;TEXT(Overig!C863,""", ""@")&amp;SUBSTITUTE(TEXT(IF(ISTEXT(Overig!D863),Overig!D863,10*Overig!D863),""",""????0;"",""???-0;"",""????0;"", ////"""),"'","""")&amp;SUBSTITUTE(TEXT(Overig!E863,""",""?00;"",""?-00;"",""?00;"", //"""),"'","""")</f>
        <v>073, 19451015, 08.00, ////, 07</v>
      </c>
    </row>
    <row r="864" spans="1:1" x14ac:dyDescent="0.25">
      <c r="A864" s="16" t="str">
        <f ca="1">TEXT(Overig!A864,"000\,")&amp;TEXT(Overig!B864,"?00000000")&amp;TEXT(Overig!C864,""", ""@")&amp;SUBSTITUTE(TEXT(IF(ISTEXT(Overig!D864),Overig!D864,10*Overig!D864),""",""????0;"",""???-0;"",""????0;"", ////"""),"'","""")&amp;SUBSTITUTE(TEXT(Overig!E864,""",""?00;"",""?-00;"",""?00;"", //"""),"'","""")</f>
        <v>073, 19451015, 12.00, ////, 07</v>
      </c>
    </row>
    <row r="865" spans="1:1" x14ac:dyDescent="0.25">
      <c r="A865" s="16" t="str">
        <f ca="1">TEXT(Overig!A865,"000\,")&amp;TEXT(Overig!B865,"?00000000")&amp;TEXT(Overig!C865,""", ""@")&amp;SUBSTITUTE(TEXT(IF(ISTEXT(Overig!D865),Overig!D865,10*Overig!D865),""",""????0;"",""???-0;"",""????0;"", ////"""),"'","""")&amp;SUBSTITUTE(TEXT(Overig!E865,""",""?00;"",""?-00;"",""?00;"", //"""),"'","""")</f>
        <v>073, 19451015, 16.00, ////, 07</v>
      </c>
    </row>
    <row r="866" spans="1:1" x14ac:dyDescent="0.25">
      <c r="A866" s="16" t="str">
        <f ca="1">TEXT(Overig!A866,"000\,")&amp;TEXT(Overig!B866,"?00000000")&amp;TEXT(Overig!C866,""", ""@")&amp;SUBSTITUTE(TEXT(IF(ISTEXT(Overig!D866),Overig!D866,10*Overig!D866),""",""????0;"",""???-0;"",""????0;"", ////"""),"'","""")&amp;SUBSTITUTE(TEXT(Overig!E866,""",""?00;"",""?-00;"",""?00;"", //"""),"'","""")</f>
        <v>073, 19451016, 08.00, ////, 07</v>
      </c>
    </row>
    <row r="867" spans="1:1" x14ac:dyDescent="0.25">
      <c r="A867" s="16" t="str">
        <f ca="1">TEXT(Overig!A867,"000\,")&amp;TEXT(Overig!B867,"?00000000")&amp;TEXT(Overig!C867,""", ""@")&amp;SUBSTITUTE(TEXT(IF(ISTEXT(Overig!D867),Overig!D867,10*Overig!D867),""",""????0;"",""???-0;"",""????0;"", ////"""),"'","""")&amp;SUBSTITUTE(TEXT(Overig!E867,""",""?00;"",""?-00;"",""?00;"", //"""),"'","""")</f>
        <v>073, 19451016, 12.00, ////, 07</v>
      </c>
    </row>
    <row r="868" spans="1:1" x14ac:dyDescent="0.25">
      <c r="A868" s="16" t="str">
        <f ca="1">TEXT(Overig!A868,"000\,")&amp;TEXT(Overig!B868,"?00000000")&amp;TEXT(Overig!C868,""", ""@")&amp;SUBSTITUTE(TEXT(IF(ISTEXT(Overig!D868),Overig!D868,10*Overig!D868),""",""????0;"",""???-0;"",""????0;"", ////"""),"'","""")&amp;SUBSTITUTE(TEXT(Overig!E868,""",""?00;"",""?-00;"",""?00;"", //"""),"'","""")</f>
        <v>073, 19451016, 16.00, ////, 07</v>
      </c>
    </row>
    <row r="869" spans="1:1" x14ac:dyDescent="0.25">
      <c r="A869" s="16" t="str">
        <f ca="1">TEXT(Overig!A869,"000\,")&amp;TEXT(Overig!B869,"?00000000")&amp;TEXT(Overig!C869,""", ""@")&amp;SUBSTITUTE(TEXT(IF(ISTEXT(Overig!D869),Overig!D869,10*Overig!D869),""",""????0;"",""???-0;"",""????0;"", ////"""),"'","""")&amp;SUBSTITUTE(TEXT(Overig!E869,""",""?00;"",""?-00;"",""?00;"", //"""),"'","""")</f>
        <v>073, 19451017, 08.00, ////, 07</v>
      </c>
    </row>
    <row r="870" spans="1:1" x14ac:dyDescent="0.25">
      <c r="A870" s="16" t="str">
        <f ca="1">TEXT(Overig!A870,"000\,")&amp;TEXT(Overig!B870,"?00000000")&amp;TEXT(Overig!C870,""", ""@")&amp;SUBSTITUTE(TEXT(IF(ISTEXT(Overig!D870),Overig!D870,10*Overig!D870),""",""????0;"",""???-0;"",""????0;"", ////"""),"'","""")&amp;SUBSTITUTE(TEXT(Overig!E870,""",""?00;"",""?-00;"",""?00;"", //"""),"'","""")</f>
        <v>073, 19451017, 12.00, ////, 07</v>
      </c>
    </row>
    <row r="871" spans="1:1" x14ac:dyDescent="0.25">
      <c r="A871" s="16" t="str">
        <f ca="1">TEXT(Overig!A871,"000\,")&amp;TEXT(Overig!B871,"?00000000")&amp;TEXT(Overig!C871,""", ""@")&amp;SUBSTITUTE(TEXT(IF(ISTEXT(Overig!D871),Overig!D871,10*Overig!D871),""",""????0;"",""???-0;"",""????0;"", ////"""),"'","""")&amp;SUBSTITUTE(TEXT(Overig!E871,""",""?00;"",""?-00;"",""?00;"", //"""),"'","""")</f>
        <v>073, 19451017, 16.00, ////, 07</v>
      </c>
    </row>
    <row r="872" spans="1:1" x14ac:dyDescent="0.25">
      <c r="A872" s="16" t="str">
        <f ca="1">TEXT(Overig!A872,"000\,")&amp;TEXT(Overig!B872,"?00000000")&amp;TEXT(Overig!C872,""", ""@")&amp;SUBSTITUTE(TEXT(IF(ISTEXT(Overig!D872),Overig!D872,10*Overig!D872),""",""????0;"",""???-0;"",""????0;"", ////"""),"'","""")&amp;SUBSTITUTE(TEXT(Overig!E872,""",""?00;"",""?-00;"",""?00;"", //"""),"'","""")</f>
        <v>073, 19451018, 08.00, ////, 07</v>
      </c>
    </row>
    <row r="873" spans="1:1" x14ac:dyDescent="0.25">
      <c r="A873" s="16" t="str">
        <f ca="1">TEXT(Overig!A873,"000\,")&amp;TEXT(Overig!B873,"?00000000")&amp;TEXT(Overig!C873,""", ""@")&amp;SUBSTITUTE(TEXT(IF(ISTEXT(Overig!D873),Overig!D873,10*Overig!D873),""",""????0;"",""???-0;"",""????0;"", ////"""),"'","""")&amp;SUBSTITUTE(TEXT(Overig!E873,""",""?00;"",""?-00;"",""?00;"", //"""),"'","""")</f>
        <v>073, 19451018, 12.00, ////, 07</v>
      </c>
    </row>
    <row r="874" spans="1:1" x14ac:dyDescent="0.25">
      <c r="A874" s="16" t="str">
        <f ca="1">TEXT(Overig!A874,"000\,")&amp;TEXT(Overig!B874,"?00000000")&amp;TEXT(Overig!C874,""", ""@")&amp;SUBSTITUTE(TEXT(IF(ISTEXT(Overig!D874),Overig!D874,10*Overig!D874),""",""????0;"",""???-0;"",""????0;"", ////"""),"'","""")&amp;SUBSTITUTE(TEXT(Overig!E874,""",""?00;"",""?-00;"",""?00;"", //"""),"'","""")</f>
        <v>073, 19451018, 16.00, ////, 07</v>
      </c>
    </row>
    <row r="875" spans="1:1" x14ac:dyDescent="0.25">
      <c r="A875" s="16" t="str">
        <f ca="1">TEXT(Overig!A875,"000\,")&amp;TEXT(Overig!B875,"?00000000")&amp;TEXT(Overig!C875,""", ""@")&amp;SUBSTITUTE(TEXT(IF(ISTEXT(Overig!D875),Overig!D875,10*Overig!D875),""",""????0;"",""???-0;"",""????0;"", ////"""),"'","""")&amp;SUBSTITUTE(TEXT(Overig!E875,""",""?00;"",""?-00;"",""?00;"", //"""),"'","""")</f>
        <v>073, 19451019, 08.00, ////, 07</v>
      </c>
    </row>
    <row r="876" spans="1:1" x14ac:dyDescent="0.25">
      <c r="A876" s="16" t="str">
        <f ca="1">TEXT(Overig!A876,"000\,")&amp;TEXT(Overig!B876,"?00000000")&amp;TEXT(Overig!C876,""", ""@")&amp;SUBSTITUTE(TEXT(IF(ISTEXT(Overig!D876),Overig!D876,10*Overig!D876),""",""????0;"",""???-0;"",""????0;"", ////"""),"'","""")&amp;SUBSTITUTE(TEXT(Overig!E876,""",""?00;"",""?-00;"",""?00;"", //"""),"'","""")</f>
        <v>073, 19451019, 12.00, ////, 07</v>
      </c>
    </row>
    <row r="877" spans="1:1" x14ac:dyDescent="0.25">
      <c r="A877" s="16" t="str">
        <f ca="1">TEXT(Overig!A877,"000\,")&amp;TEXT(Overig!B877,"?00000000")&amp;TEXT(Overig!C877,""", ""@")&amp;SUBSTITUTE(TEXT(IF(ISTEXT(Overig!D877),Overig!D877,10*Overig!D877),""",""????0;"",""???-0;"",""????0;"", ////"""),"'","""")&amp;SUBSTITUTE(TEXT(Overig!E877,""",""?00;"",""?-00;"",""?00;"", //"""),"'","""")</f>
        <v>073, 19451019, 16.00, ////, 07</v>
      </c>
    </row>
    <row r="878" spans="1:1" x14ac:dyDescent="0.25">
      <c r="A878" s="16" t="str">
        <f ca="1">TEXT(Overig!A878,"000\,")&amp;TEXT(Overig!B878,"?00000000")&amp;TEXT(Overig!C878,""", ""@")&amp;SUBSTITUTE(TEXT(IF(ISTEXT(Overig!D878),Overig!D878,10*Overig!D878),""",""????0;"",""???-0;"",""????0;"", ////"""),"'","""")&amp;SUBSTITUTE(TEXT(Overig!E878,""",""?00;"",""?-00;"",""?00;"", //"""),"'","""")</f>
        <v>073, 19451020, 08.00, ////, 07</v>
      </c>
    </row>
    <row r="879" spans="1:1" x14ac:dyDescent="0.25">
      <c r="A879" s="16" t="str">
        <f ca="1">TEXT(Overig!A879,"000\,")&amp;TEXT(Overig!B879,"?00000000")&amp;TEXT(Overig!C879,""", ""@")&amp;SUBSTITUTE(TEXT(IF(ISTEXT(Overig!D879),Overig!D879,10*Overig!D879),""",""????0;"",""???-0;"",""????0;"", ////"""),"'","""")&amp;SUBSTITUTE(TEXT(Overig!E879,""",""?00;"",""?-00;"",""?00;"", //"""),"'","""")</f>
        <v>073, 19451020, 12.00, ////, 07</v>
      </c>
    </row>
    <row r="880" spans="1:1" x14ac:dyDescent="0.25">
      <c r="A880" s="16" t="str">
        <f ca="1">TEXT(Overig!A880,"000\,")&amp;TEXT(Overig!B880,"?00000000")&amp;TEXT(Overig!C880,""", ""@")&amp;SUBSTITUTE(TEXT(IF(ISTEXT(Overig!D880),Overig!D880,10*Overig!D880),""",""????0;"",""???-0;"",""????0;"", ////"""),"'","""")&amp;SUBSTITUTE(TEXT(Overig!E880,""",""?00;"",""?-00;"",""?00;"", //"""),"'","""")</f>
        <v>073, 19451020, 16.00, ////, 07</v>
      </c>
    </row>
    <row r="881" spans="1:1" x14ac:dyDescent="0.25">
      <c r="A881" s="16" t="str">
        <f ca="1">TEXT(Overig!A881,"000\,")&amp;TEXT(Overig!B881,"?00000000")&amp;TEXT(Overig!C881,""", ""@")&amp;SUBSTITUTE(TEXT(IF(ISTEXT(Overig!D881),Overig!D881,10*Overig!D881),""",""????0;"",""???-0;"",""????0;"", ////"""),"'","""")&amp;SUBSTITUTE(TEXT(Overig!E881,""",""?00;"",""?-00;"",""?00;"", //"""),"'","""")</f>
        <v>073, 19451021, 08.00, ////, 07</v>
      </c>
    </row>
    <row r="882" spans="1:1" x14ac:dyDescent="0.25">
      <c r="A882" s="16" t="str">
        <f ca="1">TEXT(Overig!A882,"000\,")&amp;TEXT(Overig!B882,"?00000000")&amp;TEXT(Overig!C882,""", ""@")&amp;SUBSTITUTE(TEXT(IF(ISTEXT(Overig!D882),Overig!D882,10*Overig!D882),""",""????0;"",""???-0;"",""????0;"", ////"""),"'","""")&amp;SUBSTITUTE(TEXT(Overig!E882,""",""?00;"",""?-00;"",""?00;"", //"""),"'","""")</f>
        <v>073, 19451021, 12.00, ////, 07</v>
      </c>
    </row>
    <row r="883" spans="1:1" x14ac:dyDescent="0.25">
      <c r="A883" s="16" t="str">
        <f ca="1">TEXT(Overig!A883,"000\,")&amp;TEXT(Overig!B883,"?00000000")&amp;TEXT(Overig!C883,""", ""@")&amp;SUBSTITUTE(TEXT(IF(ISTEXT(Overig!D883),Overig!D883,10*Overig!D883),""",""????0;"",""???-0;"",""????0;"", ////"""),"'","""")&amp;SUBSTITUTE(TEXT(Overig!E883,""",""?00;"",""?-00;"",""?00;"", //"""),"'","""")</f>
        <v>073, 19451021, 16.00, ////, 07</v>
      </c>
    </row>
    <row r="884" spans="1:1" x14ac:dyDescent="0.25">
      <c r="A884" s="16" t="str">
        <f ca="1">TEXT(Overig!A884,"000\,")&amp;TEXT(Overig!B884,"?00000000")&amp;TEXT(Overig!C884,""", ""@")&amp;SUBSTITUTE(TEXT(IF(ISTEXT(Overig!D884),Overig!D884,10*Overig!D884),""",""????0;"",""???-0;"",""????0;"", ////"""),"'","""")&amp;SUBSTITUTE(TEXT(Overig!E884,""",""?00;"",""?-00;"",""?00;"", //"""),"'","""")</f>
        <v>073, 19451022, 08.00, ////, 07</v>
      </c>
    </row>
    <row r="885" spans="1:1" x14ac:dyDescent="0.25">
      <c r="A885" s="16" t="str">
        <f ca="1">TEXT(Overig!A885,"000\,")&amp;TEXT(Overig!B885,"?00000000")&amp;TEXT(Overig!C885,""", ""@")&amp;SUBSTITUTE(TEXT(IF(ISTEXT(Overig!D885),Overig!D885,10*Overig!D885),""",""????0;"",""???-0;"",""????0;"", ////"""),"'","""")&amp;SUBSTITUTE(TEXT(Overig!E885,""",""?00;"",""?-00;"",""?00;"", //"""),"'","""")</f>
        <v>073, 19451022, 12.00, ////, 07</v>
      </c>
    </row>
    <row r="886" spans="1:1" x14ac:dyDescent="0.25">
      <c r="A886" s="16" t="str">
        <f ca="1">TEXT(Overig!A886,"000\,")&amp;TEXT(Overig!B886,"?00000000")&amp;TEXT(Overig!C886,""", ""@")&amp;SUBSTITUTE(TEXT(IF(ISTEXT(Overig!D886),Overig!D886,10*Overig!D886),""",""????0;"",""???-0;"",""????0;"", ////"""),"'","""")&amp;SUBSTITUTE(TEXT(Overig!E886,""",""?00;"",""?-00;"",""?00;"", //"""),"'","""")</f>
        <v>073, 19451022, 16.00, ////, 07</v>
      </c>
    </row>
    <row r="887" spans="1:1" x14ac:dyDescent="0.25">
      <c r="A887" s="16" t="str">
        <f ca="1">TEXT(Overig!A887,"000\,")&amp;TEXT(Overig!B887,"?00000000")&amp;TEXT(Overig!C887,""", ""@")&amp;SUBSTITUTE(TEXT(IF(ISTEXT(Overig!D887),Overig!D887,10*Overig!D887),""",""????0;"",""???-0;"",""????0;"", ////"""),"'","""")&amp;SUBSTITUTE(TEXT(Overig!E887,""",""?00;"",""?-00;"",""?00;"", //"""),"'","""")</f>
        <v>073, 19451023, 08.00, ////, 07</v>
      </c>
    </row>
    <row r="888" spans="1:1" x14ac:dyDescent="0.25">
      <c r="A888" s="16" t="str">
        <f ca="1">TEXT(Overig!A888,"000\,")&amp;TEXT(Overig!B888,"?00000000")&amp;TEXT(Overig!C888,""", ""@")&amp;SUBSTITUTE(TEXT(IF(ISTEXT(Overig!D888),Overig!D888,10*Overig!D888),""",""????0;"",""???-0;"",""????0;"", ////"""),"'","""")&amp;SUBSTITUTE(TEXT(Overig!E888,""",""?00;"",""?-00;"",""?00;"", //"""),"'","""")</f>
        <v>073, 19451023, 12.00, ////, 07</v>
      </c>
    </row>
    <row r="889" spans="1:1" x14ac:dyDescent="0.25">
      <c r="A889" s="16" t="str">
        <f ca="1">TEXT(Overig!A889,"000\,")&amp;TEXT(Overig!B889,"?00000000")&amp;TEXT(Overig!C889,""", ""@")&amp;SUBSTITUTE(TEXT(IF(ISTEXT(Overig!D889),Overig!D889,10*Overig!D889),""",""????0;"",""???-0;"",""????0;"", ////"""),"'","""")&amp;SUBSTITUTE(TEXT(Overig!E889,""",""?00;"",""?-00;"",""?00;"", //"""),"'","""")</f>
        <v>073, 19451023, 16.00, ////, 07</v>
      </c>
    </row>
    <row r="890" spans="1:1" x14ac:dyDescent="0.25">
      <c r="A890" s="16" t="str">
        <f ca="1">TEXT(Overig!A890,"000\,")&amp;TEXT(Overig!B890,"?00000000")&amp;TEXT(Overig!C890,""", ""@")&amp;SUBSTITUTE(TEXT(IF(ISTEXT(Overig!D890),Overig!D890,10*Overig!D890),""",""????0;"",""???-0;"",""????0;"", ////"""),"'","""")&amp;SUBSTITUTE(TEXT(Overig!E890,""",""?00;"",""?-00;"",""?00;"", //"""),"'","""")</f>
        <v>073, 19451024, 08.00, ////, 07</v>
      </c>
    </row>
    <row r="891" spans="1:1" x14ac:dyDescent="0.25">
      <c r="A891" s="16" t="str">
        <f ca="1">TEXT(Overig!A891,"000\,")&amp;TEXT(Overig!B891,"?00000000")&amp;TEXT(Overig!C891,""", ""@")&amp;SUBSTITUTE(TEXT(IF(ISTEXT(Overig!D891),Overig!D891,10*Overig!D891),""",""????0;"",""???-0;"",""????0;"", ////"""),"'","""")&amp;SUBSTITUTE(TEXT(Overig!E891,""",""?00;"",""?-00;"",""?00;"", //"""),"'","""")</f>
        <v>073, 19451024, 12.00, ////, 07</v>
      </c>
    </row>
    <row r="892" spans="1:1" x14ac:dyDescent="0.25">
      <c r="A892" s="16" t="str">
        <f ca="1">TEXT(Overig!A892,"000\,")&amp;TEXT(Overig!B892,"?00000000")&amp;TEXT(Overig!C892,""", ""@")&amp;SUBSTITUTE(TEXT(IF(ISTEXT(Overig!D892),Overig!D892,10*Overig!D892),""",""????0;"",""???-0;"",""????0;"", ////"""),"'","""")&amp;SUBSTITUTE(TEXT(Overig!E892,""",""?00;"",""?-00;"",""?00;"", //"""),"'","""")</f>
        <v>073, 19451024, 16.00, ////, 07</v>
      </c>
    </row>
    <row r="893" spans="1:1" x14ac:dyDescent="0.25">
      <c r="A893" s="16" t="str">
        <f ca="1">TEXT(Overig!A893,"000\,")&amp;TEXT(Overig!B893,"?00000000")&amp;TEXT(Overig!C893,""", ""@")&amp;SUBSTITUTE(TEXT(IF(ISTEXT(Overig!D893),Overig!D893,10*Overig!D893),""",""????0;"",""???-0;"",""????0;"", ////"""),"'","""")&amp;SUBSTITUTE(TEXT(Overig!E893,""",""?00;"",""?-00;"",""?00;"", //"""),"'","""")</f>
        <v>073, 19451025, 08.00, ////, 07</v>
      </c>
    </row>
    <row r="894" spans="1:1" x14ac:dyDescent="0.25">
      <c r="A894" s="16" t="str">
        <f ca="1">TEXT(Overig!A894,"000\,")&amp;TEXT(Overig!B894,"?00000000")&amp;TEXT(Overig!C894,""", ""@")&amp;SUBSTITUTE(TEXT(IF(ISTEXT(Overig!D894),Overig!D894,10*Overig!D894),""",""????0;"",""???-0;"",""????0;"", ////"""),"'","""")&amp;SUBSTITUTE(TEXT(Overig!E894,""",""?00;"",""?-00;"",""?00;"", //"""),"'","""")</f>
        <v>073, 19451025, 12.00, ////, 07</v>
      </c>
    </row>
    <row r="895" spans="1:1" x14ac:dyDescent="0.25">
      <c r="A895" s="16" t="str">
        <f ca="1">TEXT(Overig!A895,"000\,")&amp;TEXT(Overig!B895,"?00000000")&amp;TEXT(Overig!C895,""", ""@")&amp;SUBSTITUTE(TEXT(IF(ISTEXT(Overig!D895),Overig!D895,10*Overig!D895),""",""????0;"",""???-0;"",""????0;"", ////"""),"'","""")&amp;SUBSTITUTE(TEXT(Overig!E895,""",""?00;"",""?-00;"",""?00;"", //"""),"'","""")</f>
        <v>073, 19451025, 16.00, ////, 07</v>
      </c>
    </row>
    <row r="896" spans="1:1" x14ac:dyDescent="0.25">
      <c r="A896" s="16" t="str">
        <f ca="1">TEXT(Overig!A896,"000\,")&amp;TEXT(Overig!B896,"?00000000")&amp;TEXT(Overig!C896,""", ""@")&amp;SUBSTITUTE(TEXT(IF(ISTEXT(Overig!D896),Overig!D896,10*Overig!D896),""",""????0;"",""???-0;"",""????0;"", ////"""),"'","""")&amp;SUBSTITUTE(TEXT(Overig!E896,""",""?00;"",""?-00;"",""?00;"", //"""),"'","""")</f>
        <v>073, 19451026, 08.00, ////, 07</v>
      </c>
    </row>
    <row r="897" spans="1:1" x14ac:dyDescent="0.25">
      <c r="A897" s="16" t="str">
        <f ca="1">TEXT(Overig!A897,"000\,")&amp;TEXT(Overig!B897,"?00000000")&amp;TEXT(Overig!C897,""", ""@")&amp;SUBSTITUTE(TEXT(IF(ISTEXT(Overig!D897),Overig!D897,10*Overig!D897),""",""????0;"",""???-0;"",""????0;"", ////"""),"'","""")&amp;SUBSTITUTE(TEXT(Overig!E897,""",""?00;"",""?-00;"",""?00;"", //"""),"'","""")</f>
        <v>073, 19451026, 12.00, ////, 07</v>
      </c>
    </row>
    <row r="898" spans="1:1" x14ac:dyDescent="0.25">
      <c r="A898" s="16" t="str">
        <f ca="1">TEXT(Overig!A898,"000\,")&amp;TEXT(Overig!B898,"?00000000")&amp;TEXT(Overig!C898,""", ""@")&amp;SUBSTITUTE(TEXT(IF(ISTEXT(Overig!D898),Overig!D898,10*Overig!D898),""",""????0;"",""???-0;"",""????0;"", ////"""),"'","""")&amp;SUBSTITUTE(TEXT(Overig!E898,""",""?00;"",""?-00;"",""?00;"", //"""),"'","""")</f>
        <v>073, 19451026, 16.00, ////, 07</v>
      </c>
    </row>
    <row r="899" spans="1:1" x14ac:dyDescent="0.25">
      <c r="A899" s="16" t="str">
        <f ca="1">TEXT(Overig!A899,"000\,")&amp;TEXT(Overig!B899,"?00000000")&amp;TEXT(Overig!C899,""", ""@")&amp;SUBSTITUTE(TEXT(IF(ISTEXT(Overig!D899),Overig!D899,10*Overig!D899),""",""????0;"",""???-0;"",""????0;"", ////"""),"'","""")&amp;SUBSTITUTE(TEXT(Overig!E899,""",""?00;"",""?-00;"",""?00;"", //"""),"'","""")</f>
        <v>073, 19451027, 08.00, ////, 07</v>
      </c>
    </row>
    <row r="900" spans="1:1" x14ac:dyDescent="0.25">
      <c r="A900" s="16" t="str">
        <f ca="1">TEXT(Overig!A900,"000\,")&amp;TEXT(Overig!B900,"?00000000")&amp;TEXT(Overig!C900,""", ""@")&amp;SUBSTITUTE(TEXT(IF(ISTEXT(Overig!D900),Overig!D900,10*Overig!D900),""",""????0;"",""???-0;"",""????0;"", ////"""),"'","""")&amp;SUBSTITUTE(TEXT(Overig!E900,""",""?00;"",""?-00;"",""?00;"", //"""),"'","""")</f>
        <v>073, 19451027, 12.00, ////, 07</v>
      </c>
    </row>
    <row r="901" spans="1:1" x14ac:dyDescent="0.25">
      <c r="A901" s="16" t="str">
        <f ca="1">TEXT(Overig!A901,"000\,")&amp;TEXT(Overig!B901,"?00000000")&amp;TEXT(Overig!C901,""", ""@")&amp;SUBSTITUTE(TEXT(IF(ISTEXT(Overig!D901),Overig!D901,10*Overig!D901),""",""????0;"",""???-0;"",""????0;"", ////"""),"'","""")&amp;SUBSTITUTE(TEXT(Overig!E901,""",""?00;"",""?-00;"",""?00;"", //"""),"'","""")</f>
        <v>073, 19451027, 16.00, ////, 07</v>
      </c>
    </row>
    <row r="902" spans="1:1" x14ac:dyDescent="0.25">
      <c r="A902" s="16" t="str">
        <f ca="1">TEXT(Overig!A902,"000\,")&amp;TEXT(Overig!B902,"?00000000")&amp;TEXT(Overig!C902,""", ""@")&amp;SUBSTITUTE(TEXT(IF(ISTEXT(Overig!D902),Overig!D902,10*Overig!D902),""",""????0;"",""???-0;"",""????0;"", ////"""),"'","""")&amp;SUBSTITUTE(TEXT(Overig!E902,""",""?00;"",""?-00;"",""?00;"", //"""),"'","""")</f>
        <v>073, 19451028, 08.00, ////, 07</v>
      </c>
    </row>
    <row r="903" spans="1:1" x14ac:dyDescent="0.25">
      <c r="A903" s="16" t="str">
        <f ca="1">TEXT(Overig!A903,"000\,")&amp;TEXT(Overig!B903,"?00000000")&amp;TEXT(Overig!C903,""", ""@")&amp;SUBSTITUTE(TEXT(IF(ISTEXT(Overig!D903),Overig!D903,10*Overig!D903),""",""????0;"",""???-0;"",""????0;"", ////"""),"'","""")&amp;SUBSTITUTE(TEXT(Overig!E903,""",""?00;"",""?-00;"",""?00;"", //"""),"'","""")</f>
        <v>073, 19451028, 12.00, ////, 07</v>
      </c>
    </row>
    <row r="904" spans="1:1" x14ac:dyDescent="0.25">
      <c r="A904" s="16" t="str">
        <f ca="1">TEXT(Overig!A904,"000\,")&amp;TEXT(Overig!B904,"?00000000")&amp;TEXT(Overig!C904,""", ""@")&amp;SUBSTITUTE(TEXT(IF(ISTEXT(Overig!D904),Overig!D904,10*Overig!D904),""",""????0;"",""???-0;"",""????0;"", ////"""),"'","""")&amp;SUBSTITUTE(TEXT(Overig!E904,""",""?00;"",""?-00;"",""?00;"", //"""),"'","""")</f>
        <v>073, 19451028, 16.00, ////, 07</v>
      </c>
    </row>
    <row r="905" spans="1:1" x14ac:dyDescent="0.25">
      <c r="A905" s="16" t="str">
        <f ca="1">TEXT(Overig!A905,"000\,")&amp;TEXT(Overig!B905,"?00000000")&amp;TEXT(Overig!C905,""", ""@")&amp;SUBSTITUTE(TEXT(IF(ISTEXT(Overig!D905),Overig!D905,10*Overig!D905),""",""????0;"",""???-0;"",""????0;"", ////"""),"'","""")&amp;SUBSTITUTE(TEXT(Overig!E905,""",""?00;"",""?-00;"",""?00;"", //"""),"'","""")</f>
        <v>073, 19451029, 08.00, ////, 07</v>
      </c>
    </row>
    <row r="906" spans="1:1" x14ac:dyDescent="0.25">
      <c r="A906" s="16" t="str">
        <f ca="1">TEXT(Overig!A906,"000\,")&amp;TEXT(Overig!B906,"?00000000")&amp;TEXT(Overig!C906,""", ""@")&amp;SUBSTITUTE(TEXT(IF(ISTEXT(Overig!D906),Overig!D906,10*Overig!D906),""",""????0;"",""???-0;"",""????0;"", ////"""),"'","""")&amp;SUBSTITUTE(TEXT(Overig!E906,""",""?00;"",""?-00;"",""?00;"", //"""),"'","""")</f>
        <v>073, 19451029, 12.00, ////, 07</v>
      </c>
    </row>
    <row r="907" spans="1:1" x14ac:dyDescent="0.25">
      <c r="A907" s="16" t="str">
        <f ca="1">TEXT(Overig!A907,"000\,")&amp;TEXT(Overig!B907,"?00000000")&amp;TEXT(Overig!C907,""", ""@")&amp;SUBSTITUTE(TEXT(IF(ISTEXT(Overig!D907),Overig!D907,10*Overig!D907),""",""????0;"",""???-0;"",""????0;"", ////"""),"'","""")&amp;SUBSTITUTE(TEXT(Overig!E907,""",""?00;"",""?-00;"",""?00;"", //"""),"'","""")</f>
        <v>073, 19451029, 16.00, ////, 07</v>
      </c>
    </row>
    <row r="908" spans="1:1" x14ac:dyDescent="0.25">
      <c r="A908" s="16" t="str">
        <f ca="1">TEXT(Overig!A908,"000\,")&amp;TEXT(Overig!B908,"?00000000")&amp;TEXT(Overig!C908,""", ""@")&amp;SUBSTITUTE(TEXT(IF(ISTEXT(Overig!D908),Overig!D908,10*Overig!D908),""",""????0;"",""???-0;"",""????0;"", ////"""),"'","""")&amp;SUBSTITUTE(TEXT(Overig!E908,""",""?00;"",""?-00;"",""?00;"", //"""),"'","""")</f>
        <v>073, 19451030, 08.00, ////, 07</v>
      </c>
    </row>
    <row r="909" spans="1:1" x14ac:dyDescent="0.25">
      <c r="A909" s="16" t="str">
        <f ca="1">TEXT(Overig!A909,"000\,")&amp;TEXT(Overig!B909,"?00000000")&amp;TEXT(Overig!C909,""", ""@")&amp;SUBSTITUTE(TEXT(IF(ISTEXT(Overig!D909),Overig!D909,10*Overig!D909),""",""????0;"",""???-0;"",""????0;"", ////"""),"'","""")&amp;SUBSTITUTE(TEXT(Overig!E909,""",""?00;"",""?-00;"",""?00;"", //"""),"'","""")</f>
        <v>073, 19451030, 12.00, ////, 07</v>
      </c>
    </row>
    <row r="910" spans="1:1" x14ac:dyDescent="0.25">
      <c r="A910" s="16" t="str">
        <f ca="1">TEXT(Overig!A910,"000\,")&amp;TEXT(Overig!B910,"?00000000")&amp;TEXT(Overig!C910,""", ""@")&amp;SUBSTITUTE(TEXT(IF(ISTEXT(Overig!D910),Overig!D910,10*Overig!D910),""",""????0;"",""???-0;"",""????0;"", ////"""),"'","""")&amp;SUBSTITUTE(TEXT(Overig!E910,""",""?00;"",""?-00;"",""?00;"", //"""),"'","""")</f>
        <v>073, 19451030, 16.00, ////, 07</v>
      </c>
    </row>
    <row r="911" spans="1:1" x14ac:dyDescent="0.25">
      <c r="A911" s="16" t="str">
        <f ca="1">TEXT(Overig!A911,"000\,")&amp;TEXT(Overig!B911,"?00000000")&amp;TEXT(Overig!C911,""", ""@")&amp;SUBSTITUTE(TEXT(IF(ISTEXT(Overig!D911),Overig!D911,10*Overig!D911),""",""????0;"",""???-0;"",""????0;"", ////"""),"'","""")&amp;SUBSTITUTE(TEXT(Overig!E911,""",""?00;"",""?-00;"",""?00;"", //"""),"'","""")</f>
        <v>073, 19451031, 08.00, ////, 07</v>
      </c>
    </row>
    <row r="912" spans="1:1" x14ac:dyDescent="0.25">
      <c r="A912" s="16" t="str">
        <f ca="1">TEXT(Overig!A912,"000\,")&amp;TEXT(Overig!B912,"?00000000")&amp;TEXT(Overig!C912,""", ""@")&amp;SUBSTITUTE(TEXT(IF(ISTEXT(Overig!D912),Overig!D912,10*Overig!D912),""",""????0;"",""???-0;"",""????0;"", ////"""),"'","""")&amp;SUBSTITUTE(TEXT(Overig!E912,""",""?00;"",""?-00;"",""?00;"", //"""),"'","""")</f>
        <v>073, 19451031, 12.00, ////, 07</v>
      </c>
    </row>
    <row r="913" spans="1:1" x14ac:dyDescent="0.25">
      <c r="A913" s="16" t="str">
        <f ca="1">TEXT(Overig!A913,"000\,")&amp;TEXT(Overig!B913,"?00000000")&amp;TEXT(Overig!C913,""", ""@")&amp;SUBSTITUTE(TEXT(IF(ISTEXT(Overig!D913),Overig!D913,10*Overig!D913),""",""????0;"",""???-0;"",""????0;"", ////"""),"'","""")&amp;SUBSTITUTE(TEXT(Overig!E913,""",""?00;"",""?-00;"",""?00;"", //"""),"'","""")</f>
        <v>073, 19451031, 16.00, ////, 07</v>
      </c>
    </row>
    <row r="914" spans="1:1" x14ac:dyDescent="0.25">
      <c r="A914" s="16" t="str">
        <f ca="1">TEXT(Overig!A914,"000\,")&amp;TEXT(Overig!B914,"?00000000")&amp;TEXT(Overig!C914,""", ""@")&amp;SUBSTITUTE(TEXT(IF(ISTEXT(Overig!D914),Overig!D914,10*Overig!D914),""",""????0;"",""???-0;"",""????0;"", ////"""),"'","""")&amp;SUBSTITUTE(TEXT(Overig!E914,""",""?00;"",""?-00;"",""?00;"", //"""),"'","""")</f>
        <v>073, 19451101, 08.00, ////, 07</v>
      </c>
    </row>
    <row r="915" spans="1:1" x14ac:dyDescent="0.25">
      <c r="A915" s="16" t="str">
        <f ca="1">TEXT(Overig!A915,"000\,")&amp;TEXT(Overig!B915,"?00000000")&amp;TEXT(Overig!C915,""", ""@")&amp;SUBSTITUTE(TEXT(IF(ISTEXT(Overig!D915),Overig!D915,10*Overig!D915),""",""????0;"",""???-0;"",""????0;"", ////"""),"'","""")&amp;SUBSTITUTE(TEXT(Overig!E915,""",""?00;"",""?-00;"",""?00;"", //"""),"'","""")</f>
        <v>073, 19451101, 12.00, ////, 07</v>
      </c>
    </row>
    <row r="916" spans="1:1" x14ac:dyDescent="0.25">
      <c r="A916" s="16" t="str">
        <f ca="1">TEXT(Overig!A916,"000\,")&amp;TEXT(Overig!B916,"?00000000")&amp;TEXT(Overig!C916,""", ""@")&amp;SUBSTITUTE(TEXT(IF(ISTEXT(Overig!D916),Overig!D916,10*Overig!D916),""",""????0;"",""???-0;"",""????0;"", ////"""),"'","""")&amp;SUBSTITUTE(TEXT(Overig!E916,""",""?00;"",""?-00;"",""?00;"", //"""),"'","""")</f>
        <v>073, 19451101, 16.00, ////, 07</v>
      </c>
    </row>
    <row r="917" spans="1:1" x14ac:dyDescent="0.25">
      <c r="A917" s="16" t="str">
        <f ca="1">TEXT(Overig!A917,"000\,")&amp;TEXT(Overig!B917,"?00000000")&amp;TEXT(Overig!C917,""", ""@")&amp;SUBSTITUTE(TEXT(IF(ISTEXT(Overig!D917),Overig!D917,10*Overig!D917),""",""????0;"",""???-0;"",""????0;"", ////"""),"'","""")&amp;SUBSTITUTE(TEXT(Overig!E917,""",""?00;"",""?-00;"",""?00;"", //"""),"'","""")</f>
        <v>073, 19451102, 08.00, ////, 07</v>
      </c>
    </row>
    <row r="918" spans="1:1" x14ac:dyDescent="0.25">
      <c r="A918" s="16" t="str">
        <f ca="1">TEXT(Overig!A918,"000\,")&amp;TEXT(Overig!B918,"?00000000")&amp;TEXT(Overig!C918,""", ""@")&amp;SUBSTITUTE(TEXT(IF(ISTEXT(Overig!D918),Overig!D918,10*Overig!D918),""",""????0;"",""???-0;"",""????0;"", ////"""),"'","""")&amp;SUBSTITUTE(TEXT(Overig!E918,""",""?00;"",""?-00;"",""?00;"", //"""),"'","""")</f>
        <v>073, 19451102, 12.00, ////, 07</v>
      </c>
    </row>
    <row r="919" spans="1:1" x14ac:dyDescent="0.25">
      <c r="A919" s="16" t="str">
        <f ca="1">TEXT(Overig!A919,"000\,")&amp;TEXT(Overig!B919,"?00000000")&amp;TEXT(Overig!C919,""", ""@")&amp;SUBSTITUTE(TEXT(IF(ISTEXT(Overig!D919),Overig!D919,10*Overig!D919),""",""????0;"",""???-0;"",""????0;"", ////"""),"'","""")&amp;SUBSTITUTE(TEXT(Overig!E919,""",""?00;"",""?-00;"",""?00;"", //"""),"'","""")</f>
        <v>073, 19451102, 16.00, ////, 07</v>
      </c>
    </row>
    <row r="920" spans="1:1" x14ac:dyDescent="0.25">
      <c r="A920" s="16" t="str">
        <f ca="1">TEXT(Overig!A920,"000\,")&amp;TEXT(Overig!B920,"?00000000")&amp;TEXT(Overig!C920,""", ""@")&amp;SUBSTITUTE(TEXT(IF(ISTEXT(Overig!D920),Overig!D920,10*Overig!D920),""",""????0;"",""???-0;"",""????0;"", ////"""),"'","""")&amp;SUBSTITUTE(TEXT(Overig!E920,""",""?00;"",""?-00;"",""?00;"", //"""),"'","""")</f>
        <v>073, 19451103, 08.00, ////, 07</v>
      </c>
    </row>
    <row r="921" spans="1:1" x14ac:dyDescent="0.25">
      <c r="A921" s="16" t="str">
        <f ca="1">TEXT(Overig!A921,"000\,")&amp;TEXT(Overig!B921,"?00000000")&amp;TEXT(Overig!C921,""", ""@")&amp;SUBSTITUTE(TEXT(IF(ISTEXT(Overig!D921),Overig!D921,10*Overig!D921),""",""????0;"",""???-0;"",""????0;"", ////"""),"'","""")&amp;SUBSTITUTE(TEXT(Overig!E921,""",""?00;"",""?-00;"",""?00;"", //"""),"'","""")</f>
        <v>073, 19451103, 12.00, ////, 07</v>
      </c>
    </row>
    <row r="922" spans="1:1" x14ac:dyDescent="0.25">
      <c r="A922" s="16" t="str">
        <f ca="1">TEXT(Overig!A922,"000\,")&amp;TEXT(Overig!B922,"?00000000")&amp;TEXT(Overig!C922,""", ""@")&amp;SUBSTITUTE(TEXT(IF(ISTEXT(Overig!D922),Overig!D922,10*Overig!D922),""",""????0;"",""???-0;"",""????0;"", ////"""),"'","""")&amp;SUBSTITUTE(TEXT(Overig!E922,""",""?00;"",""?-00;"",""?00;"", //"""),"'","""")</f>
        <v>073, 19451103, 16.00, ////, 07</v>
      </c>
    </row>
    <row r="923" spans="1:1" x14ac:dyDescent="0.25">
      <c r="A923" s="16" t="str">
        <f ca="1">TEXT(Overig!A923,"000\,")&amp;TEXT(Overig!B923,"?00000000")&amp;TEXT(Overig!C923,""", ""@")&amp;SUBSTITUTE(TEXT(IF(ISTEXT(Overig!D923),Overig!D923,10*Overig!D923),""",""????0;"",""???-0;"",""????0;"", ////"""),"'","""")&amp;SUBSTITUTE(TEXT(Overig!E923,""",""?00;"",""?-00;"",""?00;"", //"""),"'","""")</f>
        <v>073, 19451104, 08.00, ////, 07</v>
      </c>
    </row>
    <row r="924" spans="1:1" x14ac:dyDescent="0.25">
      <c r="A924" s="16" t="str">
        <f ca="1">TEXT(Overig!A924,"000\,")&amp;TEXT(Overig!B924,"?00000000")&amp;TEXT(Overig!C924,""", ""@")&amp;SUBSTITUTE(TEXT(IF(ISTEXT(Overig!D924),Overig!D924,10*Overig!D924),""",""????0;"",""???-0;"",""????0;"", ////"""),"'","""")&amp;SUBSTITUTE(TEXT(Overig!E924,""",""?00;"",""?-00;"",""?00;"", //"""),"'","""")</f>
        <v>073, 19451104, 12.00, ////, 07</v>
      </c>
    </row>
    <row r="925" spans="1:1" x14ac:dyDescent="0.25">
      <c r="A925" s="16" t="str">
        <f ca="1">TEXT(Overig!A925,"000\,")&amp;TEXT(Overig!B925,"?00000000")&amp;TEXT(Overig!C925,""", ""@")&amp;SUBSTITUTE(TEXT(IF(ISTEXT(Overig!D925),Overig!D925,10*Overig!D925),""",""????0;"",""???-0;"",""????0;"", ////"""),"'","""")&amp;SUBSTITUTE(TEXT(Overig!E925,""",""?00;"",""?-00;"",""?00;"", //"""),"'","""")</f>
        <v>073, 19451104, 16.00, ////, 07</v>
      </c>
    </row>
    <row r="926" spans="1:1" x14ac:dyDescent="0.25">
      <c r="A926" s="16" t="str">
        <f ca="1">TEXT(Overig!A926,"000\,")&amp;TEXT(Overig!B926,"?00000000")&amp;TEXT(Overig!C926,""", ""@")&amp;SUBSTITUTE(TEXT(IF(ISTEXT(Overig!D926),Overig!D926,10*Overig!D926),""",""????0;"",""???-0;"",""????0;"", ////"""),"'","""")&amp;SUBSTITUTE(TEXT(Overig!E926,""",""?00;"",""?-00;"",""?00;"", //"""),"'","""")</f>
        <v>073, 19451105, 08.00, ////, 07</v>
      </c>
    </row>
    <row r="927" spans="1:1" x14ac:dyDescent="0.25">
      <c r="A927" s="16" t="str">
        <f ca="1">TEXT(Overig!A927,"000\,")&amp;TEXT(Overig!B927,"?00000000")&amp;TEXT(Overig!C927,""", ""@")&amp;SUBSTITUTE(TEXT(IF(ISTEXT(Overig!D927),Overig!D927,10*Overig!D927),""",""????0;"",""???-0;"",""????0;"", ////"""),"'","""")&amp;SUBSTITUTE(TEXT(Overig!E927,""",""?00;"",""?-00;"",""?00;"", //"""),"'","""")</f>
        <v>073, 19451105, 12.00, ////, 07</v>
      </c>
    </row>
    <row r="928" spans="1:1" x14ac:dyDescent="0.25">
      <c r="A928" s="16" t="str">
        <f ca="1">TEXT(Overig!A928,"000\,")&amp;TEXT(Overig!B928,"?00000000")&amp;TEXT(Overig!C928,""", ""@")&amp;SUBSTITUTE(TEXT(IF(ISTEXT(Overig!D928),Overig!D928,10*Overig!D928),""",""????0;"",""???-0;"",""????0;"", ////"""),"'","""")&amp;SUBSTITUTE(TEXT(Overig!E928,""",""?00;"",""?-00;"",""?00;"", //"""),"'","""")</f>
        <v>073, 19451105, 16.00, ////, 07</v>
      </c>
    </row>
    <row r="929" spans="1:1" x14ac:dyDescent="0.25">
      <c r="A929" s="16" t="str">
        <f ca="1">TEXT(Overig!A929,"000\,")&amp;TEXT(Overig!B929,"?00000000")&amp;TEXT(Overig!C929,""", ""@")&amp;SUBSTITUTE(TEXT(IF(ISTEXT(Overig!D929),Overig!D929,10*Overig!D929),""",""????0;"",""???-0;"",""????0;"", ////"""),"'","""")&amp;SUBSTITUTE(TEXT(Overig!E929,""",""?00;"",""?-00;"",""?00;"", //"""),"'","""")</f>
        <v>073, 19451106, 08.00, ////, 07</v>
      </c>
    </row>
    <row r="930" spans="1:1" x14ac:dyDescent="0.25">
      <c r="A930" s="16" t="str">
        <f ca="1">TEXT(Overig!A930,"000\,")&amp;TEXT(Overig!B930,"?00000000")&amp;TEXT(Overig!C930,""", ""@")&amp;SUBSTITUTE(TEXT(IF(ISTEXT(Overig!D930),Overig!D930,10*Overig!D930),""",""????0;"",""???-0;"",""????0;"", ////"""),"'","""")&amp;SUBSTITUTE(TEXT(Overig!E930,""",""?00;"",""?-00;"",""?00;"", //"""),"'","""")</f>
        <v>073, 19451106, 12.00, ////, 07</v>
      </c>
    </row>
    <row r="931" spans="1:1" x14ac:dyDescent="0.25">
      <c r="A931" s="16" t="str">
        <f ca="1">TEXT(Overig!A931,"000\,")&amp;TEXT(Overig!B931,"?00000000")&amp;TEXT(Overig!C931,""", ""@")&amp;SUBSTITUTE(TEXT(IF(ISTEXT(Overig!D931),Overig!D931,10*Overig!D931),""",""????0;"",""???-0;"",""????0;"", ////"""),"'","""")&amp;SUBSTITUTE(TEXT(Overig!E931,""",""?00;"",""?-00;"",""?00;"", //"""),"'","""")</f>
        <v>073, 19451106, 16.00, ////, 07</v>
      </c>
    </row>
    <row r="932" spans="1:1" x14ac:dyDescent="0.25">
      <c r="A932" s="16" t="str">
        <f ca="1">TEXT(Overig!A932,"000\,")&amp;TEXT(Overig!B932,"?00000000")&amp;TEXT(Overig!C932,""", ""@")&amp;SUBSTITUTE(TEXT(IF(ISTEXT(Overig!D932),Overig!D932,10*Overig!D932),""",""????0;"",""???-0;"",""????0;"", ////"""),"'","""")&amp;SUBSTITUTE(TEXT(Overig!E932,""",""?00;"",""?-00;"",""?00;"", //"""),"'","""")</f>
        <v>073, 19451107, 08.00, ////, 07</v>
      </c>
    </row>
    <row r="933" spans="1:1" x14ac:dyDescent="0.25">
      <c r="A933" s="16" t="str">
        <f ca="1">TEXT(Overig!A933,"000\,")&amp;TEXT(Overig!B933,"?00000000")&amp;TEXT(Overig!C933,""", ""@")&amp;SUBSTITUTE(TEXT(IF(ISTEXT(Overig!D933),Overig!D933,10*Overig!D933),""",""????0;"",""???-0;"",""????0;"", ////"""),"'","""")&amp;SUBSTITUTE(TEXT(Overig!E933,""",""?00;"",""?-00;"",""?00;"", //"""),"'","""")</f>
        <v>073, 19451107, 12.00, ////, 07</v>
      </c>
    </row>
    <row r="934" spans="1:1" x14ac:dyDescent="0.25">
      <c r="A934" s="16" t="str">
        <f ca="1">TEXT(Overig!A934,"000\,")&amp;TEXT(Overig!B934,"?00000000")&amp;TEXT(Overig!C934,""", ""@")&amp;SUBSTITUTE(TEXT(IF(ISTEXT(Overig!D934),Overig!D934,10*Overig!D934),""",""????0;"",""???-0;"",""????0;"", ////"""),"'","""")&amp;SUBSTITUTE(TEXT(Overig!E934,""",""?00;"",""?-00;"",""?00;"", //"""),"'","""")</f>
        <v>073, 19451107, 16.00, ////, 07</v>
      </c>
    </row>
    <row r="935" spans="1:1" x14ac:dyDescent="0.25">
      <c r="A935" s="16" t="str">
        <f ca="1">TEXT(Overig!A935,"000\,")&amp;TEXT(Overig!B935,"?00000000")&amp;TEXT(Overig!C935,""", ""@")&amp;SUBSTITUTE(TEXT(IF(ISTEXT(Overig!D935),Overig!D935,10*Overig!D935),""",""????0;"",""???-0;"",""????0;"", ////"""),"'","""")&amp;SUBSTITUTE(TEXT(Overig!E935,""",""?00;"",""?-00;"",""?00;"", //"""),"'","""")</f>
        <v>073, 19451108, 08.00, ////, 07</v>
      </c>
    </row>
    <row r="936" spans="1:1" x14ac:dyDescent="0.25">
      <c r="A936" s="16" t="str">
        <f ca="1">TEXT(Overig!A936,"000\,")&amp;TEXT(Overig!B936,"?00000000")&amp;TEXT(Overig!C936,""", ""@")&amp;SUBSTITUTE(TEXT(IF(ISTEXT(Overig!D936),Overig!D936,10*Overig!D936),""",""????0;"",""???-0;"",""????0;"", ////"""),"'","""")&amp;SUBSTITUTE(TEXT(Overig!E936,""",""?00;"",""?-00;"",""?00;"", //"""),"'","""")</f>
        <v>073, 19451108, 12.00, ////, 07</v>
      </c>
    </row>
    <row r="937" spans="1:1" x14ac:dyDescent="0.25">
      <c r="A937" s="16" t="str">
        <f ca="1">TEXT(Overig!A937,"000\,")&amp;TEXT(Overig!B937,"?00000000")&amp;TEXT(Overig!C937,""", ""@")&amp;SUBSTITUTE(TEXT(IF(ISTEXT(Overig!D937),Overig!D937,10*Overig!D937),""",""????0;"",""???-0;"",""????0;"", ////"""),"'","""")&amp;SUBSTITUTE(TEXT(Overig!E937,""",""?00;"",""?-00;"",""?00;"", //"""),"'","""")</f>
        <v>073, 19451108, 16.00, ////, 07</v>
      </c>
    </row>
    <row r="938" spans="1:1" x14ac:dyDescent="0.25">
      <c r="A938" s="16" t="str">
        <f ca="1">TEXT(Overig!A938,"000\,")&amp;TEXT(Overig!B938,"?00000000")&amp;TEXT(Overig!C938,""", ""@")&amp;SUBSTITUTE(TEXT(IF(ISTEXT(Overig!D938),Overig!D938,10*Overig!D938),""",""????0;"",""???-0;"",""????0;"", ////"""),"'","""")&amp;SUBSTITUTE(TEXT(Overig!E938,""",""?00;"",""?-00;"",""?00;"", //"""),"'","""")</f>
        <v>073, 19451109, 08.00, ////, 07</v>
      </c>
    </row>
    <row r="939" spans="1:1" x14ac:dyDescent="0.25">
      <c r="A939" s="16" t="str">
        <f ca="1">TEXT(Overig!A939,"000\,")&amp;TEXT(Overig!B939,"?00000000")&amp;TEXT(Overig!C939,""", ""@")&amp;SUBSTITUTE(TEXT(IF(ISTEXT(Overig!D939),Overig!D939,10*Overig!D939),""",""????0;"",""???-0;"",""????0;"", ////"""),"'","""")&amp;SUBSTITUTE(TEXT(Overig!E939,""",""?00;"",""?-00;"",""?00;"", //"""),"'","""")</f>
        <v>073, 19451109, 12.00, ////, 07</v>
      </c>
    </row>
    <row r="940" spans="1:1" x14ac:dyDescent="0.25">
      <c r="A940" s="16" t="str">
        <f ca="1">TEXT(Overig!A940,"000\,")&amp;TEXT(Overig!B940,"?00000000")&amp;TEXT(Overig!C940,""", ""@")&amp;SUBSTITUTE(TEXT(IF(ISTEXT(Overig!D940),Overig!D940,10*Overig!D940),""",""????0;"",""???-0;"",""????0;"", ////"""),"'","""")&amp;SUBSTITUTE(TEXT(Overig!E940,""",""?00;"",""?-00;"",""?00;"", //"""),"'","""")</f>
        <v>073, 19451109, 16.00, ////, 07</v>
      </c>
    </row>
    <row r="941" spans="1:1" x14ac:dyDescent="0.25">
      <c r="A941" s="16" t="str">
        <f ca="1">TEXT(Overig!A941,"000\,")&amp;TEXT(Overig!B941,"?00000000")&amp;TEXT(Overig!C941,""", ""@")&amp;SUBSTITUTE(TEXT(IF(ISTEXT(Overig!D941),Overig!D941,10*Overig!D941),""",""????0;"",""???-0;"",""????0;"", ////"""),"'","""")&amp;SUBSTITUTE(TEXT(Overig!E941,""",""?00;"",""?-00;"",""?00;"", //"""),"'","""")</f>
        <v>073, 19451110, 08.00, ////, 07</v>
      </c>
    </row>
    <row r="942" spans="1:1" x14ac:dyDescent="0.25">
      <c r="A942" s="16" t="str">
        <f ca="1">TEXT(Overig!A942,"000\,")&amp;TEXT(Overig!B942,"?00000000")&amp;TEXT(Overig!C942,""", ""@")&amp;SUBSTITUTE(TEXT(IF(ISTEXT(Overig!D942),Overig!D942,10*Overig!D942),""",""????0;"",""???-0;"",""????0;"", ////"""),"'","""")&amp;SUBSTITUTE(TEXT(Overig!E942,""",""?00;"",""?-00;"",""?00;"", //"""),"'","""")</f>
        <v>073, 19451110, 12.00, ////, 07</v>
      </c>
    </row>
    <row r="943" spans="1:1" x14ac:dyDescent="0.25">
      <c r="A943" s="16" t="str">
        <f ca="1">TEXT(Overig!A943,"000\,")&amp;TEXT(Overig!B943,"?00000000")&amp;TEXT(Overig!C943,""", ""@")&amp;SUBSTITUTE(TEXT(IF(ISTEXT(Overig!D943),Overig!D943,10*Overig!D943),""",""????0;"",""???-0;"",""????0;"", ////"""),"'","""")&amp;SUBSTITUTE(TEXT(Overig!E943,""",""?00;"",""?-00;"",""?00;"", //"""),"'","""")</f>
        <v>073, 19451110, 16.00, ////, 07</v>
      </c>
    </row>
    <row r="944" spans="1:1" x14ac:dyDescent="0.25">
      <c r="A944" s="16" t="str">
        <f ca="1">TEXT(Overig!A944,"000\,")&amp;TEXT(Overig!B944,"?00000000")&amp;TEXT(Overig!C944,""", ""@")&amp;SUBSTITUTE(TEXT(IF(ISTEXT(Overig!D944),Overig!D944,10*Overig!D944),""",""????0;"",""???-0;"",""????0;"", ////"""),"'","""")&amp;SUBSTITUTE(TEXT(Overig!E944,""",""?00;"",""?-00;"",""?00;"", //"""),"'","""")</f>
        <v>073, 19451111, 08.00, ////, 07</v>
      </c>
    </row>
    <row r="945" spans="1:1" x14ac:dyDescent="0.25">
      <c r="A945" s="16" t="str">
        <f ca="1">TEXT(Overig!A945,"000\,")&amp;TEXT(Overig!B945,"?00000000")&amp;TEXT(Overig!C945,""", ""@")&amp;SUBSTITUTE(TEXT(IF(ISTEXT(Overig!D945),Overig!D945,10*Overig!D945),""",""????0;"",""???-0;"",""????0;"", ////"""),"'","""")&amp;SUBSTITUTE(TEXT(Overig!E945,""",""?00;"",""?-00;"",""?00;"", //"""),"'","""")</f>
        <v>073, 19451111, 12.00, ////, 07</v>
      </c>
    </row>
    <row r="946" spans="1:1" x14ac:dyDescent="0.25">
      <c r="A946" s="16" t="str">
        <f ca="1">TEXT(Overig!A946,"000\,")&amp;TEXT(Overig!B946,"?00000000")&amp;TEXT(Overig!C946,""", ""@")&amp;SUBSTITUTE(TEXT(IF(ISTEXT(Overig!D946),Overig!D946,10*Overig!D946),""",""????0;"",""???-0;"",""????0;"", ////"""),"'","""")&amp;SUBSTITUTE(TEXT(Overig!E946,""",""?00;"",""?-00;"",""?00;"", //"""),"'","""")</f>
        <v>073, 19451111, 16.00, ////, 07</v>
      </c>
    </row>
    <row r="947" spans="1:1" x14ac:dyDescent="0.25">
      <c r="A947" s="16" t="str">
        <f ca="1">TEXT(Overig!A947,"000\,")&amp;TEXT(Overig!B947,"?00000000")&amp;TEXT(Overig!C947,""", ""@")&amp;SUBSTITUTE(TEXT(IF(ISTEXT(Overig!D947),Overig!D947,10*Overig!D947),""",""????0;"",""???-0;"",""????0;"", ////"""),"'","""")&amp;SUBSTITUTE(TEXT(Overig!E947,""",""?00;"",""?-00;"",""?00;"", //"""),"'","""")</f>
        <v>073, 19451112, 08.00, ////, 07</v>
      </c>
    </row>
    <row r="948" spans="1:1" x14ac:dyDescent="0.25">
      <c r="A948" s="16" t="str">
        <f ca="1">TEXT(Overig!A948,"000\,")&amp;TEXT(Overig!B948,"?00000000")&amp;TEXT(Overig!C948,""", ""@")&amp;SUBSTITUTE(TEXT(IF(ISTEXT(Overig!D948),Overig!D948,10*Overig!D948),""",""????0;"",""???-0;"",""????0;"", ////"""),"'","""")&amp;SUBSTITUTE(TEXT(Overig!E948,""",""?00;"",""?-00;"",""?00;"", //"""),"'","""")</f>
        <v>073, 19451112, 12.00, ////, 07</v>
      </c>
    </row>
    <row r="949" spans="1:1" x14ac:dyDescent="0.25">
      <c r="A949" s="16" t="str">
        <f ca="1">TEXT(Overig!A949,"000\,")&amp;TEXT(Overig!B949,"?00000000")&amp;TEXT(Overig!C949,""", ""@")&amp;SUBSTITUTE(TEXT(IF(ISTEXT(Overig!D949),Overig!D949,10*Overig!D949),""",""????0;"",""???-0;"",""????0;"", ////"""),"'","""")&amp;SUBSTITUTE(TEXT(Overig!E949,""",""?00;"",""?-00;"",""?00;"", //"""),"'","""")</f>
        <v>073, 19451112, 16.00, ////, 07</v>
      </c>
    </row>
    <row r="950" spans="1:1" x14ac:dyDescent="0.25">
      <c r="A950" s="16" t="str">
        <f ca="1">TEXT(Overig!A950,"000\,")&amp;TEXT(Overig!B950,"?00000000")&amp;TEXT(Overig!C950,""", ""@")&amp;SUBSTITUTE(TEXT(IF(ISTEXT(Overig!D950),Overig!D950,10*Overig!D950),""",""????0;"",""???-0;"",""????0;"", ////"""),"'","""")&amp;SUBSTITUTE(TEXT(Overig!E950,""",""?00;"",""?-00;"",""?00;"", //"""),"'","""")</f>
        <v>073, 19451113, 08.00, ////, 07</v>
      </c>
    </row>
    <row r="951" spans="1:1" x14ac:dyDescent="0.25">
      <c r="A951" s="16" t="str">
        <f ca="1">TEXT(Overig!A951,"000\,")&amp;TEXT(Overig!B951,"?00000000")&amp;TEXT(Overig!C951,""", ""@")&amp;SUBSTITUTE(TEXT(IF(ISTEXT(Overig!D951),Overig!D951,10*Overig!D951),""",""????0;"",""???-0;"",""????0;"", ////"""),"'","""")&amp;SUBSTITUTE(TEXT(Overig!E951,""",""?00;"",""?-00;"",""?00;"", //"""),"'","""")</f>
        <v>073, 19451113, 12.00, ////, 07</v>
      </c>
    </row>
    <row r="952" spans="1:1" x14ac:dyDescent="0.25">
      <c r="A952" s="16" t="str">
        <f ca="1">TEXT(Overig!A952,"000\,")&amp;TEXT(Overig!B952,"?00000000")&amp;TEXT(Overig!C952,""", ""@")&amp;SUBSTITUTE(TEXT(IF(ISTEXT(Overig!D952),Overig!D952,10*Overig!D952),""",""????0;"",""???-0;"",""????0;"", ////"""),"'","""")&amp;SUBSTITUTE(TEXT(Overig!E952,""",""?00;"",""?-00;"",""?00;"", //"""),"'","""")</f>
        <v>073, 19451113, 16.00, ////, 07</v>
      </c>
    </row>
    <row r="953" spans="1:1" x14ac:dyDescent="0.25">
      <c r="A953" s="16" t="str">
        <f ca="1">TEXT(Overig!A953,"000\,")&amp;TEXT(Overig!B953,"?00000000")&amp;TEXT(Overig!C953,""", ""@")&amp;SUBSTITUTE(TEXT(IF(ISTEXT(Overig!D953),Overig!D953,10*Overig!D953),""",""????0;"",""???-0;"",""????0;"", ////"""),"'","""")&amp;SUBSTITUTE(TEXT(Overig!E953,""",""?00;"",""?-00;"",""?00;"", //"""),"'","""")</f>
        <v>073, 19451114, 08.00, ////, 07</v>
      </c>
    </row>
    <row r="954" spans="1:1" x14ac:dyDescent="0.25">
      <c r="A954" s="16" t="str">
        <f ca="1">TEXT(Overig!A954,"000\,")&amp;TEXT(Overig!B954,"?00000000")&amp;TEXT(Overig!C954,""", ""@")&amp;SUBSTITUTE(TEXT(IF(ISTEXT(Overig!D954),Overig!D954,10*Overig!D954),""",""????0;"",""???-0;"",""????0;"", ////"""),"'","""")&amp;SUBSTITUTE(TEXT(Overig!E954,""",""?00;"",""?-00;"",""?00;"", //"""),"'","""")</f>
        <v>073, 19451114, 12.00, ////, 07</v>
      </c>
    </row>
    <row r="955" spans="1:1" x14ac:dyDescent="0.25">
      <c r="A955" s="16" t="str">
        <f ca="1">TEXT(Overig!A955,"000\,")&amp;TEXT(Overig!B955,"?00000000")&amp;TEXT(Overig!C955,""", ""@")&amp;SUBSTITUTE(TEXT(IF(ISTEXT(Overig!D955),Overig!D955,10*Overig!D955),""",""????0;"",""???-0;"",""????0;"", ////"""),"'","""")&amp;SUBSTITUTE(TEXT(Overig!E955,""",""?00;"",""?-00;"",""?00;"", //"""),"'","""")</f>
        <v>073, 19451114, 16.00, ////, 07</v>
      </c>
    </row>
    <row r="956" spans="1:1" x14ac:dyDescent="0.25">
      <c r="A956" s="16" t="str">
        <f ca="1">TEXT(Overig!A956,"000\,")&amp;TEXT(Overig!B956,"?00000000")&amp;TEXT(Overig!C956,""", ""@")&amp;SUBSTITUTE(TEXT(IF(ISTEXT(Overig!D956),Overig!D956,10*Overig!D956),""",""????0;"",""???-0;"",""????0;"", ////"""),"'","""")&amp;SUBSTITUTE(TEXT(Overig!E956,""",""?00;"",""?-00;"",""?00;"", //"""),"'","""")</f>
        <v>073, 19451115, 08.00, ////, 07</v>
      </c>
    </row>
    <row r="957" spans="1:1" x14ac:dyDescent="0.25">
      <c r="A957" s="16" t="str">
        <f ca="1">TEXT(Overig!A957,"000\,")&amp;TEXT(Overig!B957,"?00000000")&amp;TEXT(Overig!C957,""", ""@")&amp;SUBSTITUTE(TEXT(IF(ISTEXT(Overig!D957),Overig!D957,10*Overig!D957),""",""????0;"",""???-0;"",""????0;"", ////"""),"'","""")&amp;SUBSTITUTE(TEXT(Overig!E957,""",""?00;"",""?-00;"",""?00;"", //"""),"'","""")</f>
        <v>073, 19451115, 12.00, ////, 07</v>
      </c>
    </row>
    <row r="958" spans="1:1" x14ac:dyDescent="0.25">
      <c r="A958" s="16" t="str">
        <f ca="1">TEXT(Overig!A958,"000\,")&amp;TEXT(Overig!B958,"?00000000")&amp;TEXT(Overig!C958,""", ""@")&amp;SUBSTITUTE(TEXT(IF(ISTEXT(Overig!D958),Overig!D958,10*Overig!D958),""",""????0;"",""???-0;"",""????0;"", ////"""),"'","""")&amp;SUBSTITUTE(TEXT(Overig!E958,""",""?00;"",""?-00;"",""?00;"", //"""),"'","""")</f>
        <v>073, 19451115, 16.00, ////, 07</v>
      </c>
    </row>
    <row r="959" spans="1:1" x14ac:dyDescent="0.25">
      <c r="A959" s="16" t="str">
        <f ca="1">TEXT(Overig!A959,"000\,")&amp;TEXT(Overig!B959,"?00000000")&amp;TEXT(Overig!C959,""", ""@")&amp;SUBSTITUTE(TEXT(IF(ISTEXT(Overig!D959),Overig!D959,10*Overig!D959),""",""????0;"",""???-0;"",""????0;"", ////"""),"'","""")&amp;SUBSTITUTE(TEXT(Overig!E959,""",""?00;"",""?-00;"",""?00;"", //"""),"'","""")</f>
        <v>073, 19451116, 08.00, ////, 07</v>
      </c>
    </row>
    <row r="960" spans="1:1" x14ac:dyDescent="0.25">
      <c r="A960" s="16" t="str">
        <f ca="1">TEXT(Overig!A960,"000\,")&amp;TEXT(Overig!B960,"?00000000")&amp;TEXT(Overig!C960,""", ""@")&amp;SUBSTITUTE(TEXT(IF(ISTEXT(Overig!D960),Overig!D960,10*Overig!D960),""",""????0;"",""???-0;"",""????0;"", ////"""),"'","""")&amp;SUBSTITUTE(TEXT(Overig!E960,""",""?00;"",""?-00;"",""?00;"", //"""),"'","""")</f>
        <v>073, 19451116, 12.00, ////, 07</v>
      </c>
    </row>
    <row r="961" spans="1:1" x14ac:dyDescent="0.25">
      <c r="A961" s="16" t="str">
        <f ca="1">TEXT(Overig!A961,"000\,")&amp;TEXT(Overig!B961,"?00000000")&amp;TEXT(Overig!C961,""", ""@")&amp;SUBSTITUTE(TEXT(IF(ISTEXT(Overig!D961),Overig!D961,10*Overig!D961),""",""????0;"",""???-0;"",""????0;"", ////"""),"'","""")&amp;SUBSTITUTE(TEXT(Overig!E961,""",""?00;"",""?-00;"",""?00;"", //"""),"'","""")</f>
        <v>073, 19451116, 16.00, ////, 07</v>
      </c>
    </row>
    <row r="962" spans="1:1" x14ac:dyDescent="0.25">
      <c r="A962" s="16" t="str">
        <f ca="1">TEXT(Overig!A962,"000\,")&amp;TEXT(Overig!B962,"?00000000")&amp;TEXT(Overig!C962,""", ""@")&amp;SUBSTITUTE(TEXT(IF(ISTEXT(Overig!D962),Overig!D962,10*Overig!D962),""",""????0;"",""???-0;"",""????0;"", ////"""),"'","""")&amp;SUBSTITUTE(TEXT(Overig!E962,""",""?00;"",""?-00;"",""?00;"", //"""),"'","""")</f>
        <v>073, 19451117, 08.00, ////, 07</v>
      </c>
    </row>
    <row r="963" spans="1:1" x14ac:dyDescent="0.25">
      <c r="A963" s="16" t="str">
        <f ca="1">TEXT(Overig!A963,"000\,")&amp;TEXT(Overig!B963,"?00000000")&amp;TEXT(Overig!C963,""", ""@")&amp;SUBSTITUTE(TEXT(IF(ISTEXT(Overig!D963),Overig!D963,10*Overig!D963),""",""????0;"",""???-0;"",""????0;"", ////"""),"'","""")&amp;SUBSTITUTE(TEXT(Overig!E963,""",""?00;"",""?-00;"",""?00;"", //"""),"'","""")</f>
        <v>073, 19451117, 12.00, ////, 07</v>
      </c>
    </row>
    <row r="964" spans="1:1" x14ac:dyDescent="0.25">
      <c r="A964" s="16" t="str">
        <f ca="1">TEXT(Overig!A964,"000\,")&amp;TEXT(Overig!B964,"?00000000")&amp;TEXT(Overig!C964,""", ""@")&amp;SUBSTITUTE(TEXT(IF(ISTEXT(Overig!D964),Overig!D964,10*Overig!D964),""",""????0;"",""???-0;"",""????0;"", ////"""),"'","""")&amp;SUBSTITUTE(TEXT(Overig!E964,""",""?00;"",""?-00;"",""?00;"", //"""),"'","""")</f>
        <v>073, 19451117, 16.00, ////, 07</v>
      </c>
    </row>
    <row r="965" spans="1:1" x14ac:dyDescent="0.25">
      <c r="A965" s="16" t="str">
        <f ca="1">TEXT(Overig!A965,"000\,")&amp;TEXT(Overig!B965,"?00000000")&amp;TEXT(Overig!C965,""", ""@")&amp;SUBSTITUTE(TEXT(IF(ISTEXT(Overig!D965),Overig!D965,10*Overig!D965),""",""????0;"",""???-0;"",""????0;"", ////"""),"'","""")&amp;SUBSTITUTE(TEXT(Overig!E965,""",""?00;"",""?-00;"",""?00;"", //"""),"'","""")</f>
        <v>073, 19451118, 08.00, ////, 07</v>
      </c>
    </row>
    <row r="966" spans="1:1" x14ac:dyDescent="0.25">
      <c r="A966" s="16" t="str">
        <f ca="1">TEXT(Overig!A966,"000\,")&amp;TEXT(Overig!B966,"?00000000")&amp;TEXT(Overig!C966,""", ""@")&amp;SUBSTITUTE(TEXT(IF(ISTEXT(Overig!D966),Overig!D966,10*Overig!D966),""",""????0;"",""???-0;"",""????0;"", ////"""),"'","""")&amp;SUBSTITUTE(TEXT(Overig!E966,""",""?00;"",""?-00;"",""?00;"", //"""),"'","""")</f>
        <v>073, 19451118, 12.00, ////, 07</v>
      </c>
    </row>
    <row r="967" spans="1:1" x14ac:dyDescent="0.25">
      <c r="A967" s="16" t="str">
        <f ca="1">TEXT(Overig!A967,"000\,")&amp;TEXT(Overig!B967,"?00000000")&amp;TEXT(Overig!C967,""", ""@")&amp;SUBSTITUTE(TEXT(IF(ISTEXT(Overig!D967),Overig!D967,10*Overig!D967),""",""????0;"",""???-0;"",""????0;"", ////"""),"'","""")&amp;SUBSTITUTE(TEXT(Overig!E967,""",""?00;"",""?-00;"",""?00;"", //"""),"'","""")</f>
        <v>073, 19451118, 16.00, ////, 07</v>
      </c>
    </row>
    <row r="968" spans="1:1" x14ac:dyDescent="0.25">
      <c r="A968" s="16" t="str">
        <f ca="1">TEXT(Overig!A968,"000\,")&amp;TEXT(Overig!B968,"?00000000")&amp;TEXT(Overig!C968,""", ""@")&amp;SUBSTITUTE(TEXT(IF(ISTEXT(Overig!D968),Overig!D968,10*Overig!D968),""",""????0;"",""???-0;"",""????0;"", ////"""),"'","""")&amp;SUBSTITUTE(TEXT(Overig!E968,""",""?00;"",""?-00;"",""?00;"", //"""),"'","""")</f>
        <v>073, 19451119, 08.00, ////, 07</v>
      </c>
    </row>
    <row r="969" spans="1:1" x14ac:dyDescent="0.25">
      <c r="A969" s="16" t="str">
        <f ca="1">TEXT(Overig!A969,"000\,")&amp;TEXT(Overig!B969,"?00000000")&amp;TEXT(Overig!C969,""", ""@")&amp;SUBSTITUTE(TEXT(IF(ISTEXT(Overig!D969),Overig!D969,10*Overig!D969),""",""????0;"",""???-0;"",""????0;"", ////"""),"'","""")&amp;SUBSTITUTE(TEXT(Overig!E969,""",""?00;"",""?-00;"",""?00;"", //"""),"'","""")</f>
        <v>073, 19451119, 12.00, ////, 07</v>
      </c>
    </row>
    <row r="970" spans="1:1" x14ac:dyDescent="0.25">
      <c r="A970" s="16" t="str">
        <f ca="1">TEXT(Overig!A970,"000\,")&amp;TEXT(Overig!B970,"?00000000")&amp;TEXT(Overig!C970,""", ""@")&amp;SUBSTITUTE(TEXT(IF(ISTEXT(Overig!D970),Overig!D970,10*Overig!D970),""",""????0;"",""???-0;"",""????0;"", ////"""),"'","""")&amp;SUBSTITUTE(TEXT(Overig!E970,""",""?00;"",""?-00;"",""?00;"", //"""),"'","""")</f>
        <v>073, 19451119, 16.00, ////, 07</v>
      </c>
    </row>
    <row r="971" spans="1:1" x14ac:dyDescent="0.25">
      <c r="A971" s="16" t="str">
        <f ca="1">TEXT(Overig!A971,"000\,")&amp;TEXT(Overig!B971,"?00000000")&amp;TEXT(Overig!C971,""", ""@")&amp;SUBSTITUTE(TEXT(IF(ISTEXT(Overig!D971),Overig!D971,10*Overig!D971),""",""????0;"",""???-0;"",""????0;"", ////"""),"'","""")&amp;SUBSTITUTE(TEXT(Overig!E971,""",""?00;"",""?-00;"",""?00;"", //"""),"'","""")</f>
        <v>073, 19451120, 08.00, ////, 07</v>
      </c>
    </row>
    <row r="972" spans="1:1" x14ac:dyDescent="0.25">
      <c r="A972" s="16" t="str">
        <f ca="1">TEXT(Overig!A972,"000\,")&amp;TEXT(Overig!B972,"?00000000")&amp;TEXT(Overig!C972,""", ""@")&amp;SUBSTITUTE(TEXT(IF(ISTEXT(Overig!D972),Overig!D972,10*Overig!D972),""",""????0;"",""???-0;"",""????0;"", ////"""),"'","""")&amp;SUBSTITUTE(TEXT(Overig!E972,""",""?00;"",""?-00;"",""?00;"", //"""),"'","""")</f>
        <v>073, 19451120, 12.00, ////, 07</v>
      </c>
    </row>
    <row r="973" spans="1:1" x14ac:dyDescent="0.25">
      <c r="A973" s="16" t="str">
        <f ca="1">TEXT(Overig!A973,"000\,")&amp;TEXT(Overig!B973,"?00000000")&amp;TEXT(Overig!C973,""", ""@")&amp;SUBSTITUTE(TEXT(IF(ISTEXT(Overig!D973),Overig!D973,10*Overig!D973),""",""????0;"",""???-0;"",""????0;"", ////"""),"'","""")&amp;SUBSTITUTE(TEXT(Overig!E973,""",""?00;"",""?-00;"",""?00;"", //"""),"'","""")</f>
        <v>073, 19451120, 16.00, ////, 07</v>
      </c>
    </row>
    <row r="974" spans="1:1" x14ac:dyDescent="0.25">
      <c r="A974" s="16" t="str">
        <f ca="1">TEXT(Overig!A974,"000\,")&amp;TEXT(Overig!B974,"?00000000")&amp;TEXT(Overig!C974,""", ""@")&amp;SUBSTITUTE(TEXT(IF(ISTEXT(Overig!D974),Overig!D974,10*Overig!D974),""",""????0;"",""???-0;"",""????0;"", ////"""),"'","""")&amp;SUBSTITUTE(TEXT(Overig!E974,""",""?00;"",""?-00;"",""?00;"", //"""),"'","""")</f>
        <v>073, 19451121, 08.00, ////, 07</v>
      </c>
    </row>
    <row r="975" spans="1:1" x14ac:dyDescent="0.25">
      <c r="A975" s="16" t="str">
        <f ca="1">TEXT(Overig!A975,"000\,")&amp;TEXT(Overig!B975,"?00000000")&amp;TEXT(Overig!C975,""", ""@")&amp;SUBSTITUTE(TEXT(IF(ISTEXT(Overig!D975),Overig!D975,10*Overig!D975),""",""????0;"",""???-0;"",""????0;"", ////"""),"'","""")&amp;SUBSTITUTE(TEXT(Overig!E975,""",""?00;"",""?-00;"",""?00;"", //"""),"'","""")</f>
        <v>073, 19451121, 12.00, ////, 07</v>
      </c>
    </row>
    <row r="976" spans="1:1" x14ac:dyDescent="0.25">
      <c r="A976" s="16" t="str">
        <f ca="1">TEXT(Overig!A976,"000\,")&amp;TEXT(Overig!B976,"?00000000")&amp;TEXT(Overig!C976,""", ""@")&amp;SUBSTITUTE(TEXT(IF(ISTEXT(Overig!D976),Overig!D976,10*Overig!D976),""",""????0;"",""???-0;"",""????0;"", ////"""),"'","""")&amp;SUBSTITUTE(TEXT(Overig!E976,""",""?00;"",""?-00;"",""?00;"", //"""),"'","""")</f>
        <v>073, 19451121, 16.00, ////, 07</v>
      </c>
    </row>
    <row r="977" spans="1:1" x14ac:dyDescent="0.25">
      <c r="A977" s="16" t="str">
        <f ca="1">TEXT(Overig!A977,"000\,")&amp;TEXT(Overig!B977,"?00000000")&amp;TEXT(Overig!C977,""", ""@")&amp;SUBSTITUTE(TEXT(IF(ISTEXT(Overig!D977),Overig!D977,10*Overig!D977),""",""????0;"",""???-0;"",""????0;"", ////"""),"'","""")&amp;SUBSTITUTE(TEXT(Overig!E977,""",""?00;"",""?-00;"",""?00;"", //"""),"'","""")</f>
        <v>073, 19451122, 08.00, ////, 07</v>
      </c>
    </row>
    <row r="978" spans="1:1" x14ac:dyDescent="0.25">
      <c r="A978" s="16" t="str">
        <f ca="1">TEXT(Overig!A978,"000\,")&amp;TEXT(Overig!B978,"?00000000")&amp;TEXT(Overig!C978,""", ""@")&amp;SUBSTITUTE(TEXT(IF(ISTEXT(Overig!D978),Overig!D978,10*Overig!D978),""",""????0;"",""???-0;"",""????0;"", ////"""),"'","""")&amp;SUBSTITUTE(TEXT(Overig!E978,""",""?00;"",""?-00;"",""?00;"", //"""),"'","""")</f>
        <v>073, 19451122, 12.00, ////, 07</v>
      </c>
    </row>
    <row r="979" spans="1:1" x14ac:dyDescent="0.25">
      <c r="A979" s="16" t="str">
        <f ca="1">TEXT(Overig!A979,"000\,")&amp;TEXT(Overig!B979,"?00000000")&amp;TEXT(Overig!C979,""", ""@")&amp;SUBSTITUTE(TEXT(IF(ISTEXT(Overig!D979),Overig!D979,10*Overig!D979),""",""????0;"",""???-0;"",""????0;"", ////"""),"'","""")&amp;SUBSTITUTE(TEXT(Overig!E979,""",""?00;"",""?-00;"",""?00;"", //"""),"'","""")</f>
        <v>073, 19451122, 16.00, ////, 07</v>
      </c>
    </row>
    <row r="980" spans="1:1" x14ac:dyDescent="0.25">
      <c r="A980" s="16" t="str">
        <f ca="1">TEXT(Overig!A980,"000\,")&amp;TEXT(Overig!B980,"?00000000")&amp;TEXT(Overig!C980,""", ""@")&amp;SUBSTITUTE(TEXT(IF(ISTEXT(Overig!D980),Overig!D980,10*Overig!D980),""",""????0;"",""???-0;"",""????0;"", ////"""),"'","""")&amp;SUBSTITUTE(TEXT(Overig!E980,""",""?00;"",""?-00;"",""?00;"", //"""),"'","""")</f>
        <v>073, 19451123, 08.00, ////, 07</v>
      </c>
    </row>
    <row r="981" spans="1:1" x14ac:dyDescent="0.25">
      <c r="A981" s="16" t="str">
        <f ca="1">TEXT(Overig!A981,"000\,")&amp;TEXT(Overig!B981,"?00000000")&amp;TEXT(Overig!C981,""", ""@")&amp;SUBSTITUTE(TEXT(IF(ISTEXT(Overig!D981),Overig!D981,10*Overig!D981),""",""????0;"",""???-0;"",""????0;"", ////"""),"'","""")&amp;SUBSTITUTE(TEXT(Overig!E981,""",""?00;"",""?-00;"",""?00;"", //"""),"'","""")</f>
        <v>073, 19451123, 12.00, ////, 07</v>
      </c>
    </row>
    <row r="982" spans="1:1" x14ac:dyDescent="0.25">
      <c r="A982" s="16" t="str">
        <f ca="1">TEXT(Overig!A982,"000\,")&amp;TEXT(Overig!B982,"?00000000")&amp;TEXT(Overig!C982,""", ""@")&amp;SUBSTITUTE(TEXT(IF(ISTEXT(Overig!D982),Overig!D982,10*Overig!D982),""",""????0;"",""???-0;"",""????0;"", ////"""),"'","""")&amp;SUBSTITUTE(TEXT(Overig!E982,""",""?00;"",""?-00;"",""?00;"", //"""),"'","""")</f>
        <v>073, 19451123, 16.00, ////, 07</v>
      </c>
    </row>
    <row r="983" spans="1:1" x14ac:dyDescent="0.25">
      <c r="A983" s="16" t="str">
        <f ca="1">TEXT(Overig!A983,"000\,")&amp;TEXT(Overig!B983,"?00000000")&amp;TEXT(Overig!C983,""", ""@")&amp;SUBSTITUTE(TEXT(IF(ISTEXT(Overig!D983),Overig!D983,10*Overig!D983),""",""????0;"",""???-0;"",""????0;"", ////"""),"'","""")&amp;SUBSTITUTE(TEXT(Overig!E983,""",""?00;"",""?-00;"",""?00;"", //"""),"'","""")</f>
        <v>073, 19451124, 08.00, ////, 07</v>
      </c>
    </row>
    <row r="984" spans="1:1" x14ac:dyDescent="0.25">
      <c r="A984" s="16" t="str">
        <f ca="1">TEXT(Overig!A984,"000\,")&amp;TEXT(Overig!B984,"?00000000")&amp;TEXT(Overig!C984,""", ""@")&amp;SUBSTITUTE(TEXT(IF(ISTEXT(Overig!D984),Overig!D984,10*Overig!D984),""",""????0;"",""???-0;"",""????0;"", ////"""),"'","""")&amp;SUBSTITUTE(TEXT(Overig!E984,""",""?00;"",""?-00;"",""?00;"", //"""),"'","""")</f>
        <v>073, 19451124, 12.00, ////, 07</v>
      </c>
    </row>
    <row r="985" spans="1:1" x14ac:dyDescent="0.25">
      <c r="A985" s="16" t="str">
        <f ca="1">TEXT(Overig!A985,"000\,")&amp;TEXT(Overig!B985,"?00000000")&amp;TEXT(Overig!C985,""", ""@")&amp;SUBSTITUTE(TEXT(IF(ISTEXT(Overig!D985),Overig!D985,10*Overig!D985),""",""????0;"",""???-0;"",""????0;"", ////"""),"'","""")&amp;SUBSTITUTE(TEXT(Overig!E985,""",""?00;"",""?-00;"",""?00;"", //"""),"'","""")</f>
        <v>073, 19451124, 16.00, ////, 07</v>
      </c>
    </row>
    <row r="986" spans="1:1" x14ac:dyDescent="0.25">
      <c r="A986" s="16" t="str">
        <f ca="1">TEXT(Overig!A986,"000\,")&amp;TEXT(Overig!B986,"?00000000")&amp;TEXT(Overig!C986,""", ""@")&amp;SUBSTITUTE(TEXT(IF(ISTEXT(Overig!D986),Overig!D986,10*Overig!D986),""",""????0;"",""???-0;"",""????0;"", ////"""),"'","""")&amp;SUBSTITUTE(TEXT(Overig!E986,""",""?00;"",""?-00;"",""?00;"", //"""),"'","""")</f>
        <v>073, 19451125, 08.00, ////, 07</v>
      </c>
    </row>
    <row r="987" spans="1:1" x14ac:dyDescent="0.25">
      <c r="A987" s="16" t="str">
        <f ca="1">TEXT(Overig!A987,"000\,")&amp;TEXT(Overig!B987,"?00000000")&amp;TEXT(Overig!C987,""", ""@")&amp;SUBSTITUTE(TEXT(IF(ISTEXT(Overig!D987),Overig!D987,10*Overig!D987),""",""????0;"",""???-0;"",""????0;"", ////"""),"'","""")&amp;SUBSTITUTE(TEXT(Overig!E987,""",""?00;"",""?-00;"",""?00;"", //"""),"'","""")</f>
        <v>073, 19451125, 12.00, ////, 07</v>
      </c>
    </row>
    <row r="988" spans="1:1" x14ac:dyDescent="0.25">
      <c r="A988" s="16" t="str">
        <f ca="1">TEXT(Overig!A988,"000\,")&amp;TEXT(Overig!B988,"?00000000")&amp;TEXT(Overig!C988,""", ""@")&amp;SUBSTITUTE(TEXT(IF(ISTEXT(Overig!D988),Overig!D988,10*Overig!D988),""",""????0;"",""???-0;"",""????0;"", ////"""),"'","""")&amp;SUBSTITUTE(TEXT(Overig!E988,""",""?00;"",""?-00;"",""?00;"", //"""),"'","""")</f>
        <v>073, 19451125, 16.00, ////, 07</v>
      </c>
    </row>
    <row r="989" spans="1:1" x14ac:dyDescent="0.25">
      <c r="A989" s="16" t="str">
        <f ca="1">TEXT(Overig!A989,"000\,")&amp;TEXT(Overig!B989,"?00000000")&amp;TEXT(Overig!C989,""", ""@")&amp;SUBSTITUTE(TEXT(IF(ISTEXT(Overig!D989),Overig!D989,10*Overig!D989),""",""????0;"",""???-0;"",""????0;"", ////"""),"'","""")&amp;SUBSTITUTE(TEXT(Overig!E989,""",""?00;"",""?-00;"",""?00;"", //"""),"'","""")</f>
        <v>073, 19451126, 08.00, ////, 07</v>
      </c>
    </row>
    <row r="990" spans="1:1" x14ac:dyDescent="0.25">
      <c r="A990" s="16" t="str">
        <f ca="1">TEXT(Overig!A990,"000\,")&amp;TEXT(Overig!B990,"?00000000")&amp;TEXT(Overig!C990,""", ""@")&amp;SUBSTITUTE(TEXT(IF(ISTEXT(Overig!D990),Overig!D990,10*Overig!D990),""",""????0;"",""???-0;"",""????0;"", ////"""),"'","""")&amp;SUBSTITUTE(TEXT(Overig!E990,""",""?00;"",""?-00;"",""?00;"", //"""),"'","""")</f>
        <v>073, 19451126, 12.00, ////, 07</v>
      </c>
    </row>
    <row r="991" spans="1:1" x14ac:dyDescent="0.25">
      <c r="A991" s="16" t="str">
        <f ca="1">TEXT(Overig!A991,"000\,")&amp;TEXT(Overig!B991,"?00000000")&amp;TEXT(Overig!C991,""", ""@")&amp;SUBSTITUTE(TEXT(IF(ISTEXT(Overig!D991),Overig!D991,10*Overig!D991),""",""????0;"",""???-0;"",""????0;"", ////"""),"'","""")&amp;SUBSTITUTE(TEXT(Overig!E991,""",""?00;"",""?-00;"",""?00;"", //"""),"'","""")</f>
        <v>073, 19451126, 16.00, ////, 07</v>
      </c>
    </row>
    <row r="992" spans="1:1" x14ac:dyDescent="0.25">
      <c r="A992" s="16" t="str">
        <f ca="1">TEXT(Overig!A992,"000\,")&amp;TEXT(Overig!B992,"?00000000")&amp;TEXT(Overig!C992,""", ""@")&amp;SUBSTITUTE(TEXT(IF(ISTEXT(Overig!D992),Overig!D992,10*Overig!D992),""",""????0;"",""???-0;"",""????0;"", ////"""),"'","""")&amp;SUBSTITUTE(TEXT(Overig!E992,""",""?00;"",""?-00;"",""?00;"", //"""),"'","""")</f>
        <v>073, 19451127, 08.00, ////, 07</v>
      </c>
    </row>
    <row r="993" spans="1:1" x14ac:dyDescent="0.25">
      <c r="A993" s="16" t="str">
        <f ca="1">TEXT(Overig!A993,"000\,")&amp;TEXT(Overig!B993,"?00000000")&amp;TEXT(Overig!C993,""", ""@")&amp;SUBSTITUTE(TEXT(IF(ISTEXT(Overig!D993),Overig!D993,10*Overig!D993),""",""????0;"",""???-0;"",""????0;"", ////"""),"'","""")&amp;SUBSTITUTE(TEXT(Overig!E993,""",""?00;"",""?-00;"",""?00;"", //"""),"'","""")</f>
        <v>073, 19451127, 12.00, ////, 07</v>
      </c>
    </row>
    <row r="994" spans="1:1" x14ac:dyDescent="0.25">
      <c r="A994" s="16" t="str">
        <f ca="1">TEXT(Overig!A994,"000\,")&amp;TEXT(Overig!B994,"?00000000")&amp;TEXT(Overig!C994,""", ""@")&amp;SUBSTITUTE(TEXT(IF(ISTEXT(Overig!D994),Overig!D994,10*Overig!D994),""",""????0;"",""???-0;"",""????0;"", ////"""),"'","""")&amp;SUBSTITUTE(TEXT(Overig!E994,""",""?00;"",""?-00;"",""?00;"", //"""),"'","""")</f>
        <v>073, 19451127, 16.00, ////, 07</v>
      </c>
    </row>
    <row r="995" spans="1:1" x14ac:dyDescent="0.25">
      <c r="A995" s="16" t="str">
        <f ca="1">TEXT(Overig!A995,"000\,")&amp;TEXT(Overig!B995,"?00000000")&amp;TEXT(Overig!C995,""", ""@")&amp;SUBSTITUTE(TEXT(IF(ISTEXT(Overig!D995),Overig!D995,10*Overig!D995),""",""????0;"",""???-0;"",""????0;"", ////"""),"'","""")&amp;SUBSTITUTE(TEXT(Overig!E995,""",""?00;"",""?-00;"",""?00;"", //"""),"'","""")</f>
        <v>073, 19451128, 08.00, ////, 07</v>
      </c>
    </row>
    <row r="996" spans="1:1" x14ac:dyDescent="0.25">
      <c r="A996" s="16" t="str">
        <f ca="1">TEXT(Overig!A996,"000\,")&amp;TEXT(Overig!B996,"?00000000")&amp;TEXT(Overig!C996,""", ""@")&amp;SUBSTITUTE(TEXT(IF(ISTEXT(Overig!D996),Overig!D996,10*Overig!D996),""",""????0;"",""???-0;"",""????0;"", ////"""),"'","""")&amp;SUBSTITUTE(TEXT(Overig!E996,""",""?00;"",""?-00;"",""?00;"", //"""),"'","""")</f>
        <v>073, 19451128, 12.00, ////, 07</v>
      </c>
    </row>
    <row r="997" spans="1:1" x14ac:dyDescent="0.25">
      <c r="A997" s="16" t="str">
        <f ca="1">TEXT(Overig!A997,"000\,")&amp;TEXT(Overig!B997,"?00000000")&amp;TEXT(Overig!C997,""", ""@")&amp;SUBSTITUTE(TEXT(IF(ISTEXT(Overig!D997),Overig!D997,10*Overig!D997),""",""????0;"",""???-0;"",""????0;"", ////"""),"'","""")&amp;SUBSTITUTE(TEXT(Overig!E997,""",""?00;"",""?-00;"",""?00;"", //"""),"'","""")</f>
        <v>073, 19451128, 16.00, ////, 07</v>
      </c>
    </row>
    <row r="998" spans="1:1" x14ac:dyDescent="0.25">
      <c r="A998" s="16" t="str">
        <f ca="1">TEXT(Overig!A998,"000\,")&amp;TEXT(Overig!B998,"?00000000")&amp;TEXT(Overig!C998,""", ""@")&amp;SUBSTITUTE(TEXT(IF(ISTEXT(Overig!D998),Overig!D998,10*Overig!D998),""",""????0;"",""???-0;"",""????0;"", ////"""),"'","""")&amp;SUBSTITUTE(TEXT(Overig!E998,""",""?00;"",""?-00;"",""?00;"", //"""),"'","""")</f>
        <v>073, 19451129, 08.00, ////, 07</v>
      </c>
    </row>
    <row r="999" spans="1:1" x14ac:dyDescent="0.25">
      <c r="A999" s="16" t="str">
        <f ca="1">TEXT(Overig!A999,"000\,")&amp;TEXT(Overig!B999,"?00000000")&amp;TEXT(Overig!C999,""", ""@")&amp;SUBSTITUTE(TEXT(IF(ISTEXT(Overig!D999),Overig!D999,10*Overig!D999),""",""????0;"",""???-0;"",""????0;"", ////"""),"'","""")&amp;SUBSTITUTE(TEXT(Overig!E999,""",""?00;"",""?-00;"",""?00;"", //"""),"'","""")</f>
        <v>073, 19451129, 12.00, ////, 07</v>
      </c>
    </row>
    <row r="1000" spans="1:1" x14ac:dyDescent="0.25">
      <c r="A1000" s="16" t="str">
        <f ca="1">TEXT(Overig!A1000,"000\,")&amp;TEXT(Overig!B1000,"?00000000")&amp;TEXT(Overig!C1000,""", ""@")&amp;SUBSTITUTE(TEXT(IF(ISTEXT(Overig!D1000),Overig!D1000,10*Overig!D1000),""",""????0;"",""???-0;"",""????0;"", ////"""),"'","""")&amp;SUBSTITUTE(TEXT(Overig!E1000,""",""?00;"",""?-00;"",""?00;"", //"""),"'","""")</f>
        <v>073, 19451129, 16.00, ////, 07</v>
      </c>
    </row>
    <row r="1001" spans="1:1" x14ac:dyDescent="0.25">
      <c r="A1001" s="16" t="str">
        <f ca="1">TEXT(Overig!A1001,"000\,")&amp;TEXT(Overig!B1001,"?00000000")&amp;TEXT(Overig!C1001,""", ""@")&amp;SUBSTITUTE(TEXT(IF(ISTEXT(Overig!D1001),Overig!D1001,10*Overig!D1001),""",""????0;"",""???-0;"",""????0;"", ////"""),"'","""")&amp;SUBSTITUTE(TEXT(Overig!E1001,""",""?00;"",""?-00;"",""?00;"", //"""),"'","""")</f>
        <v>073, 19451130, 08.00, ////, 07</v>
      </c>
    </row>
    <row r="1002" spans="1:1" x14ac:dyDescent="0.25">
      <c r="A1002" s="16" t="str">
        <f ca="1">TEXT(Overig!A1002,"000\,")&amp;TEXT(Overig!B1002,"?00000000")&amp;TEXT(Overig!C1002,""", ""@")&amp;SUBSTITUTE(TEXT(IF(ISTEXT(Overig!D1002),Overig!D1002,10*Overig!D1002),""",""????0;"",""???-0;"",""????0;"", ////"""),"'","""")&amp;SUBSTITUTE(TEXT(Overig!E1002,""",""?00;"",""?-00;"",""?00;"", //"""),"'","""")</f>
        <v>073, 19451130, 12.00, ////, 07</v>
      </c>
    </row>
    <row r="1003" spans="1:1" x14ac:dyDescent="0.25">
      <c r="A1003" s="16" t="str">
        <f ca="1">TEXT(Overig!A1003,"000\,")&amp;TEXT(Overig!B1003,"?00000000")&amp;TEXT(Overig!C1003,""", ""@")&amp;SUBSTITUTE(TEXT(IF(ISTEXT(Overig!D1003),Overig!D1003,10*Overig!D1003),""",""????0;"",""???-0;"",""????0;"", ////"""),"'","""")&amp;SUBSTITUTE(TEXT(Overig!E1003,""",""?00;"",""?-00;"",""?00;"", //"""),"'","""")</f>
        <v>073, 19451130, 16.00, ////, 07</v>
      </c>
    </row>
    <row r="1004" spans="1:1" x14ac:dyDescent="0.25">
      <c r="A1004" s="16" t="str">
        <f ca="1">TEXT(Overig!A1004,"000\,")&amp;TEXT(Overig!B1004,"?00000000")&amp;TEXT(Overig!C1004,""", ""@")&amp;SUBSTITUTE(TEXT(IF(ISTEXT(Overig!D1004),Overig!D1004,10*Overig!D1004),""",""????0;"",""???-0;"",""????0;"", ////"""),"'","""")&amp;SUBSTITUTE(TEXT(Overig!E1004,""",""?00;"",""?-00;"",""?00;"", //"""),"'","""")</f>
        <v>073, 19451201, 08.00, ////, 07</v>
      </c>
    </row>
    <row r="1005" spans="1:1" x14ac:dyDescent="0.25">
      <c r="A1005" s="16" t="str">
        <f ca="1">TEXT(Overig!A1005,"000\,")&amp;TEXT(Overig!B1005,"?00000000")&amp;TEXT(Overig!C1005,""", ""@")&amp;SUBSTITUTE(TEXT(IF(ISTEXT(Overig!D1005),Overig!D1005,10*Overig!D1005),""",""????0;"",""???-0;"",""????0;"", ////"""),"'","""")&amp;SUBSTITUTE(TEXT(Overig!E1005,""",""?00;"",""?-00;"",""?00;"", //"""),"'","""")</f>
        <v>073, 19451201, 12.00, ////, 07</v>
      </c>
    </row>
    <row r="1006" spans="1:1" x14ac:dyDescent="0.25">
      <c r="A1006" s="16" t="str">
        <f ca="1">TEXT(Overig!A1006,"000\,")&amp;TEXT(Overig!B1006,"?00000000")&amp;TEXT(Overig!C1006,""", ""@")&amp;SUBSTITUTE(TEXT(IF(ISTEXT(Overig!D1006),Overig!D1006,10*Overig!D1006),""",""????0;"",""???-0;"",""????0;"", ////"""),"'","""")&amp;SUBSTITUTE(TEXT(Overig!E1006,""",""?00;"",""?-00;"",""?00;"", //"""),"'","""")</f>
        <v>073, 19451201, 16.00, ////, 07</v>
      </c>
    </row>
    <row r="1007" spans="1:1" x14ac:dyDescent="0.25">
      <c r="A1007" s="16" t="str">
        <f ca="1">TEXT(Overig!A1007,"000\,")&amp;TEXT(Overig!B1007,"?00000000")&amp;TEXT(Overig!C1007,""", ""@")&amp;SUBSTITUTE(TEXT(IF(ISTEXT(Overig!D1007),Overig!D1007,10*Overig!D1007),""",""????0;"",""???-0;"",""????0;"", ////"""),"'","""")&amp;SUBSTITUTE(TEXT(Overig!E1007,""",""?00;"",""?-00;"",""?00;"", //"""),"'","""")</f>
        <v>073, 19451202, 08.00, ////, 07</v>
      </c>
    </row>
    <row r="1008" spans="1:1" x14ac:dyDescent="0.25">
      <c r="A1008" s="16" t="str">
        <f ca="1">TEXT(Overig!A1008,"000\,")&amp;TEXT(Overig!B1008,"?00000000")&amp;TEXT(Overig!C1008,""", ""@")&amp;SUBSTITUTE(TEXT(IF(ISTEXT(Overig!D1008),Overig!D1008,10*Overig!D1008),""",""????0;"",""???-0;"",""????0;"", ////"""),"'","""")&amp;SUBSTITUTE(TEXT(Overig!E1008,""",""?00;"",""?-00;"",""?00;"", //"""),"'","""")</f>
        <v>073, 19451202, 12.00, ////, 07</v>
      </c>
    </row>
    <row r="1009" spans="1:1" x14ac:dyDescent="0.25">
      <c r="A1009" s="16" t="str">
        <f ca="1">TEXT(Overig!A1009,"000\,")&amp;TEXT(Overig!B1009,"?00000000")&amp;TEXT(Overig!C1009,""", ""@")&amp;SUBSTITUTE(TEXT(IF(ISTEXT(Overig!D1009),Overig!D1009,10*Overig!D1009),""",""????0;"",""???-0;"",""????0;"", ////"""),"'","""")&amp;SUBSTITUTE(TEXT(Overig!E1009,""",""?00;"",""?-00;"",""?00;"", //"""),"'","""")</f>
        <v>073, 19451202, 16.00, ////, 07</v>
      </c>
    </row>
    <row r="1010" spans="1:1" x14ac:dyDescent="0.25">
      <c r="A1010" s="16" t="str">
        <f ca="1">TEXT(Overig!A1010,"000\,")&amp;TEXT(Overig!B1010,"?00000000")&amp;TEXT(Overig!C1010,""", ""@")&amp;SUBSTITUTE(TEXT(IF(ISTEXT(Overig!D1010),Overig!D1010,10*Overig!D1010),""",""????0;"",""???-0;"",""????0;"", ////"""),"'","""")&amp;SUBSTITUTE(TEXT(Overig!E1010,""",""?00;"",""?-00;"",""?00;"", //"""),"'","""")</f>
        <v>073, 19451203, 08.00, ////, 07</v>
      </c>
    </row>
    <row r="1011" spans="1:1" x14ac:dyDescent="0.25">
      <c r="A1011" s="16" t="str">
        <f ca="1">TEXT(Overig!A1011,"000\,")&amp;TEXT(Overig!B1011,"?00000000")&amp;TEXT(Overig!C1011,""", ""@")&amp;SUBSTITUTE(TEXT(IF(ISTEXT(Overig!D1011),Overig!D1011,10*Overig!D1011),""",""????0;"",""???-0;"",""????0;"", ////"""),"'","""")&amp;SUBSTITUTE(TEXT(Overig!E1011,""",""?00;"",""?-00;"",""?00;"", //"""),"'","""")</f>
        <v>073, 19451203, 12.00, ////, 07</v>
      </c>
    </row>
    <row r="1012" spans="1:1" x14ac:dyDescent="0.25">
      <c r="A1012" s="16" t="str">
        <f ca="1">TEXT(Overig!A1012,"000\,")&amp;TEXT(Overig!B1012,"?00000000")&amp;TEXT(Overig!C1012,""", ""@")&amp;SUBSTITUTE(TEXT(IF(ISTEXT(Overig!D1012),Overig!D1012,10*Overig!D1012),""",""????0;"",""???-0;"",""????0;"", ////"""),"'","""")&amp;SUBSTITUTE(TEXT(Overig!E1012,""",""?00;"",""?-00;"",""?00;"", //"""),"'","""")</f>
        <v>073, 19451203, 16.00, ////, 07</v>
      </c>
    </row>
    <row r="1013" spans="1:1" x14ac:dyDescent="0.25">
      <c r="A1013" s="16" t="str">
        <f ca="1">TEXT(Overig!A1013,"000\,")&amp;TEXT(Overig!B1013,"?00000000")&amp;TEXT(Overig!C1013,""", ""@")&amp;SUBSTITUTE(TEXT(IF(ISTEXT(Overig!D1013),Overig!D1013,10*Overig!D1013),""",""????0;"",""???-0;"",""????0;"", ////"""),"'","""")&amp;SUBSTITUTE(TEXT(Overig!E1013,""",""?00;"",""?-00;"",""?00;"", //"""),"'","""")</f>
        <v>073, 19451204, 08.00, ////, 07</v>
      </c>
    </row>
    <row r="1014" spans="1:1" x14ac:dyDescent="0.25">
      <c r="A1014" s="16" t="str">
        <f ca="1">TEXT(Overig!A1014,"000\,")&amp;TEXT(Overig!B1014,"?00000000")&amp;TEXT(Overig!C1014,""", ""@")&amp;SUBSTITUTE(TEXT(IF(ISTEXT(Overig!D1014),Overig!D1014,10*Overig!D1014),""",""????0;"",""???-0;"",""????0;"", ////"""),"'","""")&amp;SUBSTITUTE(TEXT(Overig!E1014,""",""?00;"",""?-00;"",""?00;"", //"""),"'","""")</f>
        <v>073, 19451204, 12.00, ////, 07</v>
      </c>
    </row>
    <row r="1015" spans="1:1" x14ac:dyDescent="0.25">
      <c r="A1015" s="16" t="str">
        <f ca="1">TEXT(Overig!A1015,"000\,")&amp;TEXT(Overig!B1015,"?00000000")&amp;TEXT(Overig!C1015,""", ""@")&amp;SUBSTITUTE(TEXT(IF(ISTEXT(Overig!D1015),Overig!D1015,10*Overig!D1015),""",""????0;"",""???-0;"",""????0;"", ////"""),"'","""")&amp;SUBSTITUTE(TEXT(Overig!E1015,""",""?00;"",""?-00;"",""?00;"", //"""),"'","""")</f>
        <v>073, 19451204, 16.00, ////, 07</v>
      </c>
    </row>
    <row r="1016" spans="1:1" x14ac:dyDescent="0.25">
      <c r="A1016" s="16" t="str">
        <f ca="1">TEXT(Overig!A1016,"000\,")&amp;TEXT(Overig!B1016,"?00000000")&amp;TEXT(Overig!C1016,""", ""@")&amp;SUBSTITUTE(TEXT(IF(ISTEXT(Overig!D1016),Overig!D1016,10*Overig!D1016),""",""????0;"",""???-0;"",""????0;"", ////"""),"'","""")&amp;SUBSTITUTE(TEXT(Overig!E1016,""",""?00;"",""?-00;"",""?00;"", //"""),"'","""")</f>
        <v>073, 19451205, 08.00, ////, 07</v>
      </c>
    </row>
    <row r="1017" spans="1:1" x14ac:dyDescent="0.25">
      <c r="A1017" s="16" t="str">
        <f ca="1">TEXT(Overig!A1017,"000\,")&amp;TEXT(Overig!B1017,"?00000000")&amp;TEXT(Overig!C1017,""", ""@")&amp;SUBSTITUTE(TEXT(IF(ISTEXT(Overig!D1017),Overig!D1017,10*Overig!D1017),""",""????0;"",""???-0;"",""????0;"", ////"""),"'","""")&amp;SUBSTITUTE(TEXT(Overig!E1017,""",""?00;"",""?-00;"",""?00;"", //"""),"'","""")</f>
        <v>073, 19451205, 12.00, ////, 07</v>
      </c>
    </row>
    <row r="1018" spans="1:1" x14ac:dyDescent="0.25">
      <c r="A1018" s="16" t="str">
        <f ca="1">TEXT(Overig!A1018,"000\,")&amp;TEXT(Overig!B1018,"?00000000")&amp;TEXT(Overig!C1018,""", ""@")&amp;SUBSTITUTE(TEXT(IF(ISTEXT(Overig!D1018),Overig!D1018,10*Overig!D1018),""",""????0;"",""???-0;"",""????0;"", ////"""),"'","""")&amp;SUBSTITUTE(TEXT(Overig!E1018,""",""?00;"",""?-00;"",""?00;"", //"""),"'","""")</f>
        <v>073, 19451205, 16.00, ////, 07</v>
      </c>
    </row>
    <row r="1019" spans="1:1" x14ac:dyDescent="0.25">
      <c r="A1019" s="16" t="str">
        <f ca="1">TEXT(Overig!A1019,"000\,")&amp;TEXT(Overig!B1019,"?00000000")&amp;TEXT(Overig!C1019,""", ""@")&amp;SUBSTITUTE(TEXT(IF(ISTEXT(Overig!D1019),Overig!D1019,10*Overig!D1019),""",""????0;"",""???-0;"",""????0;"", ////"""),"'","""")&amp;SUBSTITUTE(TEXT(Overig!E1019,""",""?00;"",""?-00;"",""?00;"", //"""),"'","""")</f>
        <v>073, 19451206, 08.00, ////, 07</v>
      </c>
    </row>
    <row r="1020" spans="1:1" x14ac:dyDescent="0.25">
      <c r="A1020" s="16" t="str">
        <f ca="1">TEXT(Overig!A1020,"000\,")&amp;TEXT(Overig!B1020,"?00000000")&amp;TEXT(Overig!C1020,""", ""@")&amp;SUBSTITUTE(TEXT(IF(ISTEXT(Overig!D1020),Overig!D1020,10*Overig!D1020),""",""????0;"",""???-0;"",""????0;"", ////"""),"'","""")&amp;SUBSTITUTE(TEXT(Overig!E1020,""",""?00;"",""?-00;"",""?00;"", //"""),"'","""")</f>
        <v>073, 19451206, 12.00, ////, 07</v>
      </c>
    </row>
    <row r="1021" spans="1:1" x14ac:dyDescent="0.25">
      <c r="A1021" s="16" t="str">
        <f ca="1">TEXT(Overig!A1021,"000\,")&amp;TEXT(Overig!B1021,"?00000000")&amp;TEXT(Overig!C1021,""", ""@")&amp;SUBSTITUTE(TEXT(IF(ISTEXT(Overig!D1021),Overig!D1021,10*Overig!D1021),""",""????0;"",""???-0;"",""????0;"", ////"""),"'","""")&amp;SUBSTITUTE(TEXT(Overig!E1021,""",""?00;"",""?-00;"",""?00;"", //"""),"'","""")</f>
        <v>073, 19451206, 16.00, ////, 07</v>
      </c>
    </row>
    <row r="1022" spans="1:1" x14ac:dyDescent="0.25">
      <c r="A1022" s="16" t="str">
        <f ca="1">TEXT(Overig!A1022,"000\,")&amp;TEXT(Overig!B1022,"?00000000")&amp;TEXT(Overig!C1022,""", ""@")&amp;SUBSTITUTE(TEXT(IF(ISTEXT(Overig!D1022),Overig!D1022,10*Overig!D1022),""",""????0;"",""???-0;"",""????0;"", ////"""),"'","""")&amp;SUBSTITUTE(TEXT(Overig!E1022,""",""?00;"",""?-00;"",""?00;"", //"""),"'","""")</f>
        <v>073, 19451207, 08.00, ////, 07</v>
      </c>
    </row>
    <row r="1023" spans="1:1" x14ac:dyDescent="0.25">
      <c r="A1023" s="16" t="str">
        <f ca="1">TEXT(Overig!A1023,"000\,")&amp;TEXT(Overig!B1023,"?00000000")&amp;TEXT(Overig!C1023,""", ""@")&amp;SUBSTITUTE(TEXT(IF(ISTEXT(Overig!D1023),Overig!D1023,10*Overig!D1023),""",""????0;"",""???-0;"",""????0;"", ////"""),"'","""")&amp;SUBSTITUTE(TEXT(Overig!E1023,""",""?00;"",""?-00;"",""?00;"", //"""),"'","""")</f>
        <v>073, 19451207, 12.00, ////, 07</v>
      </c>
    </row>
    <row r="1024" spans="1:1" x14ac:dyDescent="0.25">
      <c r="A1024" s="16" t="str">
        <f ca="1">TEXT(Overig!A1024,"000\,")&amp;TEXT(Overig!B1024,"?00000000")&amp;TEXT(Overig!C1024,""", ""@")&amp;SUBSTITUTE(TEXT(IF(ISTEXT(Overig!D1024),Overig!D1024,10*Overig!D1024),""",""????0;"",""???-0;"",""????0;"", ////"""),"'","""")&amp;SUBSTITUTE(TEXT(Overig!E1024,""",""?00;"",""?-00;"",""?00;"", //"""),"'","""")</f>
        <v>073, 19451207, 16.00, ////, 07</v>
      </c>
    </row>
    <row r="1025" spans="1:1" x14ac:dyDescent="0.25">
      <c r="A1025" s="16" t="str">
        <f ca="1">TEXT(Overig!A1025,"000\,")&amp;TEXT(Overig!B1025,"?00000000")&amp;TEXT(Overig!C1025,""", ""@")&amp;SUBSTITUTE(TEXT(IF(ISTEXT(Overig!D1025),Overig!D1025,10*Overig!D1025),""",""????0;"",""???-0;"",""????0;"", ////"""),"'","""")&amp;SUBSTITUTE(TEXT(Overig!E1025,""",""?00;"",""?-00;"",""?00;"", //"""),"'","""")</f>
        <v>073, 19451208, 08.00, ////, 07</v>
      </c>
    </row>
    <row r="1026" spans="1:1" x14ac:dyDescent="0.25">
      <c r="A1026" s="16" t="str">
        <f ca="1">TEXT(Overig!A1026,"000\,")&amp;TEXT(Overig!B1026,"?00000000")&amp;TEXT(Overig!C1026,""", ""@")&amp;SUBSTITUTE(TEXT(IF(ISTEXT(Overig!D1026),Overig!D1026,10*Overig!D1026),""",""????0;"",""???-0;"",""????0;"", ////"""),"'","""")&amp;SUBSTITUTE(TEXT(Overig!E1026,""",""?00;"",""?-00;"",""?00;"", //"""),"'","""")</f>
        <v>073, 19451208, 12.00, ////, 07</v>
      </c>
    </row>
    <row r="1027" spans="1:1" x14ac:dyDescent="0.25">
      <c r="A1027" s="16" t="str">
        <f ca="1">TEXT(Overig!A1027,"000\,")&amp;TEXT(Overig!B1027,"?00000000")&amp;TEXT(Overig!C1027,""", ""@")&amp;SUBSTITUTE(TEXT(IF(ISTEXT(Overig!D1027),Overig!D1027,10*Overig!D1027),""",""????0;"",""???-0;"",""????0;"", ////"""),"'","""")&amp;SUBSTITUTE(TEXT(Overig!E1027,""",""?00;"",""?-00;"",""?00;"", //"""),"'","""")</f>
        <v>073, 19451208, 16.00, ////, 07</v>
      </c>
    </row>
    <row r="1028" spans="1:1" x14ac:dyDescent="0.25">
      <c r="A1028" s="16" t="str">
        <f ca="1">TEXT(Overig!A1028,"000\,")&amp;TEXT(Overig!B1028,"?00000000")&amp;TEXT(Overig!C1028,""", ""@")&amp;SUBSTITUTE(TEXT(IF(ISTEXT(Overig!D1028),Overig!D1028,10*Overig!D1028),""",""????0;"",""???-0;"",""????0;"", ////"""),"'","""")&amp;SUBSTITUTE(TEXT(Overig!E1028,""",""?00;"",""?-00;"",""?00;"", //"""),"'","""")</f>
        <v>073, 19451209, 08.00, ////, 07</v>
      </c>
    </row>
    <row r="1029" spans="1:1" x14ac:dyDescent="0.25">
      <c r="A1029" s="16" t="str">
        <f ca="1">TEXT(Overig!A1029,"000\,")&amp;TEXT(Overig!B1029,"?00000000")&amp;TEXT(Overig!C1029,""", ""@")&amp;SUBSTITUTE(TEXT(IF(ISTEXT(Overig!D1029),Overig!D1029,10*Overig!D1029),""",""????0;"",""???-0;"",""????0;"", ////"""),"'","""")&amp;SUBSTITUTE(TEXT(Overig!E1029,""",""?00;"",""?-00;"",""?00;"", //"""),"'","""")</f>
        <v>073, 19451209, 12.00, ////, 07</v>
      </c>
    </row>
    <row r="1030" spans="1:1" x14ac:dyDescent="0.25">
      <c r="A1030" s="16" t="str">
        <f ca="1">TEXT(Overig!A1030,"000\,")&amp;TEXT(Overig!B1030,"?00000000")&amp;TEXT(Overig!C1030,""", ""@")&amp;SUBSTITUTE(TEXT(IF(ISTEXT(Overig!D1030),Overig!D1030,10*Overig!D1030),""",""????0;"",""???-0;"",""????0;"", ////"""),"'","""")&amp;SUBSTITUTE(TEXT(Overig!E1030,""",""?00;"",""?-00;"",""?00;"", //"""),"'","""")</f>
        <v>073, 19451209, 16.00, ////, 07</v>
      </c>
    </row>
    <row r="1031" spans="1:1" x14ac:dyDescent="0.25">
      <c r="A1031" s="16" t="str">
        <f ca="1">TEXT(Overig!A1031,"000\,")&amp;TEXT(Overig!B1031,"?00000000")&amp;TEXT(Overig!C1031,""", ""@")&amp;SUBSTITUTE(TEXT(IF(ISTEXT(Overig!D1031),Overig!D1031,10*Overig!D1031),""",""????0;"",""???-0;"",""????0;"", ////"""),"'","""")&amp;SUBSTITUTE(TEXT(Overig!E1031,""",""?00;"",""?-00;"",""?00;"", //"""),"'","""")</f>
        <v>073, 19451210, 08.00, ////, 07</v>
      </c>
    </row>
    <row r="1032" spans="1:1" x14ac:dyDescent="0.25">
      <c r="A1032" s="16" t="str">
        <f ca="1">TEXT(Overig!A1032,"000\,")&amp;TEXT(Overig!B1032,"?00000000")&amp;TEXT(Overig!C1032,""", ""@")&amp;SUBSTITUTE(TEXT(IF(ISTEXT(Overig!D1032),Overig!D1032,10*Overig!D1032),""",""????0;"",""???-0;"",""????0;"", ////"""),"'","""")&amp;SUBSTITUTE(TEXT(Overig!E1032,""",""?00;"",""?-00;"",""?00;"", //"""),"'","""")</f>
        <v>073, 19451210, 12.00, ////, 07</v>
      </c>
    </row>
    <row r="1033" spans="1:1" x14ac:dyDescent="0.25">
      <c r="A1033" s="16" t="str">
        <f ca="1">TEXT(Overig!A1033,"000\,")&amp;TEXT(Overig!B1033,"?00000000")&amp;TEXT(Overig!C1033,""", ""@")&amp;SUBSTITUTE(TEXT(IF(ISTEXT(Overig!D1033),Overig!D1033,10*Overig!D1033),""",""????0;"",""???-0;"",""????0;"", ////"""),"'","""")&amp;SUBSTITUTE(TEXT(Overig!E1033,""",""?00;"",""?-00;"",""?00;"", //"""),"'","""")</f>
        <v>073, 19451210, 16.00, ////, 07</v>
      </c>
    </row>
    <row r="1034" spans="1:1" x14ac:dyDescent="0.25">
      <c r="A1034" s="16" t="str">
        <f ca="1">TEXT(Overig!A1034,"000\,")&amp;TEXT(Overig!B1034,"?00000000")&amp;TEXT(Overig!C1034,""", ""@")&amp;SUBSTITUTE(TEXT(IF(ISTEXT(Overig!D1034),Overig!D1034,10*Overig!D1034),""",""????0;"",""???-0;"",""????0;"", ////"""),"'","""")&amp;SUBSTITUTE(TEXT(Overig!E1034,""",""?00;"",""?-00;"",""?00;"", //"""),"'","""")</f>
        <v>073, 19451211, 08.00, ////, 07</v>
      </c>
    </row>
    <row r="1035" spans="1:1" x14ac:dyDescent="0.25">
      <c r="A1035" s="16" t="str">
        <f ca="1">TEXT(Overig!A1035,"000\,")&amp;TEXT(Overig!B1035,"?00000000")&amp;TEXT(Overig!C1035,""", ""@")&amp;SUBSTITUTE(TEXT(IF(ISTEXT(Overig!D1035),Overig!D1035,10*Overig!D1035),""",""????0;"",""???-0;"",""????0;"", ////"""),"'","""")&amp;SUBSTITUTE(TEXT(Overig!E1035,""",""?00;"",""?-00;"",""?00;"", //"""),"'","""")</f>
        <v>073, 19451211, 12.00, ////, 07</v>
      </c>
    </row>
    <row r="1036" spans="1:1" x14ac:dyDescent="0.25">
      <c r="A1036" s="16" t="str">
        <f ca="1">TEXT(Overig!A1036,"000\,")&amp;TEXT(Overig!B1036,"?00000000")&amp;TEXT(Overig!C1036,""", ""@")&amp;SUBSTITUTE(TEXT(IF(ISTEXT(Overig!D1036),Overig!D1036,10*Overig!D1036),""",""????0;"",""???-0;"",""????0;"", ////"""),"'","""")&amp;SUBSTITUTE(TEXT(Overig!E1036,""",""?00;"",""?-00;"",""?00;"", //"""),"'","""")</f>
        <v>073, 19451211, 16.00, ////, 07</v>
      </c>
    </row>
    <row r="1037" spans="1:1" x14ac:dyDescent="0.25">
      <c r="A1037" s="16" t="str">
        <f ca="1">TEXT(Overig!A1037,"000\,")&amp;TEXT(Overig!B1037,"?00000000")&amp;TEXT(Overig!C1037,""", ""@")&amp;SUBSTITUTE(TEXT(IF(ISTEXT(Overig!D1037),Overig!D1037,10*Overig!D1037),""",""????0;"",""???-0;"",""????0;"", ////"""),"'","""")&amp;SUBSTITUTE(TEXT(Overig!E1037,""",""?00;"",""?-00;"",""?00;"", //"""),"'","""")</f>
        <v>073, 19451212, 08.00, ////, 07</v>
      </c>
    </row>
    <row r="1038" spans="1:1" x14ac:dyDescent="0.25">
      <c r="A1038" s="16" t="str">
        <f ca="1">TEXT(Overig!A1038,"000\,")&amp;TEXT(Overig!B1038,"?00000000")&amp;TEXT(Overig!C1038,""", ""@")&amp;SUBSTITUTE(TEXT(IF(ISTEXT(Overig!D1038),Overig!D1038,10*Overig!D1038),""",""????0;"",""???-0;"",""????0;"", ////"""),"'","""")&amp;SUBSTITUTE(TEXT(Overig!E1038,""",""?00;"",""?-00;"",""?00;"", //"""),"'","""")</f>
        <v>073, 19451212, 12.00, ////, 07</v>
      </c>
    </row>
    <row r="1039" spans="1:1" x14ac:dyDescent="0.25">
      <c r="A1039" s="16" t="str">
        <f ca="1">TEXT(Overig!A1039,"000\,")&amp;TEXT(Overig!B1039,"?00000000")&amp;TEXT(Overig!C1039,""", ""@")&amp;SUBSTITUTE(TEXT(IF(ISTEXT(Overig!D1039),Overig!D1039,10*Overig!D1039),""",""????0;"",""???-0;"",""????0;"", ////"""),"'","""")&amp;SUBSTITUTE(TEXT(Overig!E1039,""",""?00;"",""?-00;"",""?00;"", //"""),"'","""")</f>
        <v>073, 19451212, 16.00, ////, 07</v>
      </c>
    </row>
    <row r="1040" spans="1:1" x14ac:dyDescent="0.25">
      <c r="A1040" s="16" t="str">
        <f ca="1">TEXT(Overig!A1040,"000\,")&amp;TEXT(Overig!B1040,"?00000000")&amp;TEXT(Overig!C1040,""", ""@")&amp;SUBSTITUTE(TEXT(IF(ISTEXT(Overig!D1040),Overig!D1040,10*Overig!D1040),""",""????0;"",""???-0;"",""????0;"", ////"""),"'","""")&amp;SUBSTITUTE(TEXT(Overig!E1040,""",""?00;"",""?-00;"",""?00;"", //"""),"'","""")</f>
        <v>073, 19451213, 08.00, ////, 07</v>
      </c>
    </row>
    <row r="1041" spans="1:1" x14ac:dyDescent="0.25">
      <c r="A1041" s="16" t="str">
        <f ca="1">TEXT(Overig!A1041,"000\,")&amp;TEXT(Overig!B1041,"?00000000")&amp;TEXT(Overig!C1041,""", ""@")&amp;SUBSTITUTE(TEXT(IF(ISTEXT(Overig!D1041),Overig!D1041,10*Overig!D1041),""",""????0;"",""???-0;"",""????0;"", ////"""),"'","""")&amp;SUBSTITUTE(TEXT(Overig!E1041,""",""?00;"",""?-00;"",""?00;"", //"""),"'","""")</f>
        <v>073, 19451213, 12.00, ////, 07</v>
      </c>
    </row>
    <row r="1042" spans="1:1" x14ac:dyDescent="0.25">
      <c r="A1042" s="16" t="str">
        <f ca="1">TEXT(Overig!A1042,"000\,")&amp;TEXT(Overig!B1042,"?00000000")&amp;TEXT(Overig!C1042,""", ""@")&amp;SUBSTITUTE(TEXT(IF(ISTEXT(Overig!D1042),Overig!D1042,10*Overig!D1042),""",""????0;"",""???-0;"",""????0;"", ////"""),"'","""")&amp;SUBSTITUTE(TEXT(Overig!E1042,""",""?00;"",""?-00;"",""?00;"", //"""),"'","""")</f>
        <v>073, 19451213, 16.00, ////, 07</v>
      </c>
    </row>
    <row r="1043" spans="1:1" x14ac:dyDescent="0.25">
      <c r="A1043" s="16" t="str">
        <f ca="1">TEXT(Overig!A1043,"000\,")&amp;TEXT(Overig!B1043,"?00000000")&amp;TEXT(Overig!C1043,""", ""@")&amp;SUBSTITUTE(TEXT(IF(ISTEXT(Overig!D1043),Overig!D1043,10*Overig!D1043),""",""????0;"",""???-0;"",""????0;"", ////"""),"'","""")&amp;SUBSTITUTE(TEXT(Overig!E1043,""",""?00;"",""?-00;"",""?00;"", //"""),"'","""")</f>
        <v>073, 19451214, 08.00, ////, 07</v>
      </c>
    </row>
    <row r="1044" spans="1:1" x14ac:dyDescent="0.25">
      <c r="A1044" s="16" t="str">
        <f ca="1">TEXT(Overig!A1044,"000\,")&amp;TEXT(Overig!B1044,"?00000000")&amp;TEXT(Overig!C1044,""", ""@")&amp;SUBSTITUTE(TEXT(IF(ISTEXT(Overig!D1044),Overig!D1044,10*Overig!D1044),""",""????0;"",""???-0;"",""????0;"", ////"""),"'","""")&amp;SUBSTITUTE(TEXT(Overig!E1044,""",""?00;"",""?-00;"",""?00;"", //"""),"'","""")</f>
        <v>073, 19451214, 12.00, ////, 07</v>
      </c>
    </row>
    <row r="1045" spans="1:1" x14ac:dyDescent="0.25">
      <c r="A1045" s="16" t="str">
        <f ca="1">TEXT(Overig!A1045,"000\,")&amp;TEXT(Overig!B1045,"?00000000")&amp;TEXT(Overig!C1045,""", ""@")&amp;SUBSTITUTE(TEXT(IF(ISTEXT(Overig!D1045),Overig!D1045,10*Overig!D1045),""",""????0;"",""???-0;"",""????0;"", ////"""),"'","""")&amp;SUBSTITUTE(TEXT(Overig!E1045,""",""?00;"",""?-00;"",""?00;"", //"""),"'","""")</f>
        <v>073, 19451214, 16.00, ////, 07</v>
      </c>
    </row>
    <row r="1046" spans="1:1" x14ac:dyDescent="0.25">
      <c r="A1046" s="16" t="str">
        <f ca="1">TEXT(Overig!A1046,"000\,")&amp;TEXT(Overig!B1046,"?00000000")&amp;TEXT(Overig!C1046,""", ""@")&amp;SUBSTITUTE(TEXT(IF(ISTEXT(Overig!D1046),Overig!D1046,10*Overig!D1046),""",""????0;"",""???-0;"",""????0;"", ////"""),"'","""")&amp;SUBSTITUTE(TEXT(Overig!E1046,""",""?00;"",""?-00;"",""?00;"", //"""),"'","""")</f>
        <v>073, 19451215, 08.00, ////, 07</v>
      </c>
    </row>
    <row r="1047" spans="1:1" x14ac:dyDescent="0.25">
      <c r="A1047" s="16" t="str">
        <f ca="1">TEXT(Overig!A1047,"000\,")&amp;TEXT(Overig!B1047,"?00000000")&amp;TEXT(Overig!C1047,""", ""@")&amp;SUBSTITUTE(TEXT(IF(ISTEXT(Overig!D1047),Overig!D1047,10*Overig!D1047),""",""????0;"",""???-0;"",""????0;"", ////"""),"'","""")&amp;SUBSTITUTE(TEXT(Overig!E1047,""",""?00;"",""?-00;"",""?00;"", //"""),"'","""")</f>
        <v>073, 19451215, 12.00, ////, 07</v>
      </c>
    </row>
    <row r="1048" spans="1:1" x14ac:dyDescent="0.25">
      <c r="A1048" s="16" t="str">
        <f ca="1">TEXT(Overig!A1048,"000\,")&amp;TEXT(Overig!B1048,"?00000000")&amp;TEXT(Overig!C1048,""", ""@")&amp;SUBSTITUTE(TEXT(IF(ISTEXT(Overig!D1048),Overig!D1048,10*Overig!D1048),""",""????0;"",""???-0;"",""????0;"", ////"""),"'","""")&amp;SUBSTITUTE(TEXT(Overig!E1048,""",""?00;"",""?-00;"",""?00;"", //"""),"'","""")</f>
        <v>073, 19451215, 16.00, ////, 07</v>
      </c>
    </row>
    <row r="1049" spans="1:1" x14ac:dyDescent="0.25">
      <c r="A1049" s="16" t="str">
        <f ca="1">TEXT(Overig!A1049,"000\,")&amp;TEXT(Overig!B1049,"?00000000")&amp;TEXT(Overig!C1049,""", ""@")&amp;SUBSTITUTE(TEXT(IF(ISTEXT(Overig!D1049),Overig!D1049,10*Overig!D1049),""",""????0;"",""???-0;"",""????0;"", ////"""),"'","""")&amp;SUBSTITUTE(TEXT(Overig!E1049,""",""?00;"",""?-00;"",""?00;"", //"""),"'","""")</f>
        <v>073, 19451216, 08.00, ////, 07</v>
      </c>
    </row>
    <row r="1050" spans="1:1" x14ac:dyDescent="0.25">
      <c r="A1050" s="16" t="str">
        <f ca="1">TEXT(Overig!A1050,"000\,")&amp;TEXT(Overig!B1050,"?00000000")&amp;TEXT(Overig!C1050,""", ""@")&amp;SUBSTITUTE(TEXT(IF(ISTEXT(Overig!D1050),Overig!D1050,10*Overig!D1050),""",""????0;"",""???-0;"",""????0;"", ////"""),"'","""")&amp;SUBSTITUTE(TEXT(Overig!E1050,""",""?00;"",""?-00;"",""?00;"", //"""),"'","""")</f>
        <v>073, 19451216, 12.00, ////, 07</v>
      </c>
    </row>
    <row r="1051" spans="1:1" x14ac:dyDescent="0.25">
      <c r="A1051" s="16" t="str">
        <f ca="1">TEXT(Overig!A1051,"000\,")&amp;TEXT(Overig!B1051,"?00000000")&amp;TEXT(Overig!C1051,""", ""@")&amp;SUBSTITUTE(TEXT(IF(ISTEXT(Overig!D1051),Overig!D1051,10*Overig!D1051),""",""????0;"",""???-0;"",""????0;"", ////"""),"'","""")&amp;SUBSTITUTE(TEXT(Overig!E1051,""",""?00;"",""?-00;"",""?00;"", //"""),"'","""")</f>
        <v>073, 19451216, 16.00, ////, 07</v>
      </c>
    </row>
    <row r="1052" spans="1:1" x14ac:dyDescent="0.25">
      <c r="A1052" s="16" t="str">
        <f ca="1">TEXT(Overig!A1052,"000\,")&amp;TEXT(Overig!B1052,"?00000000")&amp;TEXT(Overig!C1052,""", ""@")&amp;SUBSTITUTE(TEXT(IF(ISTEXT(Overig!D1052),Overig!D1052,10*Overig!D1052),""",""????0;"",""???-0;"",""????0;"", ////"""),"'","""")&amp;SUBSTITUTE(TEXT(Overig!E1052,""",""?00;"",""?-00;"",""?00;"", //"""),"'","""")</f>
        <v>073, 19451217, 08.00, ////, 07</v>
      </c>
    </row>
    <row r="1053" spans="1:1" x14ac:dyDescent="0.25">
      <c r="A1053" s="16" t="str">
        <f ca="1">TEXT(Overig!A1053,"000\,")&amp;TEXT(Overig!B1053,"?00000000")&amp;TEXT(Overig!C1053,""", ""@")&amp;SUBSTITUTE(TEXT(IF(ISTEXT(Overig!D1053),Overig!D1053,10*Overig!D1053),""",""????0;"",""???-0;"",""????0;"", ////"""),"'","""")&amp;SUBSTITUTE(TEXT(Overig!E1053,""",""?00;"",""?-00;"",""?00;"", //"""),"'","""")</f>
        <v>073, 19451217, 12.00, ////, 07</v>
      </c>
    </row>
    <row r="1054" spans="1:1" x14ac:dyDescent="0.25">
      <c r="A1054" s="16" t="str">
        <f ca="1">TEXT(Overig!A1054,"000\,")&amp;TEXT(Overig!B1054,"?00000000")&amp;TEXT(Overig!C1054,""", ""@")&amp;SUBSTITUTE(TEXT(IF(ISTEXT(Overig!D1054),Overig!D1054,10*Overig!D1054),""",""????0;"",""???-0;"",""????0;"", ////"""),"'","""")&amp;SUBSTITUTE(TEXT(Overig!E1054,""",""?00;"",""?-00;"",""?00;"", //"""),"'","""")</f>
        <v>073, 19451217, 16.00, ////, 07</v>
      </c>
    </row>
    <row r="1055" spans="1:1" x14ac:dyDescent="0.25">
      <c r="A1055" s="16" t="str">
        <f ca="1">TEXT(Overig!A1055,"000\,")&amp;TEXT(Overig!B1055,"?00000000")&amp;TEXT(Overig!C1055,""", ""@")&amp;SUBSTITUTE(TEXT(IF(ISTEXT(Overig!D1055),Overig!D1055,10*Overig!D1055),""",""????0;"",""???-0;"",""????0;"", ////"""),"'","""")&amp;SUBSTITUTE(TEXT(Overig!E1055,""",""?00;"",""?-00;"",""?00;"", //"""),"'","""")</f>
        <v>073, 19451218, 08.00, ////, 07</v>
      </c>
    </row>
    <row r="1056" spans="1:1" x14ac:dyDescent="0.25">
      <c r="A1056" s="16" t="str">
        <f ca="1">TEXT(Overig!A1056,"000\,")&amp;TEXT(Overig!B1056,"?00000000")&amp;TEXT(Overig!C1056,""", ""@")&amp;SUBSTITUTE(TEXT(IF(ISTEXT(Overig!D1056),Overig!D1056,10*Overig!D1056),""",""????0;"",""???-0;"",""????0;"", ////"""),"'","""")&amp;SUBSTITUTE(TEXT(Overig!E1056,""",""?00;"",""?-00;"",""?00;"", //"""),"'","""")</f>
        <v>073, 19451218, 12.00, ////, 07</v>
      </c>
    </row>
    <row r="1057" spans="1:1" x14ac:dyDescent="0.25">
      <c r="A1057" s="16" t="str">
        <f ca="1">TEXT(Overig!A1057,"000\,")&amp;TEXT(Overig!B1057,"?00000000")&amp;TEXT(Overig!C1057,""", ""@")&amp;SUBSTITUTE(TEXT(IF(ISTEXT(Overig!D1057),Overig!D1057,10*Overig!D1057),""",""????0;"",""???-0;"",""????0;"", ////"""),"'","""")&amp;SUBSTITUTE(TEXT(Overig!E1057,""",""?00;"",""?-00;"",""?00;"", //"""),"'","""")</f>
        <v>073, 19451218, 16.00, ////, 07</v>
      </c>
    </row>
    <row r="1058" spans="1:1" x14ac:dyDescent="0.25">
      <c r="A1058" s="16" t="str">
        <f ca="1">TEXT(Overig!A1058,"000\,")&amp;TEXT(Overig!B1058,"?00000000")&amp;TEXT(Overig!C1058,""", ""@")&amp;SUBSTITUTE(TEXT(IF(ISTEXT(Overig!D1058),Overig!D1058,10*Overig!D1058),""",""????0;"",""???-0;"",""????0;"", ////"""),"'","""")&amp;SUBSTITUTE(TEXT(Overig!E1058,""",""?00;"",""?-00;"",""?00;"", //"""),"'","""")</f>
        <v>073, 19451219, 08.00, ////, 07</v>
      </c>
    </row>
    <row r="1059" spans="1:1" x14ac:dyDescent="0.25">
      <c r="A1059" s="16" t="str">
        <f ca="1">TEXT(Overig!A1059,"000\,")&amp;TEXT(Overig!B1059,"?00000000")&amp;TEXT(Overig!C1059,""", ""@")&amp;SUBSTITUTE(TEXT(IF(ISTEXT(Overig!D1059),Overig!D1059,10*Overig!D1059),""",""????0;"",""???-0;"",""????0;"", ////"""),"'","""")&amp;SUBSTITUTE(TEXT(Overig!E1059,""",""?00;"",""?-00;"",""?00;"", //"""),"'","""")</f>
        <v>073, 19451219, 12.00, ////, 07</v>
      </c>
    </row>
    <row r="1060" spans="1:1" x14ac:dyDescent="0.25">
      <c r="A1060" s="16" t="str">
        <f ca="1">TEXT(Overig!A1060,"000\,")&amp;TEXT(Overig!B1060,"?00000000")&amp;TEXT(Overig!C1060,""", ""@")&amp;SUBSTITUTE(TEXT(IF(ISTEXT(Overig!D1060),Overig!D1060,10*Overig!D1060),""",""????0;"",""???-0;"",""????0;"", ////"""),"'","""")&amp;SUBSTITUTE(TEXT(Overig!E1060,""",""?00;"",""?-00;"",""?00;"", //"""),"'","""")</f>
        <v>073, 19451219, 16.00, ////, 07</v>
      </c>
    </row>
    <row r="1061" spans="1:1" x14ac:dyDescent="0.25">
      <c r="A1061" s="16" t="str">
        <f ca="1">TEXT(Overig!A1061,"000\,")&amp;TEXT(Overig!B1061,"?00000000")&amp;TEXT(Overig!C1061,""", ""@")&amp;SUBSTITUTE(TEXT(IF(ISTEXT(Overig!D1061),Overig!D1061,10*Overig!D1061),""",""????0;"",""???-0;"",""????0;"", ////"""),"'","""")&amp;SUBSTITUTE(TEXT(Overig!E1061,""",""?00;"",""?-00;"",""?00;"", //"""),"'","""")</f>
        <v>073, 19451220, 08.00, ////, 07</v>
      </c>
    </row>
    <row r="1062" spans="1:1" x14ac:dyDescent="0.25">
      <c r="A1062" s="16" t="str">
        <f ca="1">TEXT(Overig!A1062,"000\,")&amp;TEXT(Overig!B1062,"?00000000")&amp;TEXT(Overig!C1062,""", ""@")&amp;SUBSTITUTE(TEXT(IF(ISTEXT(Overig!D1062),Overig!D1062,10*Overig!D1062),""",""????0;"",""???-0;"",""????0;"", ////"""),"'","""")&amp;SUBSTITUTE(TEXT(Overig!E1062,""",""?00;"",""?-00;"",""?00;"", //"""),"'","""")</f>
        <v>073, 19451220, 12.00, ////, 07</v>
      </c>
    </row>
    <row r="1063" spans="1:1" x14ac:dyDescent="0.25">
      <c r="A1063" s="16" t="str">
        <f ca="1">TEXT(Overig!A1063,"000\,")&amp;TEXT(Overig!B1063,"?00000000")&amp;TEXT(Overig!C1063,""", ""@")&amp;SUBSTITUTE(TEXT(IF(ISTEXT(Overig!D1063),Overig!D1063,10*Overig!D1063),""",""????0;"",""???-0;"",""????0;"", ////"""),"'","""")&amp;SUBSTITUTE(TEXT(Overig!E1063,""",""?00;"",""?-00;"",""?00;"", //"""),"'","""")</f>
        <v>073, 19451220, 16.00, ////, 07</v>
      </c>
    </row>
    <row r="1064" spans="1:1" x14ac:dyDescent="0.25">
      <c r="A1064" s="16" t="str">
        <f ca="1">TEXT(Overig!A1064,"000\,")&amp;TEXT(Overig!B1064,"?00000000")&amp;TEXT(Overig!C1064,""", ""@")&amp;SUBSTITUTE(TEXT(IF(ISTEXT(Overig!D1064),Overig!D1064,10*Overig!D1064),""",""????0;"",""???-0;"",""????0;"", ////"""),"'","""")&amp;SUBSTITUTE(TEXT(Overig!E1064,""",""?00;"",""?-00;"",""?00;"", //"""),"'","""")</f>
        <v>073, 19451221, 08.00, ////, 07</v>
      </c>
    </row>
    <row r="1065" spans="1:1" x14ac:dyDescent="0.25">
      <c r="A1065" s="16" t="str">
        <f ca="1">TEXT(Overig!A1065,"000\,")&amp;TEXT(Overig!B1065,"?00000000")&amp;TEXT(Overig!C1065,""", ""@")&amp;SUBSTITUTE(TEXT(IF(ISTEXT(Overig!D1065),Overig!D1065,10*Overig!D1065),""",""????0;"",""???-0;"",""????0;"", ////"""),"'","""")&amp;SUBSTITUTE(TEXT(Overig!E1065,""",""?00;"",""?-00;"",""?00;"", //"""),"'","""")</f>
        <v>073, 19451221, 12.00, ////, 07</v>
      </c>
    </row>
    <row r="1066" spans="1:1" x14ac:dyDescent="0.25">
      <c r="A1066" s="16" t="str">
        <f ca="1">TEXT(Overig!A1066,"000\,")&amp;TEXT(Overig!B1066,"?00000000")&amp;TEXT(Overig!C1066,""", ""@")&amp;SUBSTITUTE(TEXT(IF(ISTEXT(Overig!D1066),Overig!D1066,10*Overig!D1066),""",""????0;"",""???-0;"",""????0;"", ////"""),"'","""")&amp;SUBSTITUTE(TEXT(Overig!E1066,""",""?00;"",""?-00;"",""?00;"", //"""),"'","""")</f>
        <v>073, 19451221, 16.00, ////, 07</v>
      </c>
    </row>
    <row r="1067" spans="1:1" x14ac:dyDescent="0.25">
      <c r="A1067" s="16" t="str">
        <f ca="1">TEXT(Overig!A1067,"000\,")&amp;TEXT(Overig!B1067,"?00000000")&amp;TEXT(Overig!C1067,""", ""@")&amp;SUBSTITUTE(TEXT(IF(ISTEXT(Overig!D1067),Overig!D1067,10*Overig!D1067),""",""????0;"",""???-0;"",""????0;"", ////"""),"'","""")&amp;SUBSTITUTE(TEXT(Overig!E1067,""",""?00;"",""?-00;"",""?00;"", //"""),"'","""")</f>
        <v>073, 19451222, 08.00, ////, 07</v>
      </c>
    </row>
    <row r="1068" spans="1:1" x14ac:dyDescent="0.25">
      <c r="A1068" s="16" t="str">
        <f ca="1">TEXT(Overig!A1068,"000\,")&amp;TEXT(Overig!B1068,"?00000000")&amp;TEXT(Overig!C1068,""", ""@")&amp;SUBSTITUTE(TEXT(IF(ISTEXT(Overig!D1068),Overig!D1068,10*Overig!D1068),""",""????0;"",""???-0;"",""????0;"", ////"""),"'","""")&amp;SUBSTITUTE(TEXT(Overig!E1068,""",""?00;"",""?-00;"",""?00;"", //"""),"'","""")</f>
        <v>073, 19451222, 12.00, ////, 07</v>
      </c>
    </row>
    <row r="1069" spans="1:1" x14ac:dyDescent="0.25">
      <c r="A1069" s="16" t="str">
        <f ca="1">TEXT(Overig!A1069,"000\,")&amp;TEXT(Overig!B1069,"?00000000")&amp;TEXT(Overig!C1069,""", ""@")&amp;SUBSTITUTE(TEXT(IF(ISTEXT(Overig!D1069),Overig!D1069,10*Overig!D1069),""",""????0;"",""???-0;"",""????0;"", ////"""),"'","""")&amp;SUBSTITUTE(TEXT(Overig!E1069,""",""?00;"",""?-00;"",""?00;"", //"""),"'","""")</f>
        <v>073, 19451222, 16.00, ////, 07</v>
      </c>
    </row>
    <row r="1070" spans="1:1" x14ac:dyDescent="0.25">
      <c r="A1070" s="16" t="str">
        <f ca="1">TEXT(Overig!A1070,"000\,")&amp;TEXT(Overig!B1070,"?00000000")&amp;TEXT(Overig!C1070,""", ""@")&amp;SUBSTITUTE(TEXT(IF(ISTEXT(Overig!D1070),Overig!D1070,10*Overig!D1070),""",""????0;"",""???-0;"",""????0;"", ////"""),"'","""")&amp;SUBSTITUTE(TEXT(Overig!E1070,""",""?00;"",""?-00;"",""?00;"", //"""),"'","""")</f>
        <v>073, 19451223, 08.00, ////, 07</v>
      </c>
    </row>
    <row r="1071" spans="1:1" x14ac:dyDescent="0.25">
      <c r="A1071" s="16" t="str">
        <f ca="1">TEXT(Overig!A1071,"000\,")&amp;TEXT(Overig!B1071,"?00000000")&amp;TEXT(Overig!C1071,""", ""@")&amp;SUBSTITUTE(TEXT(IF(ISTEXT(Overig!D1071),Overig!D1071,10*Overig!D1071),""",""????0;"",""???-0;"",""????0;"", ////"""),"'","""")&amp;SUBSTITUTE(TEXT(Overig!E1071,""",""?00;"",""?-00;"",""?00;"", //"""),"'","""")</f>
        <v>073, 19451223, 12.00, ////, 07</v>
      </c>
    </row>
    <row r="1072" spans="1:1" x14ac:dyDescent="0.25">
      <c r="A1072" s="16" t="str">
        <f ca="1">TEXT(Overig!A1072,"000\,")&amp;TEXT(Overig!B1072,"?00000000")&amp;TEXT(Overig!C1072,""", ""@")&amp;SUBSTITUTE(TEXT(IF(ISTEXT(Overig!D1072),Overig!D1072,10*Overig!D1072),""",""????0;"",""???-0;"",""????0;"", ////"""),"'","""")&amp;SUBSTITUTE(TEXT(Overig!E1072,""",""?00;"",""?-00;"",""?00;"", //"""),"'","""")</f>
        <v>073, 19451223, 16.00, ////, 07</v>
      </c>
    </row>
    <row r="1073" spans="1:1" x14ac:dyDescent="0.25">
      <c r="A1073" s="16" t="str">
        <f ca="1">TEXT(Overig!A1073,"000\,")&amp;TEXT(Overig!B1073,"?00000000")&amp;TEXT(Overig!C1073,""", ""@")&amp;SUBSTITUTE(TEXT(IF(ISTEXT(Overig!D1073),Overig!D1073,10*Overig!D1073),""",""????0;"",""???-0;"",""????0;"", ////"""),"'","""")&amp;SUBSTITUTE(TEXT(Overig!E1073,""",""?00;"",""?-00;"",""?00;"", //"""),"'","""")</f>
        <v>073, 19451224, 08.00, ////, 07</v>
      </c>
    </row>
    <row r="1074" spans="1:1" x14ac:dyDescent="0.25">
      <c r="A1074" s="16" t="str">
        <f ca="1">TEXT(Overig!A1074,"000\,")&amp;TEXT(Overig!B1074,"?00000000")&amp;TEXT(Overig!C1074,""", ""@")&amp;SUBSTITUTE(TEXT(IF(ISTEXT(Overig!D1074),Overig!D1074,10*Overig!D1074),""",""????0;"",""???-0;"",""????0;"", ////"""),"'","""")&amp;SUBSTITUTE(TEXT(Overig!E1074,""",""?00;"",""?-00;"",""?00;"", //"""),"'","""")</f>
        <v>073, 19451224, 12.00, ////, 07</v>
      </c>
    </row>
    <row r="1075" spans="1:1" x14ac:dyDescent="0.25">
      <c r="A1075" s="16" t="str">
        <f ca="1">TEXT(Overig!A1075,"000\,")&amp;TEXT(Overig!B1075,"?00000000")&amp;TEXT(Overig!C1075,""", ""@")&amp;SUBSTITUTE(TEXT(IF(ISTEXT(Overig!D1075),Overig!D1075,10*Overig!D1075),""",""????0;"",""???-0;"",""????0;"", ////"""),"'","""")&amp;SUBSTITUTE(TEXT(Overig!E1075,""",""?00;"",""?-00;"",""?00;"", //"""),"'","""")</f>
        <v>073, 19451224, 16.00, ////, 07</v>
      </c>
    </row>
    <row r="1076" spans="1:1" x14ac:dyDescent="0.25">
      <c r="A1076" s="16" t="str">
        <f ca="1">TEXT(Overig!A1076,"000\,")&amp;TEXT(Overig!B1076,"?00000000")&amp;TEXT(Overig!C1076,""", ""@")&amp;SUBSTITUTE(TEXT(IF(ISTEXT(Overig!D1076),Overig!D1076,10*Overig!D1076),""",""????0;"",""???-0;"",""????0;"", ////"""),"'","""")&amp;SUBSTITUTE(TEXT(Overig!E1076,""",""?00;"",""?-00;"",""?00;"", //"""),"'","""")</f>
        <v>073, 19451225, 08.00, ////, 07</v>
      </c>
    </row>
    <row r="1077" spans="1:1" x14ac:dyDescent="0.25">
      <c r="A1077" s="16" t="str">
        <f ca="1">TEXT(Overig!A1077,"000\,")&amp;TEXT(Overig!B1077,"?00000000")&amp;TEXT(Overig!C1077,""", ""@")&amp;SUBSTITUTE(TEXT(IF(ISTEXT(Overig!D1077),Overig!D1077,10*Overig!D1077),""",""????0;"",""???-0;"",""????0;"", ////"""),"'","""")&amp;SUBSTITUTE(TEXT(Overig!E1077,""",""?00;"",""?-00;"",""?00;"", //"""),"'","""")</f>
        <v>073, 19451225, 12.00, ////, 07</v>
      </c>
    </row>
    <row r="1078" spans="1:1" x14ac:dyDescent="0.25">
      <c r="A1078" s="16" t="str">
        <f ca="1">TEXT(Overig!A1078,"000\,")&amp;TEXT(Overig!B1078,"?00000000")&amp;TEXT(Overig!C1078,""", ""@")&amp;SUBSTITUTE(TEXT(IF(ISTEXT(Overig!D1078),Overig!D1078,10*Overig!D1078),""",""????0;"",""???-0;"",""????0;"", ////"""),"'","""")&amp;SUBSTITUTE(TEXT(Overig!E1078,""",""?00;"",""?-00;"",""?00;"", //"""),"'","""")</f>
        <v>073, 19451225, 16.00, ////, 07</v>
      </c>
    </row>
    <row r="1079" spans="1:1" x14ac:dyDescent="0.25">
      <c r="A1079" s="16" t="str">
        <f ca="1">TEXT(Overig!A1079,"000\,")&amp;TEXT(Overig!B1079,"?00000000")&amp;TEXT(Overig!C1079,""", ""@")&amp;SUBSTITUTE(TEXT(IF(ISTEXT(Overig!D1079),Overig!D1079,10*Overig!D1079),""",""????0;"",""???-0;"",""????0;"", ////"""),"'","""")&amp;SUBSTITUTE(TEXT(Overig!E1079,""",""?00;"",""?-00;"",""?00;"", //"""),"'","""")</f>
        <v>073, 19451226, 08.00, ////, 07</v>
      </c>
    </row>
    <row r="1080" spans="1:1" x14ac:dyDescent="0.25">
      <c r="A1080" s="16" t="str">
        <f ca="1">TEXT(Overig!A1080,"000\,")&amp;TEXT(Overig!B1080,"?00000000")&amp;TEXT(Overig!C1080,""", ""@")&amp;SUBSTITUTE(TEXT(IF(ISTEXT(Overig!D1080),Overig!D1080,10*Overig!D1080),""",""????0;"",""???-0;"",""????0;"", ////"""),"'","""")&amp;SUBSTITUTE(TEXT(Overig!E1080,""",""?00;"",""?-00;"",""?00;"", //"""),"'","""")</f>
        <v>073, 19451226, 12.00, ////, 07</v>
      </c>
    </row>
    <row r="1081" spans="1:1" x14ac:dyDescent="0.25">
      <c r="A1081" s="16" t="str">
        <f ca="1">TEXT(Overig!A1081,"000\,")&amp;TEXT(Overig!B1081,"?00000000")&amp;TEXT(Overig!C1081,""", ""@")&amp;SUBSTITUTE(TEXT(IF(ISTEXT(Overig!D1081),Overig!D1081,10*Overig!D1081),""",""????0;"",""???-0;"",""????0;"", ////"""),"'","""")&amp;SUBSTITUTE(TEXT(Overig!E1081,""",""?00;"",""?-00;"",""?00;"", //"""),"'","""")</f>
        <v>073, 19451226, 16.00, ////, 07</v>
      </c>
    </row>
    <row r="1082" spans="1:1" x14ac:dyDescent="0.25">
      <c r="A1082" s="16" t="str">
        <f ca="1">TEXT(Overig!A1082,"000\,")&amp;TEXT(Overig!B1082,"?00000000")&amp;TEXT(Overig!C1082,""", ""@")&amp;SUBSTITUTE(TEXT(IF(ISTEXT(Overig!D1082),Overig!D1082,10*Overig!D1082),""",""????0;"",""???-0;"",""????0;"", ////"""),"'","""")&amp;SUBSTITUTE(TEXT(Overig!E1082,""",""?00;"",""?-00;"",""?00;"", //"""),"'","""")</f>
        <v>073, 19451227, 08.00, ////, 07</v>
      </c>
    </row>
    <row r="1083" spans="1:1" x14ac:dyDescent="0.25">
      <c r="A1083" s="16" t="str">
        <f ca="1">TEXT(Overig!A1083,"000\,")&amp;TEXT(Overig!B1083,"?00000000")&amp;TEXT(Overig!C1083,""", ""@")&amp;SUBSTITUTE(TEXT(IF(ISTEXT(Overig!D1083),Overig!D1083,10*Overig!D1083),""",""????0;"",""???-0;"",""????0;"", ////"""),"'","""")&amp;SUBSTITUTE(TEXT(Overig!E1083,""",""?00;"",""?-00;"",""?00;"", //"""),"'","""")</f>
        <v>073, 19451227, 12.00, ////, 07</v>
      </c>
    </row>
    <row r="1084" spans="1:1" x14ac:dyDescent="0.25">
      <c r="A1084" s="16" t="str">
        <f ca="1">TEXT(Overig!A1084,"000\,")&amp;TEXT(Overig!B1084,"?00000000")&amp;TEXT(Overig!C1084,""", ""@")&amp;SUBSTITUTE(TEXT(IF(ISTEXT(Overig!D1084),Overig!D1084,10*Overig!D1084),""",""????0;"",""???-0;"",""????0;"", ////"""),"'","""")&amp;SUBSTITUTE(TEXT(Overig!E1084,""",""?00;"",""?-00;"",""?00;"", //"""),"'","""")</f>
        <v>073, 19451227, 16.00, ////, 07</v>
      </c>
    </row>
    <row r="1085" spans="1:1" x14ac:dyDescent="0.25">
      <c r="A1085" s="16" t="str">
        <f ca="1">TEXT(Overig!A1085,"000\,")&amp;TEXT(Overig!B1085,"?00000000")&amp;TEXT(Overig!C1085,""", ""@")&amp;SUBSTITUTE(TEXT(IF(ISTEXT(Overig!D1085),Overig!D1085,10*Overig!D1085),""",""????0;"",""???-0;"",""????0;"", ////"""),"'","""")&amp;SUBSTITUTE(TEXT(Overig!E1085,""",""?00;"",""?-00;"",""?00;"", //"""),"'","""")</f>
        <v>073, 19451228, 08.00, ////, 07</v>
      </c>
    </row>
    <row r="1086" spans="1:1" x14ac:dyDescent="0.25">
      <c r="A1086" s="16" t="str">
        <f ca="1">TEXT(Overig!A1086,"000\,")&amp;TEXT(Overig!B1086,"?00000000")&amp;TEXT(Overig!C1086,""", ""@")&amp;SUBSTITUTE(TEXT(IF(ISTEXT(Overig!D1086),Overig!D1086,10*Overig!D1086),""",""????0;"",""???-0;"",""????0;"", ////"""),"'","""")&amp;SUBSTITUTE(TEXT(Overig!E1086,""",""?00;"",""?-00;"",""?00;"", //"""),"'","""")</f>
        <v>073, 19451228, 12.00, ////, 07</v>
      </c>
    </row>
    <row r="1087" spans="1:1" x14ac:dyDescent="0.25">
      <c r="A1087" s="16" t="str">
        <f ca="1">TEXT(Overig!A1087,"000\,")&amp;TEXT(Overig!B1087,"?00000000")&amp;TEXT(Overig!C1087,""", ""@")&amp;SUBSTITUTE(TEXT(IF(ISTEXT(Overig!D1087),Overig!D1087,10*Overig!D1087),""",""????0;"",""???-0;"",""????0;"", ////"""),"'","""")&amp;SUBSTITUTE(TEXT(Overig!E1087,""",""?00;"",""?-00;"",""?00;"", //"""),"'","""")</f>
        <v>073, 19451228, 16.00, ////, 07</v>
      </c>
    </row>
    <row r="1088" spans="1:1" x14ac:dyDescent="0.25">
      <c r="A1088" s="16" t="str">
        <f ca="1">TEXT(Overig!A1088,"000\,")&amp;TEXT(Overig!B1088,"?00000000")&amp;TEXT(Overig!C1088,""", ""@")&amp;SUBSTITUTE(TEXT(IF(ISTEXT(Overig!D1088),Overig!D1088,10*Overig!D1088),""",""????0;"",""???-0;"",""????0;"", ////"""),"'","""")&amp;SUBSTITUTE(TEXT(Overig!E1088,""",""?00;"",""?-00;"",""?00;"", //"""),"'","""")</f>
        <v>073, 19451229, 08.00, ////, 07</v>
      </c>
    </row>
    <row r="1089" spans="1:1" x14ac:dyDescent="0.25">
      <c r="A1089" s="16" t="str">
        <f ca="1">TEXT(Overig!A1089,"000\,")&amp;TEXT(Overig!B1089,"?00000000")&amp;TEXT(Overig!C1089,""", ""@")&amp;SUBSTITUTE(TEXT(IF(ISTEXT(Overig!D1089),Overig!D1089,10*Overig!D1089),""",""????0;"",""???-0;"",""????0;"", ////"""),"'","""")&amp;SUBSTITUTE(TEXT(Overig!E1089,""",""?00;"",""?-00;"",""?00;"", //"""),"'","""")</f>
        <v>073, 19451229, 12.00, ////, 07</v>
      </c>
    </row>
    <row r="1090" spans="1:1" x14ac:dyDescent="0.25">
      <c r="A1090" s="16" t="str">
        <f ca="1">TEXT(Overig!A1090,"000\,")&amp;TEXT(Overig!B1090,"?00000000")&amp;TEXT(Overig!C1090,""", ""@")&amp;SUBSTITUTE(TEXT(IF(ISTEXT(Overig!D1090),Overig!D1090,10*Overig!D1090),""",""????0;"",""???-0;"",""????0;"", ////"""),"'","""")&amp;SUBSTITUTE(TEXT(Overig!E1090,""",""?00;"",""?-00;"",""?00;"", //"""),"'","""")</f>
        <v>073, 19451229, 16.00, ////, 07</v>
      </c>
    </row>
    <row r="1091" spans="1:1" x14ac:dyDescent="0.25">
      <c r="A1091" s="16" t="str">
        <f ca="1">TEXT(Overig!A1091,"000\,")&amp;TEXT(Overig!B1091,"?00000000")&amp;TEXT(Overig!C1091,""", ""@")&amp;SUBSTITUTE(TEXT(IF(ISTEXT(Overig!D1091),Overig!D1091,10*Overig!D1091),""",""????0;"",""???-0;"",""????0;"", ////"""),"'","""")&amp;SUBSTITUTE(TEXT(Overig!E1091,""",""?00;"",""?-00;"",""?00;"", //"""),"'","""")</f>
        <v>073, 19451230, 08.00, ////, 07</v>
      </c>
    </row>
    <row r="1092" spans="1:1" x14ac:dyDescent="0.25">
      <c r="A1092" s="16" t="str">
        <f ca="1">TEXT(Overig!A1092,"000\,")&amp;TEXT(Overig!B1092,"?00000000")&amp;TEXT(Overig!C1092,""", ""@")&amp;SUBSTITUTE(TEXT(IF(ISTEXT(Overig!D1092),Overig!D1092,10*Overig!D1092),""",""????0;"",""???-0;"",""????0;"", ////"""),"'","""")&amp;SUBSTITUTE(TEXT(Overig!E1092,""",""?00;"",""?-00;"",""?00;"", //"""),"'","""")</f>
        <v>073, 19451230, 12.00, ////, 07</v>
      </c>
    </row>
    <row r="1093" spans="1:1" x14ac:dyDescent="0.25">
      <c r="A1093" s="16" t="str">
        <f ca="1">TEXT(Overig!A1093,"000\,")&amp;TEXT(Overig!B1093,"?00000000")&amp;TEXT(Overig!C1093,""", ""@")&amp;SUBSTITUTE(TEXT(IF(ISTEXT(Overig!D1093),Overig!D1093,10*Overig!D1093),""",""????0;"",""???-0;"",""????0;"", ////"""),"'","""")&amp;SUBSTITUTE(TEXT(Overig!E1093,""",""?00;"",""?-00;"",""?00;"", //"""),"'","""")</f>
        <v>073, 19451230, 16.00, ////, 07</v>
      </c>
    </row>
    <row r="1094" spans="1:1" x14ac:dyDescent="0.25">
      <c r="A1094" s="16" t="str">
        <f ca="1">TEXT(Overig!A1094,"000\,")&amp;TEXT(Overig!B1094,"?00000000")&amp;TEXT(Overig!C1094,""", ""@")&amp;SUBSTITUTE(TEXT(IF(ISTEXT(Overig!D1094),Overig!D1094,10*Overig!D1094),""",""????0;"",""???-0;"",""????0;"", ////"""),"'","""")&amp;SUBSTITUTE(TEXT(Overig!E1094,""",""?00;"",""?-00;"",""?00;"", //"""),"'","""")</f>
        <v>073, 19451231, 08.00, ////, 07</v>
      </c>
    </row>
    <row r="1095" spans="1:1" x14ac:dyDescent="0.25">
      <c r="A1095" s="16" t="str">
        <f ca="1">TEXT(Overig!A1095,"000\,")&amp;TEXT(Overig!B1095,"?00000000")&amp;TEXT(Overig!C1095,""", ""@")&amp;SUBSTITUTE(TEXT(IF(ISTEXT(Overig!D1095),Overig!D1095,10*Overig!D1095),""",""????0;"",""???-0;"",""????0;"", ////"""),"'","""")&amp;SUBSTITUTE(TEXT(Overig!E1095,""",""?00;"",""?-00;"",""?00;"", //"""),"'","""")</f>
        <v>073, 19451231, 12.00, ////, 07</v>
      </c>
    </row>
    <row r="1096" spans="1:1" x14ac:dyDescent="0.25">
      <c r="A1096" s="16" t="str">
        <f ca="1">TEXT(Overig!A1096,"000\,")&amp;TEXT(Overig!B1096,"?00000000")&amp;TEXT(Overig!C1096,""", ""@")&amp;SUBSTITUTE(TEXT(IF(ISTEXT(Overig!D1096),Overig!D1096,10*Overig!D1096),""",""????0;"",""???-0;"",""????0;"", ////"""),"'","""")&amp;SUBSTITUTE(TEXT(Overig!E1096,""",""?00;"",""?-00;"",""?00;"", //"""),"'","""")</f>
        <v>073, 19451231, 16.00, ////, 07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6</vt:i4>
      </vt:variant>
      <vt:variant>
        <vt:lpstr>Benoemde bereiken</vt:lpstr>
      </vt:variant>
      <vt:variant>
        <vt:i4>9</vt:i4>
      </vt:variant>
    </vt:vector>
  </HeadingPairs>
  <TitlesOfParts>
    <vt:vector size="15" baseType="lpstr">
      <vt:lpstr>Invoer</vt:lpstr>
      <vt:lpstr>Info</vt:lpstr>
      <vt:lpstr>Regen</vt:lpstr>
      <vt:lpstr>Overig</vt:lpstr>
      <vt:lpstr>RegenASCII</vt:lpstr>
      <vt:lpstr>OverigASCII</vt:lpstr>
      <vt:lpstr>Catalogus</vt:lpstr>
      <vt:lpstr>Data</vt:lpstr>
      <vt:lpstr>Est</vt:lpstr>
      <vt:lpstr>Lacking</vt:lpstr>
      <vt:lpstr>ME</vt:lpstr>
      <vt:lpstr>MS</vt:lpstr>
      <vt:lpstr>Ok</vt:lpstr>
      <vt:lpstr>Parameters</vt:lpstr>
      <vt:lpstr>Stations</vt:lpstr>
    </vt:vector>
  </TitlesOfParts>
  <Company>SSC-Campus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Jilderda, Rudmer (KNMI)</dc:creator>
  <cp:lastModifiedBy>Schiks, Connie (KNMI)</cp:lastModifiedBy>
  <dcterms:created xsi:type="dcterms:W3CDTF">2015-09-16T12:27:42Z</dcterms:created>
  <dcterms:modified xsi:type="dcterms:W3CDTF">2015-10-07T11:54:13Z</dcterms:modified>
</cp:coreProperties>
</file>