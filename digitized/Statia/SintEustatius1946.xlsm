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Invoer!$A$2:$E$381</definedName>
    <definedName name="Catalogus">Info!$J$3:$N$4</definedName>
    <definedName name="Data">Invoer!$A$3:$E$381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" i="6" l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C2" i="3" l="1"/>
  <c r="A2" i="3"/>
  <c r="E381" i="1" l="1"/>
  <c r="E349" i="1"/>
  <c r="E318" i="1"/>
  <c r="E286" i="1"/>
  <c r="E255" i="1"/>
  <c r="E223" i="1"/>
  <c r="E191" i="1"/>
  <c r="E160" i="1"/>
  <c r="E128" i="1"/>
  <c r="E97" i="1"/>
  <c r="E65" i="1"/>
  <c r="E36" i="1"/>
  <c r="A1" i="5" l="1"/>
  <c r="D349" i="1" l="1"/>
  <c r="C349" i="1"/>
  <c r="B349" i="1"/>
  <c r="D286" i="1"/>
  <c r="C286" i="1"/>
  <c r="B286" i="1"/>
  <c r="D191" i="1"/>
  <c r="C191" i="1"/>
  <c r="B191" i="1"/>
  <c r="D128" i="1"/>
  <c r="C128" i="1"/>
  <c r="B128" i="1"/>
  <c r="D97" i="1"/>
  <c r="C97" i="1"/>
  <c r="B97" i="1"/>
  <c r="D65" i="1"/>
  <c r="C65" i="1"/>
  <c r="B65" i="1"/>
  <c r="D381" i="1"/>
  <c r="C381" i="1"/>
  <c r="B381" i="1"/>
  <c r="D318" i="1"/>
  <c r="C318" i="1"/>
  <c r="B318" i="1"/>
  <c r="D255" i="1"/>
  <c r="C255" i="1"/>
  <c r="B255" i="1"/>
  <c r="D223" i="1"/>
  <c r="C223" i="1"/>
  <c r="B223" i="1"/>
  <c r="D160" i="1"/>
  <c r="C160" i="1"/>
  <c r="B160" i="1"/>
  <c r="C36" i="1"/>
  <c r="D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D5" i="3" l="1"/>
  <c r="E5" i="3"/>
  <c r="D6" i="3"/>
  <c r="E6" i="3"/>
  <c r="E7" i="3"/>
  <c r="D7" i="3"/>
  <c r="E3" i="3"/>
  <c r="D3" i="3"/>
  <c r="D4" i="3"/>
  <c r="E4" i="3"/>
  <c r="E2" i="3"/>
  <c r="D2" i="3"/>
  <c r="D3" i="2"/>
  <c r="E3" i="2"/>
  <c r="E2" i="2"/>
  <c r="D2" i="2"/>
  <c r="A7" i="1"/>
  <c r="A4" i="6" l="1"/>
  <c r="A2" i="6"/>
  <c r="A3" i="6"/>
  <c r="A7" i="6"/>
  <c r="A6" i="6"/>
  <c r="A5" i="6"/>
  <c r="D8" i="3"/>
  <c r="E8" i="3"/>
  <c r="D10" i="3"/>
  <c r="E9" i="3"/>
  <c r="E10" i="3"/>
  <c r="D9" i="3"/>
  <c r="A3" i="5"/>
  <c r="E4" i="2"/>
  <c r="D4" i="2"/>
  <c r="A2" i="5"/>
  <c r="A8" i="1"/>
  <c r="A8" i="6" l="1"/>
  <c r="A9" i="6"/>
  <c r="A10" i="6"/>
  <c r="D11" i="3"/>
  <c r="D13" i="3"/>
  <c r="D12" i="3"/>
  <c r="E12" i="3"/>
  <c r="E11" i="3"/>
  <c r="E13" i="3"/>
  <c r="A4" i="5"/>
  <c r="E5" i="2"/>
  <c r="D5" i="2"/>
  <c r="A9" i="1"/>
  <c r="A12" i="6" l="1"/>
  <c r="A11" i="6"/>
  <c r="A13" i="6"/>
  <c r="A5" i="5"/>
  <c r="E16" i="3"/>
  <c r="E15" i="3"/>
  <c r="D14" i="3"/>
  <c r="E14" i="3"/>
  <c r="D16" i="3"/>
  <c r="A16" i="6" s="1"/>
  <c r="D15" i="3"/>
  <c r="A15" i="6" s="1"/>
  <c r="E6" i="2"/>
  <c r="D6" i="2"/>
  <c r="A10" i="1"/>
  <c r="A14" i="6" l="1"/>
  <c r="D18" i="3"/>
  <c r="D17" i="3"/>
  <c r="E18" i="3"/>
  <c r="D19" i="3"/>
  <c r="E17" i="3"/>
  <c r="E19" i="3"/>
  <c r="A6" i="5"/>
  <c r="D7" i="2"/>
  <c r="E7" i="2"/>
  <c r="A11" i="1"/>
  <c r="A19" i="6" l="1"/>
  <c r="A17" i="6"/>
  <c r="A18" i="6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581" i="3" l="1"/>
  <c r="D865" i="3"/>
  <c r="E420" i="3"/>
  <c r="D597" i="3"/>
  <c r="E900" i="3"/>
  <c r="E396" i="3"/>
  <c r="E870" i="3"/>
  <c r="D70" i="3"/>
  <c r="E515" i="3"/>
  <c r="E907" i="3"/>
  <c r="D1065" i="3"/>
  <c r="E757" i="3"/>
  <c r="E65" i="3"/>
  <c r="D120" i="3"/>
  <c r="E577" i="3"/>
  <c r="D504" i="3"/>
  <c r="D158" i="3"/>
  <c r="E211" i="3"/>
  <c r="D963" i="3"/>
  <c r="D177" i="3"/>
  <c r="E203" i="3"/>
  <c r="D508" i="3"/>
  <c r="E559" i="3"/>
  <c r="E858" i="3"/>
  <c r="E835" i="3"/>
  <c r="D826" i="3"/>
  <c r="D837" i="3"/>
  <c r="D189" i="3"/>
  <c r="D918" i="3"/>
  <c r="D154" i="3"/>
  <c r="D756" i="3"/>
  <c r="E466" i="3"/>
  <c r="E372" i="3"/>
  <c r="E59" i="3"/>
  <c r="D418" i="3"/>
  <c r="D271" i="3"/>
  <c r="D985" i="3"/>
  <c r="E343" i="3"/>
  <c r="E673" i="3"/>
  <c r="E299" i="3"/>
  <c r="E988" i="3"/>
  <c r="D610" i="3"/>
  <c r="E492" i="3"/>
  <c r="D163" i="3"/>
  <c r="D949" i="3"/>
  <c r="D425" i="3"/>
  <c r="E597" i="3"/>
  <c r="D311" i="3"/>
  <c r="D776" i="3"/>
  <c r="E699" i="3"/>
  <c r="D928" i="3"/>
  <c r="E44" i="3"/>
  <c r="E792" i="3"/>
  <c r="D655" i="3"/>
  <c r="D312" i="3"/>
  <c r="D59" i="3"/>
  <c r="A59" i="6" s="1"/>
  <c r="D202" i="3"/>
  <c r="D415" i="3"/>
  <c r="E172" i="3"/>
  <c r="D46" i="3"/>
  <c r="E804" i="3"/>
  <c r="E523" i="3"/>
  <c r="D365" i="3"/>
  <c r="E274" i="3"/>
  <c r="D790" i="3"/>
  <c r="D48" i="3"/>
  <c r="E741" i="3"/>
  <c r="E49" i="3"/>
  <c r="D1036" i="3"/>
  <c r="E610" i="3"/>
  <c r="E1096" i="3"/>
  <c r="D711" i="3"/>
  <c r="E620" i="3"/>
  <c r="D1054" i="3"/>
  <c r="E88" i="3"/>
  <c r="E342" i="3"/>
  <c r="E794" i="3"/>
  <c r="D961" i="3"/>
  <c r="E209" i="3"/>
  <c r="E175" i="3"/>
  <c r="E587" i="3"/>
  <c r="E640" i="3"/>
  <c r="E1022" i="3"/>
  <c r="D255" i="3"/>
  <c r="E579" i="3"/>
  <c r="E920" i="3"/>
  <c r="E954" i="3"/>
  <c r="E931" i="3"/>
  <c r="D922" i="3"/>
  <c r="D933" i="3"/>
  <c r="D147" i="3"/>
  <c r="E476" i="3"/>
  <c r="E660" i="3"/>
  <c r="D1014" i="3"/>
  <c r="D720" i="3"/>
  <c r="E149" i="3"/>
  <c r="D434" i="3"/>
  <c r="D308" i="3"/>
  <c r="D339" i="3"/>
  <c r="E849" i="3"/>
  <c r="D555" i="3"/>
  <c r="D263" i="3"/>
  <c r="E261" i="3"/>
  <c r="D421" i="3"/>
  <c r="D134" i="3"/>
  <c r="D494" i="3"/>
  <c r="D732" i="3"/>
  <c r="E126" i="3"/>
  <c r="E419" i="3"/>
  <c r="D1017" i="3"/>
  <c r="D715" i="3"/>
  <c r="E1077" i="3"/>
  <c r="E321" i="3"/>
  <c r="E680" i="3"/>
  <c r="D615" i="3"/>
  <c r="E909" i="3"/>
  <c r="D908" i="3"/>
  <c r="D36" i="3"/>
  <c r="D441" i="3"/>
  <c r="E99" i="3"/>
  <c r="D871" i="3"/>
  <c r="D95" i="3"/>
  <c r="E31" i="3"/>
  <c r="D443" i="3"/>
  <c r="D280" i="3"/>
  <c r="D102" i="3"/>
  <c r="D676" i="3"/>
  <c r="D473" i="3"/>
  <c r="D839" i="3"/>
  <c r="D1024" i="3"/>
  <c r="D1075" i="3"/>
  <c r="E293" i="3"/>
  <c r="E935" i="3"/>
  <c r="E138" i="3"/>
  <c r="E543" i="3"/>
  <c r="D265" i="3"/>
  <c r="D207" i="3"/>
  <c r="E239" i="3"/>
  <c r="E707" i="3"/>
  <c r="E281" i="3"/>
  <c r="D1000" i="3"/>
  <c r="E766" i="3"/>
  <c r="D654" i="3"/>
  <c r="D320" i="3"/>
  <c r="E304" i="3"/>
  <c r="E977" i="3"/>
  <c r="E256" i="3"/>
  <c r="D275" i="3"/>
  <c r="D241" i="3"/>
  <c r="D913" i="3"/>
  <c r="D119" i="3"/>
  <c r="E588" i="3"/>
  <c r="D1022" i="3"/>
  <c r="A1022" i="6" s="1"/>
  <c r="E969" i="3"/>
  <c r="D556" i="3"/>
  <c r="E670" i="3"/>
  <c r="D904" i="3"/>
  <c r="D258" i="3"/>
  <c r="D600" i="3"/>
  <c r="E161" i="3"/>
  <c r="E485" i="3"/>
  <c r="D915" i="3"/>
  <c r="D131" i="3"/>
  <c r="D460" i="3"/>
  <c r="D644" i="3"/>
  <c r="D173" i="3"/>
  <c r="E77" i="3"/>
  <c r="D493" i="3"/>
  <c r="D914" i="3"/>
  <c r="E500" i="3"/>
  <c r="D424" i="3"/>
  <c r="E459" i="3"/>
  <c r="E1083" i="3"/>
  <c r="E336" i="3"/>
  <c r="D688" i="3"/>
  <c r="E439" i="3"/>
  <c r="D433" i="3"/>
  <c r="E80" i="3"/>
  <c r="E483" i="3"/>
  <c r="E1053" i="3"/>
  <c r="E264" i="3"/>
  <c r="D1076" i="3"/>
  <c r="E385" i="3"/>
  <c r="E744" i="3"/>
  <c r="D1096" i="3"/>
  <c r="A1096" i="6" s="1"/>
  <c r="E973" i="3"/>
  <c r="D972" i="3"/>
  <c r="E833" i="3"/>
  <c r="E538" i="3"/>
  <c r="E502" i="3"/>
  <c r="E733" i="3"/>
  <c r="E358" i="3"/>
  <c r="D639" i="3"/>
  <c r="E113" i="3"/>
  <c r="D63" i="3"/>
  <c r="D788" i="3"/>
  <c r="D912" i="3"/>
  <c r="E683" i="3"/>
  <c r="D295" i="3"/>
  <c r="E739" i="3"/>
  <c r="D480" i="3"/>
  <c r="E532" i="3"/>
  <c r="E810" i="3"/>
  <c r="D252" i="3"/>
  <c r="D582" i="3"/>
  <c r="E566" i="3"/>
  <c r="E447" i="3"/>
  <c r="E119" i="3"/>
  <c r="D833" i="3"/>
  <c r="E259" i="3"/>
  <c r="D185" i="3"/>
  <c r="D41" i="3"/>
  <c r="E247" i="3"/>
  <c r="D524" i="3"/>
  <c r="E200" i="3"/>
  <c r="D351" i="3"/>
  <c r="E441" i="3"/>
  <c r="E1073" i="3"/>
  <c r="D743" i="3"/>
  <c r="D360" i="3"/>
  <c r="E78" i="3"/>
  <c r="E956" i="3"/>
  <c r="D578" i="3"/>
  <c r="E695" i="3"/>
  <c r="E1087" i="3"/>
  <c r="E754" i="3"/>
  <c r="D395" i="3"/>
  <c r="E898" i="3"/>
  <c r="E593" i="3"/>
  <c r="D440" i="3"/>
  <c r="D174" i="3"/>
  <c r="D724" i="3"/>
  <c r="E40" i="3"/>
  <c r="D625" i="3"/>
  <c r="E181" i="3"/>
  <c r="E411" i="3"/>
  <c r="D390" i="3"/>
  <c r="E60" i="3"/>
  <c r="D423" i="3"/>
  <c r="D777" i="3"/>
  <c r="E902" i="3"/>
  <c r="E101" i="3"/>
  <c r="E939" i="3"/>
  <c r="E398" i="3"/>
  <c r="E629" i="3"/>
  <c r="E960" i="3"/>
  <c r="D1043" i="3"/>
  <c r="D366" i="3"/>
  <c r="D728" i="3"/>
  <c r="D957" i="3"/>
  <c r="E133" i="3"/>
  <c r="D245" i="3"/>
  <c r="D682" i="3"/>
  <c r="E45" i="3"/>
  <c r="E425" i="3"/>
  <c r="D447" i="3"/>
  <c r="D61" i="3"/>
  <c r="E855" i="3"/>
  <c r="E340" i="3"/>
  <c r="D341" i="3"/>
  <c r="E1040" i="3"/>
  <c r="E677" i="3"/>
  <c r="D973" i="3"/>
  <c r="E276" i="3"/>
  <c r="E546" i="3"/>
  <c r="E1045" i="3"/>
  <c r="D635" i="3"/>
  <c r="E782" i="3"/>
  <c r="E556" i="3"/>
  <c r="E937" i="3"/>
  <c r="D868" i="3"/>
  <c r="D322" i="3"/>
  <c r="E852" i="3"/>
  <c r="D472" i="3"/>
  <c r="D930" i="3"/>
  <c r="D518" i="3"/>
  <c r="E493" i="3"/>
  <c r="E104" i="3"/>
  <c r="E865" i="3"/>
  <c r="D571" i="3"/>
  <c r="E820" i="3"/>
  <c r="E814" i="3"/>
  <c r="E184" i="3"/>
  <c r="E432" i="3"/>
  <c r="E1011" i="3"/>
  <c r="D1002" i="3"/>
  <c r="D838" i="3"/>
  <c r="D389" i="3"/>
  <c r="E1086" i="3"/>
  <c r="D32" i="3"/>
  <c r="E725" i="3"/>
  <c r="E33" i="3"/>
  <c r="D349" i="3"/>
  <c r="E206" i="3"/>
  <c r="D662" i="3"/>
  <c r="D319" i="3"/>
  <c r="D614" i="3"/>
  <c r="D329" i="3"/>
  <c r="D767" i="3"/>
  <c r="D470" i="3"/>
  <c r="E437" i="3"/>
  <c r="D867" i="3"/>
  <c r="E150" i="3"/>
  <c r="E585" i="3"/>
  <c r="E1013" i="3"/>
  <c r="E647" i="3"/>
  <c r="E205" i="3"/>
  <c r="D892" i="3"/>
  <c r="E893" i="3"/>
  <c r="D599" i="3"/>
  <c r="D695" i="3"/>
  <c r="E594" i="3"/>
  <c r="D104" i="3"/>
  <c r="D452" i="3"/>
  <c r="E413" i="3"/>
  <c r="D124" i="3"/>
  <c r="D850" i="3"/>
  <c r="E436" i="3"/>
  <c r="E1047" i="3"/>
  <c r="D374" i="3"/>
  <c r="D598" i="3"/>
  <c r="D352" i="3"/>
  <c r="D1084" i="3"/>
  <c r="D371" i="3"/>
  <c r="D752" i="3"/>
  <c r="E130" i="3"/>
  <c r="E503" i="3"/>
  <c r="D497" i="3"/>
  <c r="D129" i="3"/>
  <c r="D409" i="3"/>
  <c r="E64" i="3"/>
  <c r="E535" i="3"/>
  <c r="E959" i="3"/>
  <c r="E1014" i="3"/>
  <c r="E796" i="3"/>
  <c r="D822" i="3"/>
  <c r="E665" i="3"/>
  <c r="D107" i="3"/>
  <c r="D1042" i="3"/>
  <c r="E608" i="3"/>
  <c r="E839" i="3"/>
  <c r="E25" i="3"/>
  <c r="E450" i="3"/>
  <c r="E724" i="3"/>
  <c r="E55" i="3"/>
  <c r="D300" i="3"/>
  <c r="E790" i="3"/>
  <c r="E1065" i="3"/>
  <c r="D23" i="3"/>
  <c r="D875" i="3"/>
  <c r="D81" i="3"/>
  <c r="E999" i="3"/>
  <c r="E676" i="3"/>
  <c r="D685" i="3"/>
  <c r="E837" i="3"/>
  <c r="E147" i="3"/>
  <c r="E529" i="3"/>
  <c r="D580" i="3"/>
  <c r="D819" i="3"/>
  <c r="E116" i="3"/>
  <c r="E497" i="3"/>
  <c r="E146" i="3"/>
  <c r="E403" i="3"/>
  <c r="D304" i="3"/>
  <c r="A304" i="6" s="1"/>
  <c r="E1037" i="3"/>
  <c r="E807" i="3"/>
  <c r="D356" i="3"/>
  <c r="D475" i="3"/>
  <c r="E636" i="3"/>
  <c r="D514" i="3"/>
  <c r="D771" i="3"/>
  <c r="E540" i="3"/>
  <c r="E921" i="3"/>
  <c r="E605" i="3"/>
  <c r="D611" i="3"/>
  <c r="D856" i="3"/>
  <c r="D552" i="3"/>
  <c r="D68" i="3"/>
  <c r="D262" i="3"/>
  <c r="E1090" i="3"/>
  <c r="E603" i="3"/>
  <c r="D461" i="3"/>
  <c r="E469" i="3"/>
  <c r="E145" i="3"/>
  <c r="E617" i="3"/>
  <c r="E283" i="3"/>
  <c r="D824" i="3"/>
  <c r="D579" i="3"/>
  <c r="A579" i="6" s="1"/>
  <c r="E573" i="3"/>
  <c r="D232" i="3"/>
  <c r="E889" i="3"/>
  <c r="E760" i="3"/>
  <c r="E748" i="3"/>
  <c r="D531" i="3"/>
  <c r="E129" i="3"/>
  <c r="D855" i="3"/>
  <c r="A855" i="6" s="1"/>
  <c r="D585" i="3"/>
  <c r="D249" i="3"/>
  <c r="E214" i="3"/>
  <c r="D813" i="3"/>
  <c r="E1070" i="3"/>
  <c r="E330" i="3"/>
  <c r="E908" i="3"/>
  <c r="D227" i="3"/>
  <c r="D505" i="3"/>
  <c r="D935" i="3"/>
  <c r="A935" i="6" s="1"/>
  <c r="D211" i="3"/>
  <c r="D1064" i="3"/>
  <c r="D355" i="3"/>
  <c r="D170" i="3"/>
  <c r="D778" i="3"/>
  <c r="D393" i="3"/>
  <c r="E105" i="3"/>
  <c r="D801" i="3"/>
  <c r="D180" i="3"/>
  <c r="E481" i="3"/>
  <c r="E528" i="3"/>
  <c r="D665" i="3"/>
  <c r="E1051" i="3"/>
  <c r="D274" i="3"/>
  <c r="A274" i="6" s="1"/>
  <c r="E408" i="3"/>
  <c r="E318" i="3"/>
  <c r="E95" i="3"/>
  <c r="E799" i="3"/>
  <c r="D630" i="3"/>
  <c r="E383" i="3"/>
  <c r="E329" i="3"/>
  <c r="E525" i="3"/>
  <c r="E121" i="3"/>
  <c r="D866" i="3"/>
  <c r="E452" i="3"/>
  <c r="E204" i="3"/>
  <c r="D967" i="3"/>
  <c r="E1057" i="3"/>
  <c r="D667" i="3"/>
  <c r="E35" i="3"/>
  <c r="D410" i="3"/>
  <c r="E783" i="3"/>
  <c r="D604" i="3"/>
  <c r="E718" i="3"/>
  <c r="D952" i="3"/>
  <c r="E233" i="3"/>
  <c r="D464" i="3"/>
  <c r="E313" i="3"/>
  <c r="D1044" i="3"/>
  <c r="D746" i="3"/>
  <c r="E537" i="3"/>
  <c r="E438" i="3"/>
  <c r="D99" i="3"/>
  <c r="E107" i="3"/>
  <c r="E520" i="3"/>
  <c r="E137" i="3"/>
  <c r="D946" i="3"/>
  <c r="E223" i="3"/>
  <c r="D192" i="3"/>
  <c r="D476" i="3"/>
  <c r="A476" i="6" s="1"/>
  <c r="D660" i="3"/>
  <c r="A660" i="6" s="1"/>
  <c r="D1074" i="3"/>
  <c r="D407" i="3"/>
  <c r="E886" i="3"/>
  <c r="E85" i="3"/>
  <c r="E531" i="3"/>
  <c r="E923" i="3"/>
  <c r="D309" i="3"/>
  <c r="E1008" i="3"/>
  <c r="E1064" i="3"/>
  <c r="D701" i="3"/>
  <c r="D358" i="3"/>
  <c r="A358" i="6" s="1"/>
  <c r="D1027" i="3"/>
  <c r="D313" i="3"/>
  <c r="E292" i="3"/>
  <c r="D751" i="3"/>
  <c r="D454" i="3"/>
  <c r="D52" i="3"/>
  <c r="D964" i="3"/>
  <c r="D733" i="3"/>
  <c r="A733" i="6" s="1"/>
  <c r="D326" i="3"/>
  <c r="D1085" i="3"/>
  <c r="D130" i="3"/>
  <c r="D487" i="3"/>
  <c r="E90" i="3"/>
  <c r="D640" i="3"/>
  <c r="A640" i="6" s="1"/>
  <c r="E435" i="3"/>
  <c r="E70" i="3"/>
  <c r="D559" i="3"/>
  <c r="A559" i="6" s="1"/>
  <c r="D510" i="3"/>
  <c r="D150" i="3"/>
  <c r="A150" i="6" s="1"/>
  <c r="D437" i="3"/>
  <c r="D534" i="3"/>
  <c r="D981" i="3"/>
  <c r="D970" i="3"/>
  <c r="E979" i="3"/>
  <c r="E533" i="3"/>
  <c r="D238" i="3"/>
  <c r="E511" i="3"/>
  <c r="E914" i="3"/>
  <c r="E545" i="3"/>
  <c r="E509" i="3"/>
  <c r="E76" i="3"/>
  <c r="D72" i="3"/>
  <c r="D484" i="3"/>
  <c r="D818" i="3"/>
  <c r="E278" i="3"/>
  <c r="E848" i="3"/>
  <c r="D1031" i="3"/>
  <c r="E379" i="3"/>
  <c r="D353" i="3"/>
  <c r="E753" i="3"/>
  <c r="D298" i="3"/>
  <c r="D1001" i="3"/>
  <c r="D287" i="3"/>
  <c r="D1032" i="3"/>
  <c r="D217" i="3"/>
  <c r="D723" i="3"/>
  <c r="E795" i="3"/>
  <c r="D772" i="3"/>
  <c r="E418" i="3"/>
  <c r="D388" i="3"/>
  <c r="E756" i="3"/>
  <c r="D236" i="3"/>
  <c r="E767" i="3"/>
  <c r="E155" i="3"/>
  <c r="E338" i="3"/>
  <c r="E479" i="3"/>
  <c r="D168" i="3"/>
  <c r="D432" i="3"/>
  <c r="A432" i="6" s="1"/>
  <c r="D995" i="3"/>
  <c r="E235" i="3"/>
  <c r="E591" i="3"/>
  <c r="D114" i="3"/>
  <c r="D471" i="3"/>
  <c r="E895" i="3"/>
  <c r="E950" i="3"/>
  <c r="E987" i="3"/>
  <c r="D373" i="3"/>
  <c r="E86" i="3"/>
  <c r="D122" i="3"/>
  <c r="D427" i="3"/>
  <c r="D884" i="3"/>
  <c r="D399" i="3"/>
  <c r="D799" i="3"/>
  <c r="D402" i="3"/>
  <c r="E345" i="3"/>
  <c r="D714" i="3"/>
  <c r="E400" i="3"/>
  <c r="E761" i="3"/>
  <c r="D1061" i="3"/>
  <c r="E474" i="3"/>
  <c r="D744" i="3"/>
  <c r="D909" i="3"/>
  <c r="A909" i="6" s="1"/>
  <c r="D237" i="3"/>
  <c r="E1092" i="3"/>
  <c r="E606" i="3"/>
  <c r="E873" i="3"/>
  <c r="D115" i="3"/>
  <c r="E234" i="3"/>
  <c r="E967" i="3"/>
  <c r="E158" i="3"/>
  <c r="D989" i="3"/>
  <c r="E562" i="3"/>
  <c r="D608" i="3"/>
  <c r="D251" i="3"/>
  <c r="E872" i="3"/>
  <c r="E378" i="3"/>
  <c r="E541" i="3"/>
  <c r="D200" i="3"/>
  <c r="A200" i="6" s="1"/>
  <c r="E857" i="3"/>
  <c r="D707" i="3"/>
  <c r="A707" i="6" s="1"/>
  <c r="D201" i="3"/>
  <c r="D1006" i="3"/>
  <c r="D139" i="3"/>
  <c r="E324" i="3"/>
  <c r="E823" i="3"/>
  <c r="D1012" i="3"/>
  <c r="E682" i="3"/>
  <c r="E402" i="3"/>
  <c r="E932" i="3"/>
  <c r="D523" i="3"/>
  <c r="A523" i="6" s="1"/>
  <c r="D213" i="3"/>
  <c r="E719" i="3"/>
  <c r="E399" i="3"/>
  <c r="D109" i="3"/>
  <c r="E869" i="3"/>
  <c r="E179" i="3"/>
  <c r="D612" i="3"/>
  <c r="E98" i="3"/>
  <c r="E672" i="3"/>
  <c r="D879" i="3"/>
  <c r="D60" i="3"/>
  <c r="E742" i="3"/>
  <c r="E1039" i="3"/>
  <c r="E555" i="3"/>
  <c r="E170" i="3"/>
  <c r="E320" i="3"/>
  <c r="E120" i="3"/>
  <c r="E685" i="3"/>
  <c r="E310" i="3"/>
  <c r="D1072" i="3"/>
  <c r="E752" i="3"/>
  <c r="D959" i="3"/>
  <c r="A959" i="6" s="1"/>
  <c r="E417" i="3"/>
  <c r="E758" i="3"/>
  <c r="D1086" i="3"/>
  <c r="A1086" i="6" s="1"/>
  <c r="D726" i="3"/>
  <c r="E344" i="3"/>
  <c r="D770" i="3"/>
  <c r="E72" i="3"/>
  <c r="D259" i="3"/>
  <c r="A259" i="6" s="1"/>
  <c r="E548" i="3"/>
  <c r="E498" i="3"/>
  <c r="D404" i="3"/>
  <c r="E772" i="3"/>
  <c r="E54" i="3"/>
  <c r="E81" i="3"/>
  <c r="D583" i="3"/>
  <c r="E877" i="3"/>
  <c r="D876" i="3"/>
  <c r="D190" i="3"/>
  <c r="E997" i="3"/>
  <c r="E569" i="3"/>
  <c r="D116" i="3"/>
  <c r="E800" i="3"/>
  <c r="D1007" i="3"/>
  <c r="D164" i="3"/>
  <c r="E465" i="3"/>
  <c r="D713" i="3"/>
  <c r="E1080" i="3"/>
  <c r="D21" i="3"/>
  <c r="D297" i="3"/>
  <c r="E240" i="3"/>
  <c r="E185" i="3"/>
  <c r="D994" i="3"/>
  <c r="D593" i="3"/>
  <c r="A593" i="6" s="1"/>
  <c r="E208" i="3"/>
  <c r="E1006" i="3"/>
  <c r="D953" i="3"/>
  <c r="D974" i="3"/>
  <c r="D854" i="3"/>
  <c r="E815" i="3"/>
  <c r="E1018" i="3"/>
  <c r="D795" i="3"/>
  <c r="A795" i="6" s="1"/>
  <c r="E448" i="3"/>
  <c r="D135" i="3"/>
  <c r="E830" i="3"/>
  <c r="D203" i="3"/>
  <c r="A203" i="6" s="1"/>
  <c r="E824" i="3"/>
  <c r="E232" i="3"/>
  <c r="E57" i="3"/>
  <c r="D708" i="3"/>
  <c r="E308" i="3"/>
  <c r="D31" i="3"/>
  <c r="A31" i="6" s="1"/>
  <c r="E692" i="3"/>
  <c r="E42" i="3"/>
  <c r="D197" i="3"/>
  <c r="E703" i="3"/>
  <c r="D383" i="3"/>
  <c r="A383" i="6" s="1"/>
  <c r="D188" i="3"/>
  <c r="D220" i="3"/>
  <c r="D206" i="3"/>
  <c r="E598" i="3"/>
  <c r="E415" i="3"/>
  <c r="D496" i="3"/>
  <c r="E1050" i="3"/>
  <c r="D194" i="3"/>
  <c r="D554" i="3"/>
  <c r="D784" i="3"/>
  <c r="E825" i="3"/>
  <c r="E167" i="3"/>
  <c r="E659" i="3"/>
  <c r="E981" i="3"/>
  <c r="E553" i="3"/>
  <c r="E243" i="3"/>
  <c r="D77" i="3"/>
  <c r="A77" i="6" s="1"/>
  <c r="E521" i="3"/>
  <c r="E106" i="3"/>
  <c r="E669" i="3"/>
  <c r="E294" i="3"/>
  <c r="E1085" i="3"/>
  <c r="D1090" i="3"/>
  <c r="E762" i="3"/>
  <c r="E323" i="3"/>
  <c r="E1012" i="3"/>
  <c r="E842" i="3"/>
  <c r="E819" i="3"/>
  <c r="D810" i="3"/>
  <c r="A810" i="6" s="1"/>
  <c r="D821" i="3"/>
  <c r="D317" i="3"/>
  <c r="E964" i="3"/>
  <c r="E1054" i="3"/>
  <c r="E287" i="3"/>
  <c r="E611" i="3"/>
  <c r="E952" i="3"/>
  <c r="E958" i="3"/>
  <c r="D905" i="3"/>
  <c r="E192" i="3"/>
  <c r="D589" i="3"/>
  <c r="D926" i="3"/>
  <c r="E194" i="3"/>
  <c r="E650" i="3"/>
  <c r="E286" i="3"/>
  <c r="D1041" i="3"/>
  <c r="E778" i="3"/>
  <c r="E333" i="3"/>
  <c r="E715" i="3"/>
  <c r="E655" i="3"/>
  <c r="D792" i="3"/>
  <c r="A792" i="6" s="1"/>
  <c r="E759" i="3"/>
  <c r="D791" i="3"/>
  <c r="E1020" i="3"/>
  <c r="E331" i="3"/>
  <c r="D305" i="3"/>
  <c r="E705" i="3"/>
  <c r="E375" i="3"/>
  <c r="E257" i="3"/>
  <c r="D993" i="3"/>
  <c r="D284" i="3"/>
  <c r="E63" i="3"/>
  <c r="E729" i="3"/>
  <c r="D886" i="3"/>
  <c r="E847" i="3"/>
  <c r="D805" i="3"/>
  <c r="D787" i="3"/>
  <c r="E826" i="3"/>
  <c r="E1048" i="3"/>
  <c r="D680" i="3"/>
  <c r="E165" i="3"/>
  <c r="D815" i="3"/>
  <c r="A815" i="6" s="1"/>
  <c r="D492" i="3"/>
  <c r="A492" i="6" s="1"/>
  <c r="D161" i="3"/>
  <c r="D947" i="3"/>
  <c r="E109" i="3"/>
  <c r="E965" i="3"/>
  <c r="E627" i="3"/>
  <c r="E151" i="3"/>
  <c r="D1083" i="3"/>
  <c r="A1083" i="6" s="1"/>
  <c r="D765" i="3"/>
  <c r="E443" i="3"/>
  <c r="E1067" i="3"/>
  <c r="E188" i="3"/>
  <c r="E582" i="3"/>
  <c r="D86" i="3"/>
  <c r="E993" i="3"/>
  <c r="D199" i="3"/>
  <c r="E942" i="3"/>
  <c r="D889" i="3"/>
  <c r="A889" i="6" s="1"/>
  <c r="D573" i="3"/>
  <c r="A573" i="6" s="1"/>
  <c r="D910" i="3"/>
  <c r="D283" i="3"/>
  <c r="A283" i="6" s="1"/>
  <c r="E634" i="3"/>
  <c r="E510" i="3"/>
  <c r="D105" i="3"/>
  <c r="A105" i="6" s="1"/>
  <c r="D478" i="3"/>
  <c r="D69" i="3"/>
  <c r="E171" i="3"/>
  <c r="E115" i="3"/>
  <c r="E962" i="3"/>
  <c r="D560" i="3"/>
  <c r="E526" i="3"/>
  <c r="E434" i="3"/>
  <c r="D324" i="3"/>
  <c r="A324" i="6" s="1"/>
  <c r="D47" i="3"/>
  <c r="E708" i="3"/>
  <c r="E475" i="3"/>
  <c r="D1047" i="3"/>
  <c r="A1047" i="6" s="1"/>
  <c r="D745" i="3"/>
  <c r="D53" i="3"/>
  <c r="E364" i="3"/>
  <c r="E793" i="3"/>
  <c r="E838" i="3"/>
  <c r="D110" i="3"/>
  <c r="D483" i="3"/>
  <c r="A483" i="6" s="1"/>
  <c r="E875" i="3"/>
  <c r="E334" i="3"/>
  <c r="E896" i="3"/>
  <c r="D1057" i="3"/>
  <c r="D302" i="3"/>
  <c r="E266" i="3"/>
  <c r="D664" i="3"/>
  <c r="D346" i="3"/>
  <c r="D893" i="3"/>
  <c r="A893" i="6" s="1"/>
  <c r="D221" i="3"/>
  <c r="E619" i="3"/>
  <c r="D257" i="3"/>
  <c r="E215" i="3"/>
  <c r="E301" i="3"/>
  <c r="E384" i="3"/>
  <c r="D431" i="3"/>
  <c r="E108" i="3"/>
  <c r="D1052" i="3"/>
  <c r="E626" i="3"/>
  <c r="D1048" i="3"/>
  <c r="D233" i="3"/>
  <c r="A233" i="6" s="1"/>
  <c r="D739" i="3"/>
  <c r="D533" i="3"/>
  <c r="A533" i="6" s="1"/>
  <c r="E853" i="3"/>
  <c r="E163" i="3"/>
  <c r="D596" i="3"/>
  <c r="D73" i="3"/>
  <c r="D519" i="3"/>
  <c r="E687" i="3"/>
  <c r="D367" i="3"/>
  <c r="E913" i="3"/>
  <c r="D619" i="3"/>
  <c r="D57" i="3"/>
  <c r="A57" i="6" s="1"/>
  <c r="E250" i="3"/>
  <c r="E222" i="3"/>
  <c r="D335" i="3"/>
  <c r="D1050" i="3"/>
  <c r="E527" i="3"/>
  <c r="D526" i="3"/>
  <c r="A526" i="6" s="1"/>
  <c r="E755" i="3"/>
  <c r="E743" i="3"/>
  <c r="E316" i="3"/>
  <c r="E38" i="3"/>
  <c r="E1059" i="3"/>
  <c r="D697" i="3"/>
  <c r="D94" i="3"/>
  <c r="E91" i="3"/>
  <c r="D649" i="3"/>
  <c r="D181" i="3"/>
  <c r="A181" i="6" s="1"/>
  <c r="E544" i="3"/>
  <c r="D340" i="3"/>
  <c r="A340" i="6" s="1"/>
  <c r="D30" i="3"/>
  <c r="E788" i="3"/>
  <c r="D507" i="3"/>
  <c r="E349" i="3"/>
  <c r="D79" i="3"/>
  <c r="D740" i="3"/>
  <c r="E381" i="3"/>
  <c r="D56" i="3"/>
  <c r="D657" i="3"/>
  <c r="E1029" i="3"/>
  <c r="D364" i="3"/>
  <c r="A364" i="6" s="1"/>
  <c r="D1059" i="3"/>
  <c r="E684" i="3"/>
  <c r="D939" i="3"/>
  <c r="A939" i="6" s="1"/>
  <c r="D896" i="3"/>
  <c r="E667" i="3"/>
  <c r="E770" i="3"/>
  <c r="E1055" i="3"/>
  <c r="E410" i="3"/>
  <c r="E711" i="3"/>
  <c r="E567" i="3"/>
  <c r="E20" i="3"/>
  <c r="E730" i="3"/>
  <c r="E355" i="3"/>
  <c r="E1044" i="3"/>
  <c r="D624" i="3"/>
  <c r="E564" i="3"/>
  <c r="E154" i="3"/>
  <c r="D861" i="3"/>
  <c r="E190" i="3"/>
  <c r="D530" i="3"/>
  <c r="E1049" i="3"/>
  <c r="E268" i="3"/>
  <c r="E558" i="3"/>
  <c r="D1034" i="3"/>
  <c r="E584" i="3"/>
  <c r="E917" i="3"/>
  <c r="D228" i="3"/>
  <c r="E280" i="3"/>
  <c r="D735" i="3"/>
  <c r="D502" i="3"/>
  <c r="D576" i="3"/>
  <c r="D565" i="3"/>
  <c r="D550" i="3"/>
  <c r="D289" i="3"/>
  <c r="D703" i="3"/>
  <c r="D401" i="3"/>
  <c r="E177" i="3"/>
  <c r="E501" i="3"/>
  <c r="D931" i="3"/>
  <c r="A931" i="6" s="1"/>
  <c r="D145" i="3"/>
  <c r="D793" i="3"/>
  <c r="E694" i="3"/>
  <c r="E1075" i="3"/>
  <c r="D264" i="3"/>
  <c r="A264" i="6" s="1"/>
  <c r="D661" i="3"/>
  <c r="D741" i="3"/>
  <c r="A741" i="6" s="1"/>
  <c r="D67" i="3"/>
  <c r="D266" i="3"/>
  <c r="A266" i="6" s="1"/>
  <c r="D706" i="3"/>
  <c r="D594" i="3"/>
  <c r="E30" i="3"/>
  <c r="D498" i="3"/>
  <c r="E29" i="3"/>
  <c r="E657" i="3"/>
  <c r="E565" i="3"/>
  <c r="D172" i="3"/>
  <c r="A172" i="6" s="1"/>
  <c r="D466" i="3"/>
  <c r="A466" i="6" s="1"/>
  <c r="E356" i="3"/>
  <c r="E774" i="3"/>
  <c r="D742" i="3"/>
  <c r="E797" i="3"/>
  <c r="D54" i="3"/>
  <c r="A54" i="6" s="1"/>
  <c r="D1030" i="3"/>
  <c r="D547" i="3"/>
  <c r="D100" i="3"/>
  <c r="E801" i="3"/>
  <c r="D157" i="3"/>
  <c r="E1062" i="3"/>
  <c r="D628" i="3"/>
  <c r="D444" i="3"/>
  <c r="E182" i="3"/>
  <c r="D899" i="3"/>
  <c r="D138" i="3"/>
  <c r="A138" i="6" s="1"/>
  <c r="D361" i="3"/>
  <c r="E262" i="3"/>
  <c r="D1069" i="3"/>
  <c r="D191" i="3"/>
  <c r="D897" i="3"/>
  <c r="E26" i="3"/>
  <c r="D656" i="3"/>
  <c r="D234" i="3"/>
  <c r="A234" i="6" s="1"/>
  <c r="D246" i="3"/>
  <c r="E812" i="3"/>
  <c r="D542" i="3"/>
  <c r="E645" i="3"/>
  <c r="E984" i="3"/>
  <c r="E168" i="3"/>
  <c r="E416" i="3"/>
  <c r="E995" i="3"/>
  <c r="D986" i="3"/>
  <c r="D997" i="3"/>
  <c r="D553" i="3"/>
  <c r="A553" i="6" s="1"/>
  <c r="E430" i="3"/>
  <c r="E236" i="3"/>
  <c r="D477" i="3"/>
  <c r="D999" i="3"/>
  <c r="E322" i="3"/>
  <c r="D254" i="3"/>
  <c r="E463" i="3"/>
  <c r="D836" i="3"/>
  <c r="E662" i="3"/>
  <c r="E351" i="3"/>
  <c r="E263" i="3"/>
  <c r="E878" i="3"/>
  <c r="D825" i="3"/>
  <c r="D183" i="3"/>
  <c r="E496" i="3"/>
  <c r="D846" i="3"/>
  <c r="E570" i="3"/>
  <c r="E446" i="3"/>
  <c r="D64" i="3"/>
  <c r="A64" i="6" s="1"/>
  <c r="D414" i="3"/>
  <c r="E596" i="3"/>
  <c r="D178" i="3"/>
  <c r="D458" i="3"/>
  <c r="D38" i="3"/>
  <c r="D332" i="3"/>
  <c r="E457" i="3"/>
  <c r="E951" i="3"/>
  <c r="E639" i="3"/>
  <c r="E371" i="3"/>
  <c r="E1060" i="3"/>
  <c r="E317" i="3"/>
  <c r="D403" i="3"/>
  <c r="A403" i="6" s="1"/>
  <c r="E661" i="3"/>
  <c r="E976" i="3"/>
  <c r="D382" i="3"/>
  <c r="D782" i="3"/>
  <c r="D1049" i="3"/>
  <c r="A1049" i="6" s="1"/>
  <c r="E295" i="3"/>
  <c r="E926" i="3"/>
  <c r="D873" i="3"/>
  <c r="D557" i="3"/>
  <c r="D894" i="3"/>
  <c r="D267" i="3"/>
  <c r="E618" i="3"/>
  <c r="D453" i="3"/>
  <c r="E897" i="3"/>
  <c r="D603" i="3"/>
  <c r="A603" i="6" s="1"/>
  <c r="D457" i="3"/>
  <c r="A457" i="6" s="1"/>
  <c r="D495" i="3"/>
  <c r="E61" i="3"/>
  <c r="D823" i="3"/>
  <c r="E866" i="3"/>
  <c r="E445" i="3"/>
  <c r="D62" i="3"/>
  <c r="E643" i="3"/>
  <c r="D848" i="3"/>
  <c r="E1031" i="3"/>
  <c r="D363" i="3"/>
  <c r="D827" i="3"/>
  <c r="E141" i="3"/>
  <c r="D98" i="3"/>
  <c r="A98" i="6" s="1"/>
  <c r="D911" i="3"/>
  <c r="E704" i="3"/>
  <c r="E549" i="3"/>
  <c r="D506" i="3"/>
  <c r="D462" i="3"/>
  <c r="D27" i="3"/>
  <c r="D996" i="3"/>
  <c r="E666" i="3"/>
  <c r="E980" i="3"/>
  <c r="D218" i="3"/>
  <c r="D176" i="3"/>
  <c r="D549" i="3"/>
  <c r="D149" i="3"/>
  <c r="E576" i="3"/>
  <c r="D581" i="3"/>
  <c r="A581" i="6" s="1"/>
  <c r="D153" i="3"/>
  <c r="D925" i="3"/>
  <c r="D253" i="3"/>
  <c r="E622" i="3"/>
  <c r="D546" i="3"/>
  <c r="A546" i="6" s="1"/>
  <c r="E924" i="3"/>
  <c r="E346" i="3"/>
  <c r="E1094" i="3"/>
  <c r="E974" i="3"/>
  <c r="D921" i="3"/>
  <c r="A921" i="6" s="1"/>
  <c r="D384" i="3"/>
  <c r="A384" i="6" s="1"/>
  <c r="E368" i="3"/>
  <c r="E406" i="3"/>
  <c r="D820" i="3"/>
  <c r="A820" i="6" s="1"/>
  <c r="D646" i="3"/>
  <c r="E335" i="3"/>
  <c r="D247" i="3"/>
  <c r="A247" i="6" s="1"/>
  <c r="E284" i="3"/>
  <c r="D977" i="3"/>
  <c r="A977" i="6" s="1"/>
  <c r="E225" i="3"/>
  <c r="E191" i="3"/>
  <c r="E905" i="3"/>
  <c r="D248" i="3"/>
  <c r="E589" i="3"/>
  <c r="D595" i="3"/>
  <c r="D840" i="3"/>
  <c r="D536" i="3"/>
  <c r="D370" i="3"/>
  <c r="D342" i="3"/>
  <c r="A342" i="6" s="1"/>
  <c r="D699" i="3"/>
  <c r="E305" i="3"/>
  <c r="E664" i="3"/>
  <c r="D1088" i="3"/>
  <c r="D626" i="3"/>
  <c r="E791" i="3"/>
  <c r="D315" i="3"/>
  <c r="E674" i="3"/>
  <c r="E1035" i="3"/>
  <c r="E638" i="3"/>
  <c r="D750" i="3"/>
  <c r="E592" i="3"/>
  <c r="E303" i="3"/>
  <c r="E279" i="3"/>
  <c r="D1018" i="3"/>
  <c r="D75" i="3"/>
  <c r="E506" i="3"/>
  <c r="D764" i="3"/>
  <c r="E779" i="3"/>
  <c r="E451" i="3"/>
  <c r="D22" i="3"/>
  <c r="D316" i="3"/>
  <c r="D631" i="3"/>
  <c r="E1081" i="3"/>
  <c r="D39" i="3"/>
  <c r="D891" i="3"/>
  <c r="D155" i="3"/>
  <c r="D500" i="3"/>
  <c r="A500" i="6" s="1"/>
  <c r="D898" i="3"/>
  <c r="D561" i="3"/>
  <c r="D405" i="3"/>
  <c r="E818" i="3"/>
  <c r="D880" i="3"/>
  <c r="D859" i="3"/>
  <c r="D392" i="3"/>
  <c r="E48" i="3"/>
  <c r="D1033" i="3"/>
  <c r="E39" i="3"/>
  <c r="E249" i="3"/>
  <c r="D968" i="3"/>
  <c r="E734" i="3"/>
  <c r="E722" i="3"/>
  <c r="E390" i="3"/>
  <c r="E93" i="3"/>
  <c r="D51" i="3"/>
  <c r="D760" i="3"/>
  <c r="A760" i="6" s="1"/>
  <c r="D748" i="3"/>
  <c r="A748" i="6" s="1"/>
  <c r="E490" i="3"/>
  <c r="E1079" i="3"/>
  <c r="D806" i="3"/>
  <c r="E780" i="3"/>
  <c r="E998" i="3"/>
  <c r="E943" i="3"/>
  <c r="E519" i="3"/>
  <c r="E254" i="3"/>
  <c r="E751" i="3"/>
  <c r="E229" i="3"/>
  <c r="E560" i="3"/>
  <c r="D137" i="3"/>
  <c r="E27" i="3"/>
  <c r="E930" i="3"/>
  <c r="E561" i="3"/>
  <c r="D525" i="3"/>
  <c r="E92" i="3"/>
  <c r="E1005" i="3"/>
  <c r="D1004" i="3"/>
  <c r="D299" i="3"/>
  <c r="D769" i="3"/>
  <c r="D734" i="3"/>
  <c r="A734" i="6" s="1"/>
  <c r="E207" i="3"/>
  <c r="E248" i="3"/>
  <c r="D632" i="3"/>
  <c r="E840" i="3"/>
  <c r="D219" i="3"/>
  <c r="E938" i="3"/>
  <c r="E140" i="3"/>
  <c r="E887" i="3"/>
  <c r="D463" i="3"/>
  <c r="A463" i="6" s="1"/>
  <c r="E746" i="3"/>
  <c r="E307" i="3"/>
  <c r="E996" i="3"/>
  <c r="E473" i="3"/>
  <c r="E272" i="3"/>
  <c r="D637" i="3"/>
  <c r="E197" i="3"/>
  <c r="D485" i="3"/>
  <c r="A485" i="6" s="1"/>
  <c r="D607" i="3"/>
  <c r="E805" i="3"/>
  <c r="D1095" i="3"/>
  <c r="E407" i="3"/>
  <c r="E53" i="3"/>
  <c r="D128" i="3"/>
  <c r="D515" i="3"/>
  <c r="A515" i="6" s="1"/>
  <c r="E732" i="3"/>
  <c r="D987" i="3"/>
  <c r="E87" i="3"/>
  <c r="E678" i="3"/>
  <c r="D1008" i="3"/>
  <c r="A1008" i="6" s="1"/>
  <c r="E440" i="3"/>
  <c r="E386" i="3"/>
  <c r="D687" i="3"/>
  <c r="D669" i="3"/>
  <c r="A669" i="6" s="1"/>
  <c r="D381" i="3"/>
  <c r="A381" i="6" s="1"/>
  <c r="D40" i="3"/>
  <c r="A40" i="6" s="1"/>
  <c r="D681" i="3"/>
  <c r="E1019" i="3"/>
  <c r="E22" i="3"/>
  <c r="E300" i="3"/>
  <c r="D288" i="3"/>
  <c r="E727" i="3"/>
  <c r="D230" i="3"/>
  <c r="D652" i="3"/>
  <c r="D789" i="3"/>
  <c r="D783" i="3"/>
  <c r="A783" i="6" s="1"/>
  <c r="E968" i="3"/>
  <c r="E846" i="3"/>
  <c r="E781" i="3"/>
  <c r="D151" i="3"/>
  <c r="A151" i="6" s="1"/>
  <c r="D160" i="3"/>
  <c r="E1042" i="3"/>
  <c r="D92" i="3"/>
  <c r="E850" i="3"/>
  <c r="E122" i="3"/>
  <c r="D420" i="3"/>
  <c r="A420" i="6" s="1"/>
  <c r="E125" i="3"/>
  <c r="D1010" i="3"/>
  <c r="D609" i="3"/>
  <c r="E472" i="3"/>
  <c r="E599" i="3"/>
  <c r="E876" i="3"/>
  <c r="D755" i="3"/>
  <c r="A755" i="6" s="1"/>
  <c r="E642" i="3"/>
  <c r="D394" i="3"/>
  <c r="D44" i="3"/>
  <c r="A44" i="6" s="1"/>
  <c r="D712" i="3"/>
  <c r="D350" i="3"/>
  <c r="D1039" i="3"/>
  <c r="A1039" i="6" s="1"/>
  <c r="D45" i="3"/>
  <c r="A45" i="6" s="1"/>
  <c r="D479" i="3"/>
  <c r="D83" i="3"/>
  <c r="D377" i="3"/>
  <c r="E1063" i="3"/>
  <c r="E227" i="3"/>
  <c r="E698" i="3"/>
  <c r="E948" i="3"/>
  <c r="E906" i="3"/>
  <c r="E131" i="3"/>
  <c r="E883" i="3"/>
  <c r="D874" i="3"/>
  <c r="D885" i="3"/>
  <c r="E164" i="3"/>
  <c r="E428" i="3"/>
  <c r="D966" i="3"/>
  <c r="E745" i="3"/>
  <c r="D1029" i="3"/>
  <c r="E37" i="3"/>
  <c r="E458" i="3"/>
  <c r="D716" i="3"/>
  <c r="E110" i="3"/>
  <c r="E1021" i="3"/>
  <c r="D165" i="3"/>
  <c r="D945" i="3"/>
  <c r="E803" i="3"/>
  <c r="D413" i="3"/>
  <c r="A413" i="6" s="1"/>
  <c r="D951" i="3"/>
  <c r="D113" i="3"/>
  <c r="A113" i="6" s="1"/>
  <c r="D976" i="3"/>
  <c r="A976" i="6" s="1"/>
  <c r="E747" i="3"/>
  <c r="D693" i="3"/>
  <c r="D653" i="3"/>
  <c r="E583" i="3"/>
  <c r="E860" i="3"/>
  <c r="E270" i="3"/>
  <c r="D590" i="3"/>
  <c r="E1032" i="3"/>
  <c r="E910" i="3"/>
  <c r="D857" i="3"/>
  <c r="A857" i="6" s="1"/>
  <c r="D117" i="3"/>
  <c r="E370" i="3"/>
  <c r="D42" i="3"/>
  <c r="D511" i="3"/>
  <c r="A511" i="6" s="1"/>
  <c r="E903" i="3"/>
  <c r="E404" i="3"/>
  <c r="E1058" i="3"/>
  <c r="E789" i="3"/>
  <c r="E198" i="3"/>
  <c r="D1013" i="3"/>
  <c r="A1013" i="6" s="1"/>
  <c r="D569" i="3"/>
  <c r="A569" i="6" s="1"/>
  <c r="D736" i="3"/>
  <c r="E114" i="3"/>
  <c r="E487" i="3"/>
  <c r="D481" i="3"/>
  <c r="A481" i="6" s="1"/>
  <c r="E128" i="3"/>
  <c r="E23" i="3"/>
  <c r="E389" i="3"/>
  <c r="E377" i="3"/>
  <c r="E1041" i="3"/>
  <c r="D948" i="3"/>
  <c r="D338" i="3"/>
  <c r="A338" i="6" s="1"/>
  <c r="E868" i="3"/>
  <c r="D336" i="3"/>
  <c r="D307" i="3"/>
  <c r="A307" i="6" s="1"/>
  <c r="E462" i="3"/>
  <c r="E787" i="3"/>
  <c r="E84" i="3"/>
  <c r="D430" i="3"/>
  <c r="A430" i="6" s="1"/>
  <c r="E160" i="3"/>
  <c r="E827" i="3"/>
  <c r="D435" i="3"/>
  <c r="A435" i="6" s="1"/>
  <c r="E123" i="3"/>
  <c r="E991" i="3"/>
  <c r="E373" i="3"/>
  <c r="E1033" i="3"/>
  <c r="D700" i="3"/>
  <c r="E442" i="3"/>
  <c r="E21" i="3"/>
  <c r="E961" i="3"/>
  <c r="E319" i="3"/>
  <c r="D231" i="3"/>
  <c r="D429" i="3"/>
  <c r="D803" i="3"/>
  <c r="E422" i="3"/>
  <c r="D195" i="3"/>
  <c r="D537" i="3"/>
  <c r="A537" i="6" s="1"/>
  <c r="E454" i="3"/>
  <c r="D90" i="3"/>
  <c r="A90" i="6" s="1"/>
  <c r="D903" i="3"/>
  <c r="D731" i="3"/>
  <c r="E1093" i="3"/>
  <c r="D34" i="3"/>
  <c r="E337" i="3"/>
  <c r="E696" i="3"/>
  <c r="D567" i="3"/>
  <c r="A567" i="6" s="1"/>
  <c r="E861" i="3"/>
  <c r="D860" i="3"/>
  <c r="E635" i="3"/>
  <c r="D1016" i="3"/>
  <c r="D268" i="3"/>
  <c r="E723" i="3"/>
  <c r="D140" i="3"/>
  <c r="A140" i="6" s="1"/>
  <c r="E507" i="3"/>
  <c r="D260" i="3"/>
  <c r="D1058" i="3"/>
  <c r="E624" i="3"/>
  <c r="D187" i="3"/>
  <c r="E994" i="3"/>
  <c r="D520" i="3"/>
  <c r="A520" i="6" s="1"/>
  <c r="E488" i="3"/>
  <c r="D142" i="3"/>
  <c r="E941" i="3"/>
  <c r="D940" i="3"/>
  <c r="E253" i="3"/>
  <c r="D705" i="3"/>
  <c r="D1094" i="3"/>
  <c r="D359" i="3"/>
  <c r="D670" i="3"/>
  <c r="A670" i="6" s="1"/>
  <c r="D242" i="3"/>
  <c r="D602" i="3"/>
  <c r="E228" i="3"/>
  <c r="E874" i="3"/>
  <c r="E717" i="3"/>
  <c r="E111" i="3"/>
  <c r="E273" i="3"/>
  <c r="D240" i="3"/>
  <c r="A240" i="6" s="1"/>
  <c r="E637" i="3"/>
  <c r="D261" i="3"/>
  <c r="A261" i="6" s="1"/>
  <c r="E688" i="3"/>
  <c r="D895" i="3"/>
  <c r="A895" i="6" s="1"/>
  <c r="D82" i="3"/>
  <c r="D344" i="3"/>
  <c r="D811" i="3"/>
  <c r="D35" i="3"/>
  <c r="A35" i="6" s="1"/>
  <c r="E989" i="3"/>
  <c r="D988" i="3"/>
  <c r="A988" i="6" s="1"/>
  <c r="D276" i="3"/>
  <c r="D753" i="3"/>
  <c r="A753" i="6" s="1"/>
  <c r="D718" i="3"/>
  <c r="E255" i="3"/>
  <c r="E68" i="3"/>
  <c r="E58" i="3"/>
  <c r="D76" i="3"/>
  <c r="A76" i="6" s="1"/>
  <c r="E834" i="3"/>
  <c r="D491" i="3"/>
  <c r="E1084" i="3"/>
  <c r="D717" i="3"/>
  <c r="A717" i="6" s="1"/>
  <c r="D310" i="3"/>
  <c r="E397" i="3"/>
  <c r="E47" i="3"/>
  <c r="D459" i="3"/>
  <c r="E697" i="3"/>
  <c r="D1019" i="3"/>
  <c r="D306" i="3"/>
  <c r="E139" i="3"/>
  <c r="E311" i="3"/>
  <c r="D1073" i="3"/>
  <c r="D798" i="3"/>
  <c r="D786" i="3"/>
  <c r="D1021" i="3"/>
  <c r="A1021" i="6" s="1"/>
  <c r="E992" i="3"/>
  <c r="D293" i="3"/>
  <c r="A293" i="6" s="1"/>
  <c r="E392" i="3"/>
  <c r="D774" i="3"/>
  <c r="A774" i="6" s="1"/>
  <c r="E220" i="3"/>
  <c r="D209" i="3"/>
  <c r="A209" i="6" s="1"/>
  <c r="D175" i="3"/>
  <c r="D881" i="3"/>
  <c r="E193" i="3"/>
  <c r="D224" i="3"/>
  <c r="D521" i="3"/>
  <c r="D74" i="3"/>
  <c r="D887" i="3"/>
  <c r="A887" i="6" s="1"/>
  <c r="E710" i="3"/>
  <c r="E1091" i="3"/>
  <c r="D678" i="3"/>
  <c r="D757" i="3"/>
  <c r="E296" i="3"/>
  <c r="D722" i="3"/>
  <c r="D285" i="3"/>
  <c r="E341" i="3"/>
  <c r="D328" i="3"/>
  <c r="D785" i="3"/>
  <c r="D642" i="3"/>
  <c r="A642" i="6" s="1"/>
  <c r="D816" i="3"/>
  <c r="D111" i="3"/>
  <c r="E306" i="3"/>
  <c r="D671" i="3"/>
  <c r="D438" i="3"/>
  <c r="E978" i="3"/>
  <c r="E609" i="3"/>
  <c r="D118" i="3"/>
  <c r="D882" i="3"/>
  <c r="D863" i="3"/>
  <c r="E990" i="3"/>
  <c r="D937" i="3"/>
  <c r="A937" i="6" s="1"/>
  <c r="D621" i="3"/>
  <c r="D958" i="3"/>
  <c r="E226" i="3"/>
  <c r="E648" i="3"/>
  <c r="D659" i="3"/>
  <c r="A659" i="6" s="1"/>
  <c r="D517" i="3"/>
  <c r="E195" i="3"/>
  <c r="D294" i="3"/>
  <c r="E571" i="3"/>
  <c r="D273" i="3"/>
  <c r="D900" i="3"/>
  <c r="A900" i="6" s="1"/>
  <c r="D286" i="3"/>
  <c r="A286" i="6" s="1"/>
  <c r="E387" i="3"/>
  <c r="D1063" i="3"/>
  <c r="A1063" i="6" s="1"/>
  <c r="D800" i="3"/>
  <c r="D84" i="3"/>
  <c r="E975" i="3"/>
  <c r="D419" i="3"/>
  <c r="A419" i="6" s="1"/>
  <c r="E811" i="3"/>
  <c r="E832" i="3"/>
  <c r="E363" i="3"/>
  <c r="D337" i="3"/>
  <c r="E737" i="3"/>
  <c r="D1045" i="3"/>
  <c r="A1045" i="6" s="1"/>
  <c r="D270" i="3"/>
  <c r="A270" i="6" s="1"/>
  <c r="D829" i="3"/>
  <c r="E230" i="3"/>
  <c r="D97" i="3"/>
  <c r="E1015" i="3"/>
  <c r="E486" i="3"/>
  <c r="E46" i="3"/>
  <c r="D450" i="3"/>
  <c r="A450" i="6" s="1"/>
  <c r="D171" i="3"/>
  <c r="D539" i="3"/>
  <c r="E470" i="3"/>
  <c r="E62" i="3"/>
  <c r="E983" i="3"/>
  <c r="E350" i="3"/>
  <c r="E912" i="3"/>
  <c r="D1077" i="3"/>
  <c r="A1077" i="6" s="1"/>
  <c r="D318" i="3"/>
  <c r="D396" i="3"/>
  <c r="A396" i="6" s="1"/>
  <c r="D588" i="3"/>
  <c r="E702" i="3"/>
  <c r="D936" i="3"/>
  <c r="E217" i="3"/>
  <c r="E216" i="3"/>
  <c r="E808" i="3"/>
  <c r="D186" i="3"/>
  <c r="E43" i="3"/>
  <c r="E238" i="3"/>
  <c r="E671" i="3"/>
  <c r="D387" i="3"/>
  <c r="A387" i="6" s="1"/>
  <c r="E291" i="3"/>
  <c r="E590" i="3"/>
  <c r="E604" i="3"/>
  <c r="D1038" i="3"/>
  <c r="E985" i="3"/>
  <c r="D572" i="3"/>
  <c r="E686" i="3"/>
  <c r="D920" i="3"/>
  <c r="E201" i="3"/>
  <c r="D616" i="3"/>
  <c r="E945" i="3"/>
  <c r="E241" i="3"/>
  <c r="D208" i="3"/>
  <c r="A208" i="6" s="1"/>
  <c r="E102" i="3"/>
  <c r="E720" i="3"/>
  <c r="D927" i="3"/>
  <c r="E157" i="3"/>
  <c r="D831" i="3"/>
  <c r="D761" i="3"/>
  <c r="A761" i="6" s="1"/>
  <c r="D1079" i="3"/>
  <c r="A1079" i="6" s="1"/>
  <c r="E380" i="3"/>
  <c r="E854" i="3"/>
  <c r="D126" i="3"/>
  <c r="A126" i="6" s="1"/>
  <c r="D499" i="3"/>
  <c r="E891" i="3"/>
  <c r="D58" i="3"/>
  <c r="E491" i="3"/>
  <c r="D290" i="3"/>
  <c r="E56" i="3"/>
  <c r="E701" i="3"/>
  <c r="D645" i="3"/>
  <c r="A645" i="6" s="1"/>
  <c r="D343" i="3"/>
  <c r="D1070" i="3"/>
  <c r="A1070" i="6" s="1"/>
  <c r="D689" i="3"/>
  <c r="E237" i="3"/>
  <c r="D924" i="3"/>
  <c r="A924" i="6" s="1"/>
  <c r="E925" i="3"/>
  <c r="D103" i="3"/>
  <c r="D1003" i="3"/>
  <c r="D412" i="3"/>
  <c r="E568" i="3"/>
  <c r="E901" i="3"/>
  <c r="D212" i="3"/>
  <c r="E453" i="3"/>
  <c r="D883" i="3"/>
  <c r="A883" i="6" s="1"/>
  <c r="E166" i="3"/>
  <c r="D428" i="3"/>
  <c r="A428" i="6" s="1"/>
  <c r="E1046" i="3"/>
  <c r="D141" i="3"/>
  <c r="E361" i="3"/>
  <c r="E1072" i="3"/>
  <c r="D282" i="3"/>
  <c r="D541" i="3"/>
  <c r="D737" i="3"/>
  <c r="A737" i="6" s="1"/>
  <c r="D391" i="3"/>
  <c r="D702" i="3"/>
  <c r="E551" i="3"/>
  <c r="E828" i="3"/>
  <c r="D558" i="3"/>
  <c r="A558" i="6" s="1"/>
  <c r="E1000" i="3"/>
  <c r="D193" i="3"/>
  <c r="D929" i="3"/>
  <c r="E735" i="3"/>
  <c r="E213" i="3"/>
  <c r="E297" i="3"/>
  <c r="E1007" i="3"/>
  <c r="E831" i="3"/>
  <c r="D870" i="3"/>
  <c r="A870" i="6" s="1"/>
  <c r="D704" i="3"/>
  <c r="A704" i="6" s="1"/>
  <c r="E455" i="3"/>
  <c r="D449" i="3"/>
  <c r="E96" i="3"/>
  <c r="E499" i="3"/>
  <c r="D156" i="3"/>
  <c r="D106" i="3"/>
  <c r="E817" i="3"/>
  <c r="E550" i="3"/>
  <c r="E516" i="3"/>
  <c r="D269" i="3"/>
  <c r="E775" i="3"/>
  <c r="E785" i="3"/>
  <c r="D677" i="3"/>
  <c r="E731" i="3"/>
  <c r="E1043" i="3"/>
  <c r="D960" i="3"/>
  <c r="A960" i="6" s="1"/>
  <c r="D123" i="3"/>
  <c r="E1030" i="3"/>
  <c r="D618" i="3"/>
  <c r="A618" i="6" s="1"/>
  <c r="E258" i="3"/>
  <c r="D226" i="3"/>
  <c r="A226" i="6" s="1"/>
  <c r="D586" i="3"/>
  <c r="E212" i="3"/>
  <c r="E986" i="3"/>
  <c r="E136" i="3"/>
  <c r="E517" i="3"/>
  <c r="E963" i="3"/>
  <c r="D954" i="3"/>
  <c r="A954" i="6" s="1"/>
  <c r="D965" i="3"/>
  <c r="D179" i="3"/>
  <c r="A179" i="6" s="1"/>
  <c r="E508" i="3"/>
  <c r="D345" i="3"/>
  <c r="E621" i="3"/>
  <c r="E514" i="3"/>
  <c r="D872" i="3"/>
  <c r="A872" i="6" s="1"/>
  <c r="D568" i="3"/>
  <c r="A568" i="6" s="1"/>
  <c r="D512" i="3"/>
  <c r="D781" i="3"/>
  <c r="D210" i="3"/>
  <c r="E536" i="3"/>
  <c r="D570" i="3"/>
  <c r="E196" i="3"/>
  <c r="D225" i="3"/>
  <c r="A225" i="6" s="1"/>
  <c r="D229" i="3"/>
  <c r="E352" i="3"/>
  <c r="D372" i="3"/>
  <c r="A372" i="6" s="1"/>
  <c r="E332" i="3"/>
  <c r="D780" i="3"/>
  <c r="E806" i="3"/>
  <c r="D451" i="3"/>
  <c r="A451" i="6" s="1"/>
  <c r="E843" i="3"/>
  <c r="D357" i="3"/>
  <c r="E1056" i="3"/>
  <c r="D1066" i="3"/>
  <c r="E693" i="3"/>
  <c r="D93" i="3"/>
  <c r="A93" i="6" s="1"/>
  <c r="E1010" i="3"/>
  <c r="D544" i="3"/>
  <c r="E97" i="3"/>
  <c r="E382" i="3"/>
  <c r="E859" i="3"/>
  <c r="D467" i="3"/>
  <c r="E822" i="3"/>
  <c r="D796" i="3"/>
  <c r="A796" i="6" s="1"/>
  <c r="E348" i="3"/>
  <c r="D37" i="3"/>
  <c r="A37" i="6" s="1"/>
  <c r="D729" i="3"/>
  <c r="E244" i="3"/>
  <c r="D606" i="3"/>
  <c r="A606" i="6" s="1"/>
  <c r="E298" i="3"/>
  <c r="E468" i="3"/>
  <c r="E359" i="3"/>
  <c r="D658" i="3"/>
  <c r="D832" i="3"/>
  <c r="A832" i="6" s="1"/>
  <c r="D347" i="3"/>
  <c r="E706" i="3"/>
  <c r="D214" i="3"/>
  <c r="A214" i="6" s="1"/>
  <c r="D636" i="3"/>
  <c r="A636" i="6" s="1"/>
  <c r="D1009" i="3"/>
  <c r="E646" i="3"/>
  <c r="D303" i="3"/>
  <c r="A303" i="6" s="1"/>
  <c r="E518" i="3"/>
  <c r="D1015" i="3"/>
  <c r="A1015" i="6" s="1"/>
  <c r="D291" i="3"/>
  <c r="A291" i="6" s="1"/>
  <c r="E144" i="3"/>
  <c r="D592" i="3"/>
  <c r="A592" i="6" s="1"/>
  <c r="E289" i="3"/>
  <c r="D256" i="3"/>
  <c r="A256" i="6" s="1"/>
  <c r="E841" i="3"/>
  <c r="E183" i="3"/>
  <c r="E522" i="3"/>
  <c r="D543" i="3"/>
  <c r="A543" i="6" s="1"/>
  <c r="E189" i="3"/>
  <c r="D1080" i="3"/>
  <c r="D348" i="3"/>
  <c r="A348" i="6" s="1"/>
  <c r="D101" i="3"/>
  <c r="A101" i="6" s="1"/>
  <c r="E668" i="3"/>
  <c r="D923" i="3"/>
  <c r="A923" i="6" s="1"/>
  <c r="D944" i="3"/>
  <c r="E1017" i="3"/>
  <c r="E625" i="3"/>
  <c r="D333" i="3"/>
  <c r="E24" i="3"/>
  <c r="D88" i="3"/>
  <c r="A88" i="6" s="1"/>
  <c r="E1069" i="3"/>
  <c r="D762" i="3"/>
  <c r="A762" i="6" s="1"/>
  <c r="D292" i="3"/>
  <c r="A292" i="6" s="1"/>
  <c r="D301" i="3"/>
  <c r="E1078" i="3"/>
  <c r="E69" i="3"/>
  <c r="E944" i="3"/>
  <c r="D278" i="3"/>
  <c r="D385" i="3"/>
  <c r="A385" i="6" s="1"/>
  <c r="E633" i="3"/>
  <c r="D1055" i="3"/>
  <c r="D330" i="3"/>
  <c r="A330" i="6" s="1"/>
  <c r="D1005" i="3"/>
  <c r="A1005" i="6" s="1"/>
  <c r="E578" i="3"/>
  <c r="D1087" i="3"/>
  <c r="A1087" i="6" s="1"/>
  <c r="D679" i="3"/>
  <c r="D647" i="3"/>
  <c r="D144" i="3"/>
  <c r="E1026" i="3"/>
  <c r="E431" i="3"/>
  <c r="D398" i="3"/>
  <c r="D629" i="3"/>
  <c r="A629" i="6" s="1"/>
  <c r="D725" i="3"/>
  <c r="A725" i="6" s="1"/>
  <c r="D690" i="3"/>
  <c r="E302" i="3"/>
  <c r="E864" i="3"/>
  <c r="E1082" i="3"/>
  <c r="E395" i="3"/>
  <c r="D369" i="3"/>
  <c r="E653" i="3"/>
  <c r="E769" i="3"/>
  <c r="D314" i="3"/>
  <c r="E946" i="3"/>
  <c r="E484" i="3"/>
  <c r="D445" i="3"/>
  <c r="D852" i="3"/>
  <c r="A852" i="6" s="1"/>
  <c r="E464" i="3"/>
  <c r="D814" i="3"/>
  <c r="A814" i="6" s="1"/>
  <c r="E1034" i="3"/>
  <c r="E186" i="3"/>
  <c r="D601" i="3"/>
  <c r="D532" i="3"/>
  <c r="A532" i="6" s="1"/>
  <c r="D501" i="3"/>
  <c r="A501" i="6" s="1"/>
  <c r="D623" i="3"/>
  <c r="E821" i="3"/>
  <c r="D127" i="3"/>
  <c r="D564" i="3"/>
  <c r="A564" i="6" s="1"/>
  <c r="E36" i="3"/>
  <c r="E260" i="3"/>
  <c r="D1028" i="3"/>
  <c r="D666" i="3"/>
  <c r="D272" i="3"/>
  <c r="E277" i="3"/>
  <c r="E401" i="3"/>
  <c r="D323" i="3"/>
  <c r="A323" i="6" s="1"/>
  <c r="E494" i="3"/>
  <c r="E554" i="3"/>
  <c r="D617" i="3"/>
  <c r="A617" i="6" s="1"/>
  <c r="D830" i="3"/>
  <c r="E480" i="3"/>
  <c r="D167" i="3"/>
  <c r="D809" i="3"/>
  <c r="E862" i="3"/>
  <c r="D362" i="3"/>
  <c r="E103" i="3"/>
  <c r="D668" i="3"/>
  <c r="E409" i="3"/>
  <c r="E844" i="3"/>
  <c r="D574" i="3"/>
  <c r="D969" i="3"/>
  <c r="A969" i="6" s="1"/>
  <c r="D990" i="3"/>
  <c r="A990" i="6" s="1"/>
  <c r="D691" i="3"/>
  <c r="D566" i="3"/>
  <c r="E614" i="3"/>
  <c r="D488" i="3"/>
  <c r="E285" i="3"/>
  <c r="E709" i="3"/>
  <c r="E1076" i="3"/>
  <c r="D747" i="3"/>
  <c r="D50" i="3"/>
  <c r="E353" i="3"/>
  <c r="E712" i="3"/>
  <c r="D436" i="3"/>
  <c r="E477" i="3"/>
  <c r="E656" i="3"/>
  <c r="D587" i="3"/>
  <c r="A587" i="6" s="1"/>
  <c r="D216" i="3"/>
  <c r="A216" i="6" s="1"/>
  <c r="E557" i="3"/>
  <c r="D563" i="3"/>
  <c r="D808" i="3"/>
  <c r="A808" i="6" s="1"/>
  <c r="E267" i="3"/>
  <c r="E601" i="3"/>
  <c r="D184" i="3"/>
  <c r="A184" i="6" s="1"/>
  <c r="D448" i="3"/>
  <c r="A448" i="6" s="1"/>
  <c r="D1011" i="3"/>
  <c r="A1011" i="6" s="1"/>
  <c r="E251" i="3"/>
  <c r="E607" i="3"/>
  <c r="D368" i="3"/>
  <c r="D406" i="3"/>
  <c r="D411" i="3"/>
  <c r="A411" i="6" s="1"/>
  <c r="D486" i="3"/>
  <c r="E542" i="3"/>
  <c r="E652" i="3"/>
  <c r="E246" i="3"/>
  <c r="D845" i="3"/>
  <c r="E612" i="3"/>
  <c r="D516" i="3"/>
  <c r="A516" i="6" s="1"/>
  <c r="E1088" i="3"/>
  <c r="E1016" i="3"/>
  <c r="E530" i="3"/>
  <c r="E829" i="3"/>
  <c r="D828" i="3"/>
  <c r="D638" i="3"/>
  <c r="E750" i="3"/>
  <c r="D984" i="3"/>
  <c r="A984" i="6" s="1"/>
  <c r="E265" i="3"/>
  <c r="E691" i="3"/>
  <c r="E881" i="3"/>
  <c r="D215" i="3"/>
  <c r="E880" i="3"/>
  <c r="E1036" i="3"/>
  <c r="E347" i="3"/>
  <c r="D321" i="3"/>
  <c r="A321" i="6" s="1"/>
  <c r="E721" i="3"/>
  <c r="E391" i="3"/>
  <c r="D941" i="3"/>
  <c r="A941" i="6" s="1"/>
  <c r="D1068" i="3"/>
  <c r="D250" i="3"/>
  <c r="D222" i="3"/>
  <c r="D651" i="3"/>
  <c r="E495" i="3"/>
  <c r="D279" i="3"/>
  <c r="A279" i="6" s="1"/>
  <c r="D166" i="3"/>
  <c r="A166" i="6" s="1"/>
  <c r="E534" i="3"/>
  <c r="D575" i="3"/>
  <c r="D1046" i="3"/>
  <c r="E613" i="3"/>
  <c r="E768" i="3"/>
  <c r="D975" i="3"/>
  <c r="A975" i="6" s="1"/>
  <c r="D132" i="3"/>
  <c r="E433" i="3"/>
  <c r="D468" i="3"/>
  <c r="E66" i="3"/>
  <c r="E871" i="3"/>
  <c r="D844" i="3"/>
  <c r="E845" i="3"/>
  <c r="D551" i="3"/>
  <c r="D1092" i="3"/>
  <c r="A1092" i="6" s="1"/>
  <c r="D775" i="3"/>
  <c r="D643" i="3"/>
  <c r="A643" i="6" s="1"/>
  <c r="E1025" i="3"/>
  <c r="D474" i="3"/>
  <c r="A474" i="6" s="1"/>
  <c r="D244" i="3"/>
  <c r="E933" i="3"/>
  <c r="D634" i="3"/>
  <c r="A634" i="6" s="1"/>
  <c r="E600" i="3"/>
  <c r="E429" i="3"/>
  <c r="E1004" i="3"/>
  <c r="E689" i="3"/>
  <c r="E681" i="3"/>
  <c r="D1051" i="3"/>
  <c r="A1051" i="6" s="1"/>
  <c r="D55" i="3"/>
  <c r="A55" i="6" s="1"/>
  <c r="E641" i="3"/>
  <c r="D87" i="3"/>
  <c r="A87" i="6" s="1"/>
  <c r="E456" i="3"/>
  <c r="E169" i="3"/>
  <c r="D978" i="3"/>
  <c r="D577" i="3"/>
  <c r="A577" i="6" s="1"/>
  <c r="E365" i="3"/>
  <c r="D24" i="3"/>
  <c r="E489" i="3"/>
  <c r="D527" i="3"/>
  <c r="E74" i="3"/>
  <c r="E919" i="3"/>
  <c r="D545" i="3"/>
  <c r="D509" i="3"/>
  <c r="A509" i="6" s="1"/>
  <c r="D562" i="3"/>
  <c r="E940" i="3"/>
  <c r="E362" i="3"/>
  <c r="D648" i="3"/>
  <c r="A648" i="6" s="1"/>
  <c r="E856" i="3"/>
  <c r="D235" i="3"/>
  <c r="A235" i="6" s="1"/>
  <c r="E890" i="3"/>
  <c r="E867" i="3"/>
  <c r="D858" i="3"/>
  <c r="D869" i="3"/>
  <c r="E148" i="3"/>
  <c r="E412" i="3"/>
  <c r="D950" i="3"/>
  <c r="A950" i="6" s="1"/>
  <c r="E649" i="3"/>
  <c r="D932" i="3"/>
  <c r="A932" i="6" s="1"/>
  <c r="D386" i="3"/>
  <c r="A386" i="6" s="1"/>
  <c r="E916" i="3"/>
  <c r="E524" i="3"/>
  <c r="E231" i="3"/>
  <c r="E929" i="3"/>
  <c r="D354" i="3"/>
  <c r="E884" i="3"/>
  <c r="E970" i="3"/>
  <c r="E947" i="3"/>
  <c r="D938" i="3"/>
  <c r="A938" i="6" s="1"/>
  <c r="D112" i="3"/>
  <c r="E716" i="3"/>
  <c r="D971" i="3"/>
  <c r="E71" i="3"/>
  <c r="D758" i="3"/>
  <c r="A758" i="6" s="1"/>
  <c r="D49" i="3"/>
  <c r="E376" i="3"/>
  <c r="E52" i="3"/>
  <c r="D489" i="3"/>
  <c r="D919" i="3"/>
  <c r="E809" i="3"/>
  <c r="E471" i="3"/>
  <c r="D465" i="3"/>
  <c r="E112" i="3"/>
  <c r="E1061" i="3"/>
  <c r="D380" i="3"/>
  <c r="E700" i="3"/>
  <c r="D955" i="3"/>
  <c r="E388" i="3"/>
  <c r="D108" i="3"/>
  <c r="D834" i="3"/>
  <c r="A834" i="6" s="1"/>
  <c r="E740" i="3"/>
  <c r="E221" i="3"/>
  <c r="D673" i="3"/>
  <c r="A673" i="6" s="1"/>
  <c r="E1023" i="3"/>
  <c r="D327" i="3"/>
  <c r="E771" i="3"/>
  <c r="D198" i="3"/>
  <c r="E1038" i="3"/>
  <c r="E271" i="3"/>
  <c r="E595" i="3"/>
  <c r="E936" i="3"/>
  <c r="E117" i="3"/>
  <c r="E631" i="3"/>
  <c r="D847" i="3"/>
  <c r="A847" i="6" s="1"/>
  <c r="E173" i="3"/>
  <c r="D943" i="3"/>
  <c r="E736" i="3"/>
  <c r="D535" i="3"/>
  <c r="A535" i="6" s="1"/>
  <c r="D89" i="3"/>
  <c r="E911" i="3"/>
  <c r="D763" i="3"/>
  <c r="E369" i="3"/>
  <c r="E728" i="3"/>
  <c r="D864" i="3"/>
  <c r="A864" i="6" s="1"/>
  <c r="D1082" i="3"/>
  <c r="A1082" i="6" s="1"/>
  <c r="D379" i="3"/>
  <c r="A379" i="6" s="1"/>
  <c r="E738" i="3"/>
  <c r="E1071" i="3"/>
  <c r="E679" i="3"/>
  <c r="E504" i="3"/>
  <c r="D169" i="3"/>
  <c r="E153" i="3"/>
  <c r="D991" i="3"/>
  <c r="A991" i="6" s="1"/>
  <c r="D148" i="3"/>
  <c r="E449" i="3"/>
  <c r="D439" i="3"/>
  <c r="A439" i="6" s="1"/>
  <c r="E863" i="3"/>
  <c r="E918" i="3"/>
  <c r="D80" i="3"/>
  <c r="E955" i="3"/>
  <c r="D692" i="3"/>
  <c r="D983" i="3"/>
  <c r="E816" i="3"/>
  <c r="E972" i="3"/>
  <c r="E394" i="3"/>
  <c r="D1089" i="3"/>
  <c r="E327" i="3"/>
  <c r="D877" i="3"/>
  <c r="A877" i="6" s="1"/>
  <c r="D205" i="3"/>
  <c r="A205" i="6" s="1"/>
  <c r="E574" i="3"/>
  <c r="D25" i="3"/>
  <c r="E354" i="3"/>
  <c r="D719" i="3"/>
  <c r="D422" i="3"/>
  <c r="A422" i="6" s="1"/>
  <c r="D277" i="3"/>
  <c r="A277" i="6" s="1"/>
  <c r="E89" i="3"/>
  <c r="E575" i="3"/>
  <c r="E219" i="3"/>
  <c r="D979" i="3"/>
  <c r="D416" i="3"/>
  <c r="D152" i="3"/>
  <c r="E675" i="3"/>
  <c r="E663" i="3"/>
  <c r="E360" i="3"/>
  <c r="D33" i="3"/>
  <c r="D710" i="3"/>
  <c r="A710" i="6" s="1"/>
  <c r="E50" i="3"/>
  <c r="E328" i="3"/>
  <c r="D754" i="3"/>
  <c r="E366" i="3"/>
  <c r="E928" i="3"/>
  <c r="D1093" i="3"/>
  <c r="D334" i="3"/>
  <c r="A334" i="6" s="1"/>
  <c r="D696" i="3"/>
  <c r="A696" i="6" s="1"/>
  <c r="D28" i="3"/>
  <c r="D378" i="3"/>
  <c r="A378" i="6" s="1"/>
  <c r="E118" i="3"/>
  <c r="E882" i="3"/>
  <c r="E424" i="3"/>
  <c r="E143" i="3"/>
  <c r="E83" i="3"/>
  <c r="D85" i="3"/>
  <c r="A85" i="6" s="1"/>
  <c r="D641" i="3"/>
  <c r="D907" i="3"/>
  <c r="A907" i="6" s="1"/>
  <c r="E726" i="3"/>
  <c r="D694" i="3"/>
  <c r="D773" i="3"/>
  <c r="E34" i="3"/>
  <c r="E312" i="3"/>
  <c r="D738" i="3"/>
  <c r="D243" i="3"/>
  <c r="D613" i="3"/>
  <c r="D804" i="3"/>
  <c r="A804" i="6" s="1"/>
  <c r="D223" i="3"/>
  <c r="A223" i="6" s="1"/>
  <c r="D281" i="3"/>
  <c r="E547" i="3"/>
  <c r="E888" i="3"/>
  <c r="E894" i="3"/>
  <c r="D841" i="3"/>
  <c r="A841" i="6" s="1"/>
  <c r="E512" i="3"/>
  <c r="D862" i="3"/>
  <c r="A862" i="6" s="1"/>
  <c r="E586" i="3"/>
  <c r="D204" i="3"/>
  <c r="D794" i="3"/>
  <c r="A794" i="6" s="1"/>
  <c r="E326" i="3"/>
  <c r="E405" i="3"/>
  <c r="E152" i="3"/>
  <c r="E1002" i="3"/>
  <c r="E904" i="3"/>
  <c r="E563" i="3"/>
  <c r="D239" i="3"/>
  <c r="E966" i="3"/>
  <c r="D121" i="3"/>
  <c r="A121" i="6" s="1"/>
  <c r="E315" i="3"/>
  <c r="D1035" i="3"/>
  <c r="A1035" i="6" s="1"/>
  <c r="D902" i="3"/>
  <c r="A902" i="6" s="1"/>
  <c r="E421" i="3"/>
  <c r="D851" i="3"/>
  <c r="E134" i="3"/>
  <c r="E178" i="3"/>
  <c r="E777" i="3"/>
  <c r="E482" i="3"/>
  <c r="D807" i="3"/>
  <c r="D1060" i="3"/>
  <c r="D698" i="3"/>
  <c r="E245" i="3"/>
  <c r="E749" i="3"/>
  <c r="D400" i="3"/>
  <c r="E374" i="3"/>
  <c r="E357" i="3"/>
  <c r="E1066" i="3"/>
  <c r="D727" i="3"/>
  <c r="A727" i="6" s="1"/>
  <c r="E572" i="3"/>
  <c r="E953" i="3"/>
  <c r="D540" i="3"/>
  <c r="D888" i="3"/>
  <c r="D584" i="3"/>
  <c r="D136" i="3"/>
  <c r="E41" i="3"/>
  <c r="E218" i="3"/>
  <c r="E176" i="3"/>
  <c r="D817" i="3"/>
  <c r="E159" i="3"/>
  <c r="D456" i="3"/>
  <c r="E142" i="3"/>
  <c r="D20" i="3"/>
  <c r="A20" i="6" s="1"/>
  <c r="D26" i="3"/>
  <c r="D143" i="3"/>
  <c r="A143" i="6" s="1"/>
  <c r="D849" i="3"/>
  <c r="E275" i="3"/>
  <c r="D125" i="3"/>
  <c r="A125" i="6" s="1"/>
  <c r="E813" i="3"/>
  <c r="D812" i="3"/>
  <c r="D620" i="3"/>
  <c r="A620" i="6" s="1"/>
  <c r="E915" i="3"/>
  <c r="D906" i="3"/>
  <c r="A906" i="6" s="1"/>
  <c r="D917" i="3"/>
  <c r="A917" i="6" s="1"/>
  <c r="E127" i="3"/>
  <c r="E460" i="3"/>
  <c r="E644" i="3"/>
  <c r="D998" i="3"/>
  <c r="E478" i="3"/>
  <c r="E100" i="3"/>
  <c r="D446" i="3"/>
  <c r="D490" i="3"/>
  <c r="E1027" i="3"/>
  <c r="D749" i="3"/>
  <c r="A749" i="6" s="1"/>
  <c r="D1037" i="3"/>
  <c r="A1037" i="6" s="1"/>
  <c r="E630" i="3"/>
  <c r="E623" i="3"/>
  <c r="E922" i="3"/>
  <c r="E899" i="3"/>
  <c r="D890" i="3"/>
  <c r="A890" i="6" s="1"/>
  <c r="D901" i="3"/>
  <c r="E180" i="3"/>
  <c r="E444" i="3"/>
  <c r="E628" i="3"/>
  <c r="D982" i="3"/>
  <c r="E282" i="3"/>
  <c r="D397" i="3"/>
  <c r="E339" i="3"/>
  <c r="E1028" i="3"/>
  <c r="E393" i="3"/>
  <c r="E199" i="3"/>
  <c r="D1081" i="3"/>
  <c r="D1053" i="3"/>
  <c r="A1053" i="6" s="1"/>
  <c r="D802" i="3"/>
  <c r="E776" i="3"/>
  <c r="E67" i="3"/>
  <c r="D683" i="3"/>
  <c r="A683" i="6" s="1"/>
  <c r="D1025" i="3"/>
  <c r="E51" i="3"/>
  <c r="E288" i="3"/>
  <c r="D633" i="3"/>
  <c r="A633" i="6" s="1"/>
  <c r="D538" i="3"/>
  <c r="A538" i="6" s="1"/>
  <c r="E461" i="3"/>
  <c r="E124" i="3"/>
  <c r="D730" i="3"/>
  <c r="D1020" i="3"/>
  <c r="A1020" i="6" s="1"/>
  <c r="D408" i="3"/>
  <c r="A408" i="6" s="1"/>
  <c r="E1024" i="3"/>
  <c r="D325" i="3"/>
  <c r="E1003" i="3"/>
  <c r="D522" i="3"/>
  <c r="E242" i="3"/>
  <c r="D455" i="3"/>
  <c r="E879" i="3"/>
  <c r="E934" i="3"/>
  <c r="D96" i="3"/>
  <c r="A96" i="6" s="1"/>
  <c r="E971" i="3"/>
  <c r="E713" i="3"/>
  <c r="E426" i="3"/>
  <c r="D684" i="3"/>
  <c r="A684" i="6" s="1"/>
  <c r="D29" i="3"/>
  <c r="A29" i="6" s="1"/>
  <c r="D482" i="3"/>
  <c r="D962" i="3"/>
  <c r="A962" i="6" s="1"/>
  <c r="E784" i="3"/>
  <c r="D878" i="3"/>
  <c r="E602" i="3"/>
  <c r="E552" i="3"/>
  <c r="E885" i="3"/>
  <c r="D196" i="3"/>
  <c r="A196" i="6" s="1"/>
  <c r="D43" i="3"/>
  <c r="D980" i="3"/>
  <c r="E714" i="3"/>
  <c r="E427" i="3"/>
  <c r="D1078" i="3"/>
  <c r="A1078" i="6" s="1"/>
  <c r="E156" i="3"/>
  <c r="E224" i="3"/>
  <c r="E32" i="3"/>
  <c r="E94" i="3"/>
  <c r="D376" i="3"/>
  <c r="A376" i="6" s="1"/>
  <c r="D843" i="3"/>
  <c r="A843" i="6" s="1"/>
  <c r="D992" i="3"/>
  <c r="E763" i="3"/>
  <c r="D709" i="3"/>
  <c r="D674" i="3"/>
  <c r="E252" i="3"/>
  <c r="D1026" i="3"/>
  <c r="D797" i="3"/>
  <c r="A797" i="6" s="1"/>
  <c r="E325" i="3"/>
  <c r="D1056" i="3"/>
  <c r="E467" i="3"/>
  <c r="D417" i="3"/>
  <c r="E423" i="3"/>
  <c r="D91" i="3"/>
  <c r="A91" i="6" s="1"/>
  <c r="E1074" i="3"/>
  <c r="D672" i="3"/>
  <c r="D675" i="3"/>
  <c r="D663" i="3"/>
  <c r="D1071" i="3"/>
  <c r="E1001" i="3"/>
  <c r="D529" i="3"/>
  <c r="A529" i="6" s="1"/>
  <c r="E580" i="3"/>
  <c r="D162" i="3"/>
  <c r="D442" i="3"/>
  <c r="E1095" i="3"/>
  <c r="E75" i="3"/>
  <c r="E764" i="3"/>
  <c r="D78" i="3"/>
  <c r="A78" i="6" s="1"/>
  <c r="E290" i="3"/>
  <c r="E539" i="3"/>
  <c r="E851" i="3"/>
  <c r="D842" i="3"/>
  <c r="D853" i="3"/>
  <c r="A853" i="6" s="1"/>
  <c r="E132" i="3"/>
  <c r="D934" i="3"/>
  <c r="E414" i="3"/>
  <c r="D768" i="3"/>
  <c r="D513" i="3"/>
  <c r="D146" i="3"/>
  <c r="D426" i="3"/>
  <c r="A426" i="6" s="1"/>
  <c r="D1067" i="3"/>
  <c r="D66" i="3"/>
  <c r="E187" i="3"/>
  <c r="E658" i="3"/>
  <c r="E1052" i="3"/>
  <c r="D759" i="3"/>
  <c r="E1089" i="3"/>
  <c r="E957" i="3"/>
  <c r="D956" i="3"/>
  <c r="E269" i="3"/>
  <c r="D721" i="3"/>
  <c r="D375" i="3"/>
  <c r="D686" i="3"/>
  <c r="D133" i="3"/>
  <c r="A133" i="6" s="1"/>
  <c r="E1009" i="3"/>
  <c r="E651" i="3"/>
  <c r="E367" i="3"/>
  <c r="E836" i="3"/>
  <c r="E174" i="3"/>
  <c r="E82" i="3"/>
  <c r="D528" i="3"/>
  <c r="A528" i="6" s="1"/>
  <c r="D1062" i="3"/>
  <c r="D591" i="3"/>
  <c r="A591" i="6" s="1"/>
  <c r="D182" i="3"/>
  <c r="A182" i="6" s="1"/>
  <c r="D469" i="3"/>
  <c r="A469" i="6" s="1"/>
  <c r="E798" i="3"/>
  <c r="E786" i="3"/>
  <c r="E616" i="3"/>
  <c r="D942" i="3"/>
  <c r="E73" i="3"/>
  <c r="D71" i="3"/>
  <c r="A71" i="6" s="1"/>
  <c r="E202" i="3"/>
  <c r="E1068" i="3"/>
  <c r="D605" i="3"/>
  <c r="A605" i="6" s="1"/>
  <c r="D650" i="3"/>
  <c r="A650" i="6" s="1"/>
  <c r="E162" i="3"/>
  <c r="D548" i="3"/>
  <c r="A548" i="6" s="1"/>
  <c r="E949" i="3"/>
  <c r="E210" i="3"/>
  <c r="D331" i="3"/>
  <c r="A331" i="6" s="1"/>
  <c r="D1091" i="3"/>
  <c r="A1091" i="6" s="1"/>
  <c r="D296" i="3"/>
  <c r="A296" i="6" s="1"/>
  <c r="E135" i="3"/>
  <c r="D159" i="3"/>
  <c r="E314" i="3"/>
  <c r="E309" i="3"/>
  <c r="D622" i="3"/>
  <c r="A622" i="6" s="1"/>
  <c r="E892" i="3"/>
  <c r="D766" i="3"/>
  <c r="E513" i="3"/>
  <c r="D835" i="3"/>
  <c r="A835" i="6" s="1"/>
  <c r="E79" i="3"/>
  <c r="D1023" i="3"/>
  <c r="E982" i="3"/>
  <c r="E654" i="3"/>
  <c r="E690" i="3"/>
  <c r="E765" i="3"/>
  <c r="E802" i="3"/>
  <c r="D65" i="3"/>
  <c r="A65" i="6" s="1"/>
  <c r="D627" i="3"/>
  <c r="D503" i="3"/>
  <c r="A503" i="6" s="1"/>
  <c r="D916" i="3"/>
  <c r="D779" i="3"/>
  <c r="A779" i="6" s="1"/>
  <c r="E927" i="3"/>
  <c r="E615" i="3"/>
  <c r="E632" i="3"/>
  <c r="E505" i="3"/>
  <c r="E28" i="3"/>
  <c r="D1040" i="3"/>
  <c r="A1040" i="6" s="1"/>
  <c r="E773" i="3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E71" i="2"/>
  <c r="E102" i="2"/>
  <c r="E134" i="2"/>
  <c r="D166" i="2"/>
  <c r="E199" i="2"/>
  <c r="E231" i="2"/>
  <c r="D263" i="2"/>
  <c r="A263" i="5" s="1"/>
  <c r="D295" i="2"/>
  <c r="D327" i="2"/>
  <c r="D359" i="2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E249" i="2"/>
  <c r="E281" i="2"/>
  <c r="E313" i="2"/>
  <c r="E345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D297" i="2"/>
  <c r="D329" i="2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E238" i="2"/>
  <c r="D318" i="2"/>
  <c r="E26" i="2"/>
  <c r="E103" i="2"/>
  <c r="D167" i="2"/>
  <c r="E230" i="2"/>
  <c r="D278" i="2"/>
  <c r="D334" i="2"/>
  <c r="E62" i="2"/>
  <c r="E127" i="2"/>
  <c r="E190" i="2"/>
  <c r="D262" i="2"/>
  <c r="D342" i="2"/>
  <c r="E54" i="2"/>
  <c r="E119" i="2"/>
  <c r="E182" i="2"/>
  <c r="E246" i="2"/>
  <c r="D294" i="2"/>
  <c r="A294" i="5" s="1"/>
  <c r="D350" i="2"/>
  <c r="A350" i="5" s="1"/>
  <c r="E78" i="2"/>
  <c r="E143" i="2"/>
  <c r="E206" i="2"/>
  <c r="D286" i="2"/>
  <c r="D366" i="2"/>
  <c r="A366" i="5" s="1"/>
  <c r="E70" i="2"/>
  <c r="E135" i="2"/>
  <c r="E198" i="2"/>
  <c r="D254" i="2"/>
  <c r="D310" i="2"/>
  <c r="D358" i="2"/>
  <c r="D94" i="2"/>
  <c r="A94" i="5" s="1"/>
  <c r="D159" i="2"/>
  <c r="E222" i="2"/>
  <c r="D302" i="2"/>
  <c r="A302" i="5" s="1"/>
  <c r="D86" i="2"/>
  <c r="E151" i="2"/>
  <c r="E214" i="2"/>
  <c r="D270" i="2"/>
  <c r="D326" i="2"/>
  <c r="A545" i="6" l="1"/>
  <c r="A627" i="6"/>
  <c r="A1062" i="6"/>
  <c r="A375" i="6"/>
  <c r="A759" i="6"/>
  <c r="A842" i="6"/>
  <c r="A672" i="6"/>
  <c r="A417" i="6"/>
  <c r="A980" i="6"/>
  <c r="A878" i="6"/>
  <c r="A730" i="6"/>
  <c r="A446" i="6"/>
  <c r="A400" i="6"/>
  <c r="A1060" i="6"/>
  <c r="A694" i="6"/>
  <c r="A1093" i="6"/>
  <c r="A416" i="6"/>
  <c r="A943" i="6"/>
  <c r="A465" i="6"/>
  <c r="A869" i="6"/>
  <c r="A527" i="6"/>
  <c r="A250" i="6"/>
  <c r="A368" i="6"/>
  <c r="A272" i="6"/>
  <c r="A278" i="6"/>
  <c r="A301" i="6"/>
  <c r="A333" i="6"/>
  <c r="A1080" i="6"/>
  <c r="A544" i="6"/>
  <c r="A345" i="6"/>
  <c r="A106" i="6"/>
  <c r="A541" i="6"/>
  <c r="A294" i="6"/>
  <c r="A958" i="6"/>
  <c r="A310" i="6"/>
  <c r="A344" i="6"/>
  <c r="A42" i="6"/>
  <c r="A823" i="6"/>
  <c r="A997" i="6"/>
  <c r="A766" i="6"/>
  <c r="A956" i="6"/>
  <c r="A146" i="6"/>
  <c r="A849" i="6"/>
  <c r="A942" i="6"/>
  <c r="A686" i="6"/>
  <c r="A1067" i="6"/>
  <c r="A674" i="6"/>
  <c r="A1081" i="6"/>
  <c r="A490" i="6"/>
  <c r="A998" i="6"/>
  <c r="A812" i="6"/>
  <c r="A26" i="6"/>
  <c r="A584" i="6"/>
  <c r="A540" i="6"/>
  <c r="A698" i="6"/>
  <c r="A807" i="6"/>
  <c r="A239" i="6"/>
  <c r="A204" i="6"/>
  <c r="A281" i="6"/>
  <c r="A243" i="6"/>
  <c r="A754" i="6"/>
  <c r="A33" i="6"/>
  <c r="A979" i="6"/>
  <c r="A719" i="6"/>
  <c r="A25" i="6"/>
  <c r="A692" i="6"/>
  <c r="A80" i="6"/>
  <c r="A198" i="6"/>
  <c r="A108" i="6"/>
  <c r="A49" i="6"/>
  <c r="A858" i="6"/>
  <c r="A562" i="6"/>
  <c r="A978" i="6"/>
  <c r="A222" i="6"/>
  <c r="A215" i="6"/>
  <c r="A638" i="6"/>
  <c r="A406" i="6"/>
  <c r="A436" i="6"/>
  <c r="A747" i="6"/>
  <c r="A488" i="6"/>
  <c r="A566" i="6"/>
  <c r="A167" i="6"/>
  <c r="A830" i="6"/>
  <c r="A666" i="6"/>
  <c r="A445" i="6"/>
  <c r="A398" i="6"/>
  <c r="A647" i="6"/>
  <c r="A1055" i="6"/>
  <c r="A729" i="6"/>
  <c r="A570" i="6"/>
  <c r="A965" i="6"/>
  <c r="A123" i="6"/>
  <c r="A677" i="6"/>
  <c r="A343" i="6"/>
  <c r="A920" i="6"/>
  <c r="A588" i="6"/>
  <c r="A318" i="6"/>
  <c r="A171" i="6"/>
  <c r="A800" i="6"/>
  <c r="A438" i="6"/>
  <c r="A722" i="6"/>
  <c r="A757" i="6"/>
  <c r="A521" i="6"/>
  <c r="A175" i="6"/>
  <c r="A1073" i="6"/>
  <c r="A1019" i="6"/>
  <c r="A459" i="6"/>
  <c r="A718" i="6"/>
  <c r="A276" i="6"/>
  <c r="A705" i="6"/>
  <c r="A336" i="6"/>
  <c r="A951" i="6"/>
  <c r="A165" i="6"/>
  <c r="A1029" i="6"/>
  <c r="A479" i="6"/>
  <c r="A687" i="6"/>
  <c r="A987" i="6"/>
  <c r="A299" i="6"/>
  <c r="A525" i="6"/>
  <c r="A137" i="6"/>
  <c r="A898" i="6"/>
  <c r="A155" i="6"/>
  <c r="A1018" i="6"/>
  <c r="A626" i="6"/>
  <c r="A699" i="6"/>
  <c r="A149" i="6"/>
  <c r="A848" i="6"/>
  <c r="A873" i="6"/>
  <c r="A782" i="6"/>
  <c r="A38" i="6"/>
  <c r="A999" i="6"/>
  <c r="A742" i="6"/>
  <c r="A498" i="6"/>
  <c r="A594" i="6"/>
  <c r="A145" i="6"/>
  <c r="A502" i="6"/>
  <c r="A739" i="6"/>
  <c r="A1057" i="6"/>
  <c r="A86" i="6"/>
  <c r="A161" i="6"/>
  <c r="A680" i="6"/>
  <c r="A886" i="6"/>
  <c r="A1090" i="6"/>
  <c r="A206" i="6"/>
  <c r="A116" i="6"/>
  <c r="A60" i="6"/>
  <c r="A608" i="6"/>
  <c r="A744" i="6"/>
  <c r="A99" i="6"/>
  <c r="A211" i="6"/>
  <c r="A768" i="6"/>
  <c r="A551" i="6"/>
  <c r="A702" i="6"/>
  <c r="A58" i="6"/>
  <c r="A1058" i="6"/>
  <c r="A860" i="6"/>
  <c r="A141" i="6"/>
  <c r="A268" i="6"/>
  <c r="A825" i="6"/>
  <c r="A703" i="6"/>
  <c r="A437" i="6"/>
  <c r="A903" i="6"/>
  <c r="A92" i="6"/>
  <c r="A896" i="6"/>
  <c r="A619" i="6"/>
  <c r="A257" i="6"/>
  <c r="A799" i="6"/>
  <c r="A130" i="6"/>
  <c r="A585" i="6"/>
  <c r="A104" i="6"/>
  <c r="A695" i="6"/>
  <c r="A973" i="6"/>
  <c r="A833" i="6"/>
  <c r="A665" i="6"/>
  <c r="A447" i="6"/>
  <c r="A916" i="6"/>
  <c r="A1056" i="6"/>
  <c r="A709" i="6"/>
  <c r="A455" i="6"/>
  <c r="A901" i="6"/>
  <c r="A136" i="6"/>
  <c r="A780" i="6"/>
  <c r="A229" i="6"/>
  <c r="A781" i="6"/>
  <c r="A1094" i="6"/>
  <c r="A316" i="6"/>
  <c r="A1050" i="6"/>
  <c r="A159" i="6"/>
  <c r="A456" i="6"/>
  <c r="A613" i="6"/>
  <c r="A828" i="6"/>
  <c r="A84" i="6"/>
  <c r="A678" i="6"/>
  <c r="A668" i="6"/>
  <c r="A675" i="6"/>
  <c r="A499" i="6"/>
  <c r="A326" i="5"/>
  <c r="A24" i="6"/>
  <c r="A468" i="6"/>
  <c r="A42" i="5"/>
  <c r="A309" i="5"/>
  <c r="A442" i="6"/>
  <c r="A522" i="6"/>
  <c r="A397" i="6"/>
  <c r="A721" i="6"/>
  <c r="A1026" i="6"/>
  <c r="A43" i="6"/>
  <c r="A482" i="6"/>
  <c r="A1025" i="6"/>
  <c r="A380" i="6"/>
  <c r="A775" i="6"/>
  <c r="A486" i="6"/>
  <c r="A66" i="6"/>
  <c r="A992" i="6"/>
  <c r="A817" i="6"/>
  <c r="A983" i="6"/>
  <c r="A1046" i="6"/>
  <c r="A1048" i="6"/>
  <c r="A793" i="6"/>
  <c r="A1071" i="6"/>
  <c r="A244" i="6"/>
  <c r="A310" i="5"/>
  <c r="A217" i="5"/>
  <c r="A327" i="5"/>
  <c r="A663" i="6"/>
  <c r="A193" i="6"/>
  <c r="A337" i="6"/>
  <c r="A111" i="6"/>
  <c r="A254" i="5"/>
  <c r="A175" i="5"/>
  <c r="A185" i="5"/>
  <c r="A57" i="5"/>
  <c r="A341" i="5"/>
  <c r="A85" i="5"/>
  <c r="A295" i="5"/>
  <c r="A166" i="5"/>
  <c r="A39" i="5"/>
  <c r="A1023" i="6"/>
  <c r="A955" i="6"/>
  <c r="A919" i="6"/>
  <c r="A358" i="5"/>
  <c r="A318" i="5"/>
  <c r="A359" i="5"/>
  <c r="A934" i="6"/>
  <c r="A162" i="6"/>
  <c r="A641" i="6"/>
  <c r="A169" i="6"/>
  <c r="A89" i="6"/>
  <c r="A354" i="6"/>
  <c r="A844" i="6"/>
  <c r="A845" i="6"/>
  <c r="A601" i="6"/>
  <c r="A831" i="6"/>
  <c r="A803" i="6"/>
  <c r="A377" i="6"/>
  <c r="A39" i="6"/>
  <c r="A993" i="6"/>
  <c r="A313" i="6"/>
  <c r="A565" i="6"/>
  <c r="A513" i="6"/>
  <c r="A325" i="6"/>
  <c r="A982" i="6"/>
  <c r="A888" i="6"/>
  <c r="A851" i="6"/>
  <c r="A738" i="6"/>
  <c r="A1089" i="6"/>
  <c r="A148" i="6"/>
  <c r="A489" i="6"/>
  <c r="A971" i="6"/>
  <c r="A112" i="6"/>
  <c r="A132" i="6"/>
  <c r="A651" i="6"/>
  <c r="A50" i="6"/>
  <c r="A691" i="6"/>
  <c r="A362" i="6"/>
  <c r="A809" i="6"/>
  <c r="A1028" i="6"/>
  <c r="A127" i="6"/>
  <c r="A623" i="6"/>
  <c r="A314" i="6"/>
  <c r="A690" i="6"/>
  <c r="A144" i="6"/>
  <c r="A679" i="6"/>
  <c r="A467" i="6"/>
  <c r="A1066" i="6"/>
  <c r="A357" i="6"/>
  <c r="A586" i="6"/>
  <c r="A269" i="6"/>
  <c r="A449" i="6"/>
  <c r="A391" i="6"/>
  <c r="A212" i="6"/>
  <c r="A1003" i="6"/>
  <c r="A539" i="6"/>
  <c r="A97" i="6"/>
  <c r="A829" i="6"/>
  <c r="A273" i="6"/>
  <c r="A517" i="6"/>
  <c r="A863" i="6"/>
  <c r="A118" i="6"/>
  <c r="A671" i="6"/>
  <c r="A328" i="6"/>
  <c r="A285" i="6"/>
  <c r="A74" i="6"/>
  <c r="A224" i="6"/>
  <c r="A881" i="6"/>
  <c r="A798" i="6"/>
  <c r="A306" i="6"/>
  <c r="A602" i="6"/>
  <c r="A260" i="6"/>
  <c r="A34" i="6"/>
  <c r="A731" i="6"/>
  <c r="A429" i="6"/>
  <c r="A700" i="6"/>
  <c r="A948" i="6"/>
  <c r="A117" i="6"/>
  <c r="A590" i="6"/>
  <c r="A653" i="6"/>
  <c r="A945" i="6"/>
  <c r="A716" i="6"/>
  <c r="A885" i="6"/>
  <c r="A83" i="6"/>
  <c r="A350" i="6"/>
  <c r="A1010" i="6"/>
  <c r="A652" i="6"/>
  <c r="A128" i="6"/>
  <c r="A637" i="6"/>
  <c r="A219" i="6"/>
  <c r="A632" i="6"/>
  <c r="A769" i="6"/>
  <c r="A1004" i="6"/>
  <c r="A806" i="6"/>
  <c r="A968" i="6"/>
  <c r="A859" i="6"/>
  <c r="A561" i="6"/>
  <c r="A891" i="6"/>
  <c r="A764" i="6"/>
  <c r="A75" i="6"/>
  <c r="A1088" i="6"/>
  <c r="A536" i="6"/>
  <c r="A595" i="6"/>
  <c r="A248" i="6"/>
  <c r="A646" i="6"/>
  <c r="A253" i="6"/>
  <c r="A153" i="6"/>
  <c r="A549" i="6"/>
  <c r="A218" i="6"/>
  <c r="A27" i="6"/>
  <c r="A506" i="6"/>
  <c r="A827" i="6"/>
  <c r="A495" i="6"/>
  <c r="A453" i="6"/>
  <c r="A267" i="6"/>
  <c r="A557" i="6"/>
  <c r="A382" i="6"/>
  <c r="A332" i="6"/>
  <c r="A458" i="6"/>
  <c r="A477" i="6"/>
  <c r="A191" i="6"/>
  <c r="A628" i="6"/>
  <c r="A157" i="6"/>
  <c r="A100" i="6"/>
  <c r="A1030" i="6"/>
  <c r="A706" i="6"/>
  <c r="A67" i="6"/>
  <c r="A661" i="6"/>
  <c r="A550" i="6"/>
  <c r="A576" i="6"/>
  <c r="A735" i="6"/>
  <c r="A228" i="6"/>
  <c r="A624" i="6"/>
  <c r="A1059" i="6"/>
  <c r="A56" i="6"/>
  <c r="A740" i="6"/>
  <c r="A697" i="6"/>
  <c r="A73" i="6"/>
  <c r="A664" i="6"/>
  <c r="A302" i="6"/>
  <c r="A110" i="6"/>
  <c r="A53" i="6"/>
  <c r="A478" i="6"/>
  <c r="A765" i="6"/>
  <c r="A947" i="6"/>
  <c r="A787" i="6"/>
  <c r="A284" i="6"/>
  <c r="A791" i="6"/>
  <c r="A589" i="6"/>
  <c r="A905" i="6"/>
  <c r="A821" i="6"/>
  <c r="A784" i="6"/>
  <c r="A194" i="6"/>
  <c r="A496" i="6"/>
  <c r="A220" i="6"/>
  <c r="A197" i="6"/>
  <c r="A854" i="6"/>
  <c r="A953" i="6"/>
  <c r="A994" i="6"/>
  <c r="A21" i="6"/>
  <c r="A713" i="6"/>
  <c r="A164" i="6"/>
  <c r="A190" i="6"/>
  <c r="A770" i="6"/>
  <c r="A726" i="6"/>
  <c r="A1072" i="6"/>
  <c r="A879" i="6"/>
  <c r="A109" i="6"/>
  <c r="A1012" i="6"/>
  <c r="A1006" i="6"/>
  <c r="A251" i="6"/>
  <c r="A714" i="6"/>
  <c r="A402" i="6"/>
  <c r="A399" i="6"/>
  <c r="A427" i="6"/>
  <c r="A114" i="6"/>
  <c r="A236" i="6"/>
  <c r="A388" i="6"/>
  <c r="A772" i="6"/>
  <c r="A723" i="6"/>
  <c r="A1032" i="6"/>
  <c r="A1001" i="6"/>
  <c r="A818" i="6"/>
  <c r="A72" i="6"/>
  <c r="A238" i="6"/>
  <c r="A981" i="6"/>
  <c r="A510" i="6"/>
  <c r="A487" i="6"/>
  <c r="A1085" i="6"/>
  <c r="A52" i="6"/>
  <c r="A751" i="6"/>
  <c r="A309" i="6"/>
  <c r="A1074" i="6"/>
  <c r="A746" i="6"/>
  <c r="A866" i="6"/>
  <c r="A801" i="6"/>
  <c r="A393" i="6"/>
  <c r="A170" i="6"/>
  <c r="A1064" i="6"/>
  <c r="A227" i="6"/>
  <c r="A813" i="6"/>
  <c r="A249" i="6"/>
  <c r="A531" i="6"/>
  <c r="A232" i="6"/>
  <c r="A461" i="6"/>
  <c r="A68" i="6"/>
  <c r="A856" i="6"/>
  <c r="A514" i="6"/>
  <c r="A475" i="6"/>
  <c r="A580" i="6"/>
  <c r="A685" i="6"/>
  <c r="A875" i="6"/>
  <c r="A300" i="6"/>
  <c r="A107" i="6"/>
  <c r="A822" i="6"/>
  <c r="A409" i="6"/>
  <c r="A497" i="6"/>
  <c r="A371" i="6"/>
  <c r="A352" i="6"/>
  <c r="A374" i="6"/>
  <c r="A124" i="6"/>
  <c r="A452" i="6"/>
  <c r="A599" i="6"/>
  <c r="A892" i="6"/>
  <c r="A867" i="6"/>
  <c r="A470" i="6"/>
  <c r="A329" i="6"/>
  <c r="A319" i="6"/>
  <c r="A32" i="6"/>
  <c r="A389" i="6"/>
  <c r="A1002" i="6"/>
  <c r="A571" i="6"/>
  <c r="A518" i="6"/>
  <c r="A472" i="6"/>
  <c r="A322" i="6"/>
  <c r="A341" i="6"/>
  <c r="A245" i="6"/>
  <c r="A957" i="6"/>
  <c r="A366" i="6"/>
  <c r="A777" i="6"/>
  <c r="A625" i="6"/>
  <c r="A724" i="6"/>
  <c r="A440" i="6"/>
  <c r="A360" i="6"/>
  <c r="A351" i="6"/>
  <c r="A524" i="6"/>
  <c r="A41" i="6"/>
  <c r="A252" i="6"/>
  <c r="A788" i="6"/>
  <c r="A1076" i="6"/>
  <c r="A493" i="6"/>
  <c r="A173" i="6"/>
  <c r="A460" i="6"/>
  <c r="A915" i="6"/>
  <c r="A258" i="6"/>
  <c r="A913" i="6"/>
  <c r="A275" i="6"/>
  <c r="A320" i="6"/>
  <c r="A265" i="6"/>
  <c r="A1024" i="6"/>
  <c r="A473" i="6"/>
  <c r="A102" i="6"/>
  <c r="A443" i="6"/>
  <c r="A95" i="6"/>
  <c r="A36" i="6"/>
  <c r="A1017" i="6"/>
  <c r="A494" i="6"/>
  <c r="A421" i="6"/>
  <c r="A263" i="6"/>
  <c r="A308" i="6"/>
  <c r="A1014" i="6"/>
  <c r="A933" i="6"/>
  <c r="A255" i="6"/>
  <c r="A961" i="6"/>
  <c r="A1054" i="6"/>
  <c r="A711" i="6"/>
  <c r="A48" i="6"/>
  <c r="A46" i="6"/>
  <c r="A415" i="6"/>
  <c r="A655" i="6"/>
  <c r="A311" i="6"/>
  <c r="A425" i="6"/>
  <c r="A163" i="6"/>
  <c r="A610" i="6"/>
  <c r="A271" i="6"/>
  <c r="A154" i="6"/>
  <c r="A189" i="6"/>
  <c r="A826" i="6"/>
  <c r="A508" i="6"/>
  <c r="A177" i="6"/>
  <c r="A504" i="6"/>
  <c r="A120" i="6"/>
  <c r="A70" i="6"/>
  <c r="A597" i="6"/>
  <c r="A865" i="6"/>
  <c r="A802" i="6"/>
  <c r="A773" i="6"/>
  <c r="A28" i="6"/>
  <c r="A152" i="6"/>
  <c r="A763" i="6"/>
  <c r="A327" i="6"/>
  <c r="A575" i="6"/>
  <c r="A1068" i="6"/>
  <c r="A563" i="6"/>
  <c r="A574" i="6"/>
  <c r="A369" i="6"/>
  <c r="A944" i="6"/>
  <c r="A1009" i="6"/>
  <c r="A347" i="6"/>
  <c r="A658" i="6"/>
  <c r="A210" i="6"/>
  <c r="A512" i="6"/>
  <c r="A156" i="6"/>
  <c r="A929" i="6"/>
  <c r="A282" i="6"/>
  <c r="A412" i="6"/>
  <c r="A103" i="6"/>
  <c r="A689" i="6"/>
  <c r="A290" i="6"/>
  <c r="A927" i="6"/>
  <c r="A616" i="6"/>
  <c r="A572" i="6"/>
  <c r="A1038" i="6"/>
  <c r="A186" i="6"/>
  <c r="A936" i="6"/>
  <c r="A621" i="6"/>
  <c r="A882" i="6"/>
  <c r="A816" i="6"/>
  <c r="A785" i="6"/>
  <c r="A786" i="6"/>
  <c r="A491" i="6"/>
  <c r="A811" i="6"/>
  <c r="A82" i="6"/>
  <c r="A242" i="6"/>
  <c r="A359" i="6"/>
  <c r="A940" i="6"/>
  <c r="A142" i="6"/>
  <c r="A187" i="6"/>
  <c r="A1016" i="6"/>
  <c r="A195" i="6"/>
  <c r="A231" i="6"/>
  <c r="A736" i="6"/>
  <c r="A693" i="6"/>
  <c r="A966" i="6"/>
  <c r="A874" i="6"/>
  <c r="A712" i="6"/>
  <c r="A394" i="6"/>
  <c r="A609" i="6"/>
  <c r="A160" i="6"/>
  <c r="A789" i="6"/>
  <c r="A230" i="6"/>
  <c r="A288" i="6"/>
  <c r="A681" i="6"/>
  <c r="A1095" i="6"/>
  <c r="A607" i="6"/>
  <c r="A51" i="6"/>
  <c r="A1033" i="6"/>
  <c r="A392" i="6"/>
  <c r="A880" i="6"/>
  <c r="A405" i="6"/>
  <c r="A631" i="6"/>
  <c r="A22" i="6"/>
  <c r="A750" i="6"/>
  <c r="A315" i="6"/>
  <c r="A370" i="6"/>
  <c r="A840" i="6"/>
  <c r="A925" i="6"/>
  <c r="A176" i="6"/>
  <c r="A996" i="6"/>
  <c r="A462" i="6"/>
  <c r="A911" i="6"/>
  <c r="A363" i="6"/>
  <c r="A62" i="6"/>
  <c r="A894" i="6"/>
  <c r="A178" i="6"/>
  <c r="A414" i="6"/>
  <c r="A846" i="6"/>
  <c r="A183" i="6"/>
  <c r="A836" i="6"/>
  <c r="A254" i="6"/>
  <c r="A986" i="6"/>
  <c r="A542" i="6"/>
  <c r="A246" i="6"/>
  <c r="A656" i="6"/>
  <c r="A897" i="6"/>
  <c r="A1069" i="6"/>
  <c r="A361" i="6"/>
  <c r="A899" i="6"/>
  <c r="A444" i="6"/>
  <c r="A547" i="6"/>
  <c r="A401" i="6"/>
  <c r="A289" i="6"/>
  <c r="A1034" i="6"/>
  <c r="A530" i="6"/>
  <c r="A861" i="6"/>
  <c r="A657" i="6"/>
  <c r="A79" i="6"/>
  <c r="A507" i="6"/>
  <c r="A30" i="6"/>
  <c r="A649" i="6"/>
  <c r="A94" i="6"/>
  <c r="A335" i="6"/>
  <c r="A367" i="6"/>
  <c r="A519" i="6"/>
  <c r="A596" i="6"/>
  <c r="A1052" i="6"/>
  <c r="A431" i="6"/>
  <c r="A221" i="6"/>
  <c r="A346" i="6"/>
  <c r="A745" i="6"/>
  <c r="A47" i="6"/>
  <c r="A560" i="6"/>
  <c r="A69" i="6"/>
  <c r="A910" i="6"/>
  <c r="A199" i="6"/>
  <c r="A805" i="6"/>
  <c r="A305" i="6"/>
  <c r="A1041" i="6"/>
  <c r="A926" i="6"/>
  <c r="A317" i="6"/>
  <c r="A554" i="6"/>
  <c r="A188" i="6"/>
  <c r="A708" i="6"/>
  <c r="A135" i="6"/>
  <c r="A974" i="6"/>
  <c r="A297" i="6"/>
  <c r="A1007" i="6"/>
  <c r="A876" i="6"/>
  <c r="A583" i="6"/>
  <c r="A404" i="6"/>
  <c r="A612" i="6"/>
  <c r="A213" i="6"/>
  <c r="A139" i="6"/>
  <c r="A201" i="6"/>
  <c r="A989" i="6"/>
  <c r="A115" i="6"/>
  <c r="A237" i="6"/>
  <c r="A1061" i="6"/>
  <c r="A884" i="6"/>
  <c r="A122" i="6"/>
  <c r="A373" i="6"/>
  <c r="A471" i="6"/>
  <c r="A995" i="6"/>
  <c r="A168" i="6"/>
  <c r="A217" i="6"/>
  <c r="A287" i="6"/>
  <c r="A298" i="6"/>
  <c r="A353" i="6"/>
  <c r="A1031" i="6"/>
  <c r="A484" i="6"/>
  <c r="A970" i="6"/>
  <c r="A534" i="6"/>
  <c r="A326" i="6"/>
  <c r="A964" i="6"/>
  <c r="A454" i="6"/>
  <c r="A1027" i="6"/>
  <c r="A701" i="6"/>
  <c r="A407" i="6"/>
  <c r="A192" i="6"/>
  <c r="A946" i="6"/>
  <c r="A1044" i="6"/>
  <c r="A464" i="6"/>
  <c r="A952" i="6"/>
  <c r="A604" i="6"/>
  <c r="A410" i="6"/>
  <c r="A667" i="6"/>
  <c r="A967" i="6"/>
  <c r="A630" i="6"/>
  <c r="A180" i="6"/>
  <c r="A778" i="6"/>
  <c r="A355" i="6"/>
  <c r="A505" i="6"/>
  <c r="A824" i="6"/>
  <c r="A262" i="6"/>
  <c r="A552" i="6"/>
  <c r="A611" i="6"/>
  <c r="A771" i="6"/>
  <c r="A356" i="6"/>
  <c r="A819" i="6"/>
  <c r="A81" i="6"/>
  <c r="A23" i="6"/>
  <c r="A1042" i="6"/>
  <c r="A129" i="6"/>
  <c r="A752" i="6"/>
  <c r="A1084" i="6"/>
  <c r="A598" i="6"/>
  <c r="A850" i="6"/>
  <c r="A767" i="6"/>
  <c r="A614" i="6"/>
  <c r="A662" i="6"/>
  <c r="A349" i="6"/>
  <c r="A838" i="6"/>
  <c r="A930" i="6"/>
  <c r="A868" i="6"/>
  <c r="A635" i="6"/>
  <c r="A61" i="6"/>
  <c r="A682" i="6"/>
  <c r="A728" i="6"/>
  <c r="A1043" i="6"/>
  <c r="A423" i="6"/>
  <c r="A390" i="6"/>
  <c r="A174" i="6"/>
  <c r="A395" i="6"/>
  <c r="A578" i="6"/>
  <c r="A743" i="6"/>
  <c r="A185" i="6"/>
  <c r="A582" i="6"/>
  <c r="A480" i="6"/>
  <c r="A295" i="6"/>
  <c r="A912" i="6"/>
  <c r="A63" i="6"/>
  <c r="A639" i="6"/>
  <c r="A972" i="6"/>
  <c r="A433" i="6"/>
  <c r="A688" i="6"/>
  <c r="A424" i="6"/>
  <c r="A914" i="6"/>
  <c r="A644" i="6"/>
  <c r="A131" i="6"/>
  <c r="A600" i="6"/>
  <c r="A904" i="6"/>
  <c r="A556" i="6"/>
  <c r="A119" i="6"/>
  <c r="A241" i="6"/>
  <c r="A654" i="6"/>
  <c r="A1000" i="6"/>
  <c r="A207" i="6"/>
  <c r="A1075" i="6"/>
  <c r="A839" i="6"/>
  <c r="A676" i="6"/>
  <c r="A280" i="6"/>
  <c r="A871" i="6"/>
  <c r="A441" i="6"/>
  <c r="A908" i="6"/>
  <c r="A615" i="6"/>
  <c r="A715" i="6"/>
  <c r="A732" i="6"/>
  <c r="A134" i="6"/>
  <c r="A555" i="6"/>
  <c r="A339" i="6"/>
  <c r="A434" i="6"/>
  <c r="A720" i="6"/>
  <c r="A147" i="6"/>
  <c r="A922" i="6"/>
  <c r="A1036" i="6"/>
  <c r="A790" i="6"/>
  <c r="A365" i="6"/>
  <c r="A202" i="6"/>
  <c r="A312" i="6"/>
  <c r="A928" i="6"/>
  <c r="A776" i="6"/>
  <c r="A949" i="6"/>
  <c r="A985" i="6"/>
  <c r="A418" i="6"/>
  <c r="A756" i="6"/>
  <c r="A918" i="6"/>
  <c r="A837" i="6"/>
  <c r="A963" i="6"/>
  <c r="A158" i="6"/>
  <c r="A1065" i="6"/>
  <c r="A262" i="5"/>
  <c r="A334" i="5"/>
  <c r="A259" i="5"/>
  <c r="A329" i="5"/>
  <c r="A265" i="5"/>
  <c r="A343" i="5"/>
  <c r="A87" i="5"/>
  <c r="A105" i="5"/>
  <c r="A232" i="5"/>
  <c r="A146" i="5"/>
  <c r="A19" i="5"/>
  <c r="A16" i="5"/>
  <c r="A80" i="5"/>
  <c r="A208" i="5"/>
  <c r="A13" i="5"/>
  <c r="A22" i="5"/>
  <c r="A278" i="5"/>
  <c r="A167" i="5"/>
  <c r="A361" i="5"/>
  <c r="A297" i="5"/>
  <c r="A168" i="5"/>
  <c r="A41" i="5"/>
  <c r="A72" i="5"/>
  <c r="A200" i="5"/>
  <c r="A243" i="5"/>
  <c r="A114" i="5"/>
  <c r="A113" i="5"/>
  <c r="A240" i="5"/>
  <c r="A121" i="5"/>
  <c r="A248" i="5"/>
  <c r="A86" i="5"/>
  <c r="A323" i="5"/>
  <c r="A60" i="5"/>
  <c r="A125" i="5"/>
  <c r="A188" i="5"/>
  <c r="A191" i="5"/>
  <c r="A126" i="5"/>
  <c r="A63" i="5"/>
  <c r="A197" i="5"/>
  <c r="A132" i="5"/>
  <c r="A69" i="5"/>
  <c r="A289" i="5"/>
  <c r="A160" i="5"/>
  <c r="A33" i="5"/>
  <c r="A235" i="5"/>
  <c r="A106" i="5"/>
  <c r="A349" i="5"/>
  <c r="A9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270" i="5"/>
  <c r="A237" i="5"/>
  <c r="A108" i="5"/>
  <c r="A35" i="5"/>
  <c r="A220" i="5"/>
  <c r="A138" i="5"/>
  <c r="A11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219" i="5"/>
  <c r="A133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<sst xmlns="http://schemas.openxmlformats.org/spreadsheetml/2006/main" count="49" uniqueCount="36">
  <si>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</si>
  <si>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</si>
  <si>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</si>
  <si>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</si>
  <si>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</si>
  <si>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</si>
  <si>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</si>
  <si>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</si>
  <si>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</si>
  <si>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</si>
  <si>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</si>
  <si>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</si>
  <si>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</si>
  <si>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</si>
  <si>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</si>
  <si>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</si>
  <si>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</si>
  <si>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</si>
  <si>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</si>
  <si>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</si>
  <si>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</si>
  <si>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</si>
  <si>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</si>
  <si>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</si>
  <si>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</si>
  <si>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</si>
  <si>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</si>
  <si>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</si>
  <si>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</si>
  <si>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08.00</t>
  </si>
  <si>
    <t>12.00</t>
  </si>
  <si>
    <t>16.00</t>
  </si>
  <si>
    <t>Proeftuin Concordia</t>
  </si>
  <si>
    <t>Weerkundige waarnemingen Sint Eustatius</t>
  </si>
  <si>
    <t>Wilton</t>
  </si>
  <si>
    <t>Oranjestad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</si>
</sst>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_0_0_0_0_0_0_0;\-0_0_0_0_0_0_0_0;&quot;∙&quot;_,_0_0_0_0_0_0_0;@_0_0_0_0_0_0_0"/>
    <numFmt numFmtId="172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4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6" xfId="0" applyBorder="1"/>
    <xf numFmtId="167" fontId="0" fillId="0" borderId="6" xfId="0" applyNumberFormat="1" applyBorder="1"/>
    <xf numFmtId="166" fontId="0" fillId="0" borderId="6" xfId="0" applyNumberForma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3" fillId="0" borderId="0" xfId="0" applyFont="1"/>
    <xf numFmtId="0" fontId="1" fillId="0" borderId="1" xfId="0" applyFont="1" applyBorder="1" applyAlignment="1">
      <alignment horizontal="center"/>
    </xf>
    <xf numFmtId="170" fontId="0" fillId="3" borderId="5" xfId="0" applyNumberFormat="1" applyFill="1" applyBorder="1"/>
    <xf numFmtId="170" fontId="0" fillId="3" borderId="0" xfId="0" applyNumberFormat="1" applyFill="1" applyBorder="1"/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8" fontId="0" fillId="0" borderId="0" xfId="0" applyNumberFormat="1" applyAlignment="1">
      <alignment horizontal="righ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 wrapText="1"/>
    </xf>
    <xf numFmtId="171" fontId="0" fillId="4" borderId="11" xfId="0" applyNumberFormat="1" applyFill="1" applyBorder="1" applyProtection="1">
      <protection locked="0"/>
    </xf>
    <xf numFmtId="172" fontId="0" fillId="4" borderId="11" xfId="0" applyNumberFormat="1" applyFill="1" applyBorder="1"/>
    <xf numFmtId="171" fontId="0" fillId="4" borderId="11" xfId="0" applyNumberFormat="1" applyFill="1" applyBorder="1" applyAlignment="1" applyProtection="1">
      <protection locked="0"/>
    </xf>
    <xf numFmtId="171" fontId="0" fillId="4" borderId="11" xfId="0" applyNumberFormat="1" applyFill="1" applyBorder="1" applyAlignment="1" applyProtection="1">
      <alignment horizontal="right"/>
      <protection locked="0"/>
    </xf>
    <xf numFmtId="0" fontId="1" fillId="0" borderId="8" xfId="0" applyFont="1" applyBorder="1" applyAlignment="1"/>
    <xf numFmtId="0" fontId="1" fillId="0" borderId="1" xfId="0" applyFont="1" applyBorder="1" applyAlignment="1"/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381"/>
  <sheetViews>
    <sheetView tabSelected="1" workbookViewId="0">
      <pane xSplit="1" ySplit="4" topLeftCell="B350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5" max="5" width="17.7109375" customWidth="1"/>
  </cols>
  <sheetData>
    <row r="1" spans="1:5" ht="18" x14ac:dyDescent="0.25">
      <c r="A1" s="38" t="s">
        <v>33</v>
      </c>
      <c r="B1" s="38"/>
      <c r="C1" s="38"/>
      <c r="D1" s="38"/>
      <c r="E1" s="38"/>
    </row>
    <row r="3" spans="1:5" x14ac:dyDescent="0.25">
      <c r="A3" s="36" t="s">
        <v>0</v>
      </c>
      <c r="B3" s="34" t="s">
        <v>28</v>
      </c>
      <c r="C3" s="35"/>
      <c r="D3" s="35"/>
      <c r="E3" s="26" t="s">
        <v>1</v>
      </c>
    </row>
    <row r="4" spans="1:5" ht="30" x14ac:dyDescent="0.25">
      <c r="A4" s="37"/>
      <c r="B4" s="2" t="s">
        <v>29</v>
      </c>
      <c r="C4" s="3" t="s">
        <v>30</v>
      </c>
      <c r="D4" s="3" t="s">
        <v>31</v>
      </c>
      <c r="E4" s="27" t="s">
        <v>32</v>
      </c>
    </row>
    <row r="5" spans="1:5" x14ac:dyDescent="0.25">
      <c r="A5" s="1">
        <f ca="1">DATE(VALUE(MID(CELL("bestandsnaam"),FIND(".",CELL("bestandsnaam"))-4,4)),1,1)</f>
        <v>16803</v>
      </c>
      <c r="B5" s="4"/>
      <c r="C5" s="5"/>
      <c r="D5" s="5"/>
      <c r="E5" s="28">
        <v>0</v>
      </c>
    </row>
    <row r="6" spans="1:5" x14ac:dyDescent="0.25">
      <c r="A6" s="1">
        <f ca="1">IF(ISTEXT(A5),A4+1,IF(MONTH(A5+1)=MONTH(A5),A5+1,"Totaal"))</f>
        <v>16804</v>
      </c>
      <c r="B6" s="4"/>
      <c r="C6" s="5"/>
      <c r="D6" s="5"/>
      <c r="E6" s="30">
        <v>6</v>
      </c>
    </row>
    <row r="7" spans="1:5" x14ac:dyDescent="0.25">
      <c r="A7" s="1">
        <f t="shared" ref="A7:A70" ca="1" si="0">IF(ISTEXT(A6),A5+1,IF(MONTH(A6+1)=MONTH(A6),A6+1,"Totaal"))</f>
        <v>16805</v>
      </c>
      <c r="B7" s="4"/>
      <c r="C7" s="5"/>
      <c r="D7" s="5"/>
      <c r="E7" s="31">
        <v>0</v>
      </c>
    </row>
    <row r="8" spans="1:5" x14ac:dyDescent="0.25">
      <c r="A8" s="1">
        <f t="shared" ca="1" si="0"/>
        <v>16806</v>
      </c>
      <c r="B8" s="4"/>
      <c r="C8" s="5"/>
      <c r="D8" s="5"/>
      <c r="E8" s="28">
        <v>0</v>
      </c>
    </row>
    <row r="9" spans="1:5" x14ac:dyDescent="0.25">
      <c r="A9" s="1">
        <f t="shared" ca="1" si="0"/>
        <v>16807</v>
      </c>
      <c r="B9" s="4"/>
      <c r="C9" s="5"/>
      <c r="D9" s="5"/>
      <c r="E9" s="28">
        <v>0</v>
      </c>
    </row>
    <row r="10" spans="1:5" x14ac:dyDescent="0.25">
      <c r="A10" s="1">
        <f t="shared" ca="1" si="0"/>
        <v>16808</v>
      </c>
      <c r="B10" s="4"/>
      <c r="C10" s="5"/>
      <c r="D10" s="5"/>
      <c r="E10" s="28">
        <v>21</v>
      </c>
    </row>
    <row r="11" spans="1:5" x14ac:dyDescent="0.25">
      <c r="A11" s="1">
        <f t="shared" ca="1" si="0"/>
        <v>16809</v>
      </c>
      <c r="B11" s="4"/>
      <c r="C11" s="5"/>
      <c r="D11" s="5"/>
      <c r="E11" s="28">
        <v>0</v>
      </c>
    </row>
    <row r="12" spans="1:5" x14ac:dyDescent="0.25">
      <c r="A12" s="1">
        <f t="shared" ca="1" si="0"/>
        <v>16810</v>
      </c>
      <c r="B12" s="4"/>
      <c r="C12" s="5"/>
      <c r="D12" s="5"/>
      <c r="E12" s="28">
        <v>8</v>
      </c>
    </row>
    <row r="13" spans="1:5" x14ac:dyDescent="0.25">
      <c r="A13" s="1">
        <f t="shared" ca="1" si="0"/>
        <v>16811</v>
      </c>
      <c r="B13" s="4"/>
      <c r="C13" s="5"/>
      <c r="D13" s="5"/>
      <c r="E13" s="28">
        <v>0</v>
      </c>
    </row>
    <row r="14" spans="1:5" x14ac:dyDescent="0.25">
      <c r="A14" s="1">
        <f t="shared" ca="1" si="0"/>
        <v>16812</v>
      </c>
      <c r="B14" s="4"/>
      <c r="C14" s="5"/>
      <c r="D14" s="5"/>
      <c r="E14" s="28">
        <v>8</v>
      </c>
    </row>
    <row r="15" spans="1:5" x14ac:dyDescent="0.25">
      <c r="A15" s="1">
        <f t="shared" ca="1" si="0"/>
        <v>16813</v>
      </c>
      <c r="B15" s="4"/>
      <c r="C15" s="5"/>
      <c r="D15" s="5"/>
      <c r="E15" s="28">
        <v>0</v>
      </c>
    </row>
    <row r="16" spans="1:5" x14ac:dyDescent="0.25">
      <c r="A16" s="1">
        <f t="shared" ca="1" si="0"/>
        <v>16814</v>
      </c>
      <c r="B16" s="4"/>
      <c r="C16" s="5"/>
      <c r="D16" s="5"/>
      <c r="E16" s="28">
        <v>0</v>
      </c>
    </row>
    <row r="17" spans="1:5" x14ac:dyDescent="0.25">
      <c r="A17" s="1">
        <f t="shared" ca="1" si="0"/>
        <v>16815</v>
      </c>
      <c r="B17" s="4"/>
      <c r="C17" s="5"/>
      <c r="D17" s="5"/>
      <c r="E17" s="28">
        <v>0</v>
      </c>
    </row>
    <row r="18" spans="1:5" x14ac:dyDescent="0.25">
      <c r="A18" s="1">
        <f t="shared" ca="1" si="0"/>
        <v>16816</v>
      </c>
      <c r="B18" s="4"/>
      <c r="C18" s="5"/>
      <c r="D18" s="5"/>
      <c r="E18" s="28">
        <v>10</v>
      </c>
    </row>
    <row r="19" spans="1:5" x14ac:dyDescent="0.25">
      <c r="A19" s="1">
        <f t="shared" ca="1" si="0"/>
        <v>16817</v>
      </c>
      <c r="B19" s="4"/>
      <c r="C19" s="5"/>
      <c r="D19" s="5"/>
      <c r="E19" s="28">
        <v>0</v>
      </c>
    </row>
    <row r="20" spans="1:5" x14ac:dyDescent="0.25">
      <c r="A20" s="1">
        <f t="shared" ca="1" si="0"/>
        <v>16818</v>
      </c>
      <c r="B20" s="4"/>
      <c r="C20" s="5"/>
      <c r="D20" s="5"/>
      <c r="E20" s="28">
        <v>15</v>
      </c>
    </row>
    <row r="21" spans="1:5" x14ac:dyDescent="0.25">
      <c r="A21" s="1">
        <f t="shared" ca="1" si="0"/>
        <v>16819</v>
      </c>
      <c r="B21" s="4"/>
      <c r="C21" s="5"/>
      <c r="D21" s="5"/>
      <c r="E21" s="28">
        <v>45</v>
      </c>
    </row>
    <row r="22" spans="1:5" x14ac:dyDescent="0.25">
      <c r="A22" s="1">
        <f t="shared" ca="1" si="0"/>
        <v>16820</v>
      </c>
      <c r="B22" s="4"/>
      <c r="C22" s="5"/>
      <c r="D22" s="5"/>
      <c r="E22" s="28">
        <v>0</v>
      </c>
    </row>
    <row r="23" spans="1:5" x14ac:dyDescent="0.25">
      <c r="A23" s="1">
        <f t="shared" ca="1" si="0"/>
        <v>16821</v>
      </c>
      <c r="B23" s="4"/>
      <c r="C23" s="5"/>
      <c r="D23" s="5"/>
      <c r="E23" s="28">
        <v>0</v>
      </c>
    </row>
    <row r="24" spans="1:5" x14ac:dyDescent="0.25">
      <c r="A24" s="1">
        <f t="shared" ca="1" si="0"/>
        <v>16822</v>
      </c>
      <c r="B24" s="4"/>
      <c r="C24" s="5"/>
      <c r="D24" s="5"/>
      <c r="E24" s="28">
        <v>0</v>
      </c>
    </row>
    <row r="25" spans="1:5" x14ac:dyDescent="0.25">
      <c r="A25" s="1">
        <f t="shared" ca="1" si="0"/>
        <v>16823</v>
      </c>
      <c r="B25" s="4"/>
      <c r="C25" s="5"/>
      <c r="D25" s="5"/>
      <c r="E25" s="28">
        <v>0</v>
      </c>
    </row>
    <row r="26" spans="1:5" x14ac:dyDescent="0.25">
      <c r="A26" s="1">
        <f t="shared" ca="1" si="0"/>
        <v>16824</v>
      </c>
      <c r="B26" s="4"/>
      <c r="C26" s="5"/>
      <c r="D26" s="5"/>
      <c r="E26" s="28">
        <v>0</v>
      </c>
    </row>
    <row r="27" spans="1:5" x14ac:dyDescent="0.25">
      <c r="A27" s="1">
        <f t="shared" ca="1" si="0"/>
        <v>16825</v>
      </c>
      <c r="B27" s="4"/>
      <c r="C27" s="5"/>
      <c r="D27" s="5"/>
      <c r="E27" s="28">
        <v>0</v>
      </c>
    </row>
    <row r="28" spans="1:5" x14ac:dyDescent="0.25">
      <c r="A28" s="1">
        <f t="shared" ca="1" si="0"/>
        <v>16826</v>
      </c>
      <c r="B28" s="4"/>
      <c r="C28" s="5"/>
      <c r="D28" s="5"/>
      <c r="E28" s="28">
        <v>0</v>
      </c>
    </row>
    <row r="29" spans="1:5" x14ac:dyDescent="0.25">
      <c r="A29" s="1">
        <f t="shared" ca="1" si="0"/>
        <v>16827</v>
      </c>
      <c r="B29" s="4"/>
      <c r="C29" s="5"/>
      <c r="D29" s="5"/>
      <c r="E29" s="28">
        <v>0</v>
      </c>
    </row>
    <row r="30" spans="1:5" x14ac:dyDescent="0.25">
      <c r="A30" s="1">
        <f t="shared" ca="1" si="0"/>
        <v>16828</v>
      </c>
      <c r="B30" s="4"/>
      <c r="C30" s="5"/>
      <c r="D30" s="5"/>
      <c r="E30" s="28">
        <v>0</v>
      </c>
    </row>
    <row r="31" spans="1:5" x14ac:dyDescent="0.25">
      <c r="A31" s="1">
        <f t="shared" ca="1" si="0"/>
        <v>16829</v>
      </c>
      <c r="B31" s="4"/>
      <c r="C31" s="5"/>
      <c r="D31" s="5"/>
      <c r="E31" s="28">
        <v>0</v>
      </c>
    </row>
    <row r="32" spans="1:5" x14ac:dyDescent="0.25">
      <c r="A32" s="1">
        <f t="shared" ca="1" si="0"/>
        <v>16830</v>
      </c>
      <c r="B32" s="4"/>
      <c r="C32" s="5"/>
      <c r="D32" s="5"/>
      <c r="E32" s="28">
        <v>9</v>
      </c>
    </row>
    <row r="33" spans="1:5" x14ac:dyDescent="0.25">
      <c r="A33" s="1">
        <f t="shared" ca="1" si="0"/>
        <v>16831</v>
      </c>
      <c r="B33" s="4"/>
      <c r="C33" s="5"/>
      <c r="D33" s="5"/>
      <c r="E33" s="28">
        <v>0</v>
      </c>
    </row>
    <row r="34" spans="1:5" x14ac:dyDescent="0.25">
      <c r="A34" s="1">
        <f t="shared" ca="1" si="0"/>
        <v>16832</v>
      </c>
      <c r="B34" s="4"/>
      <c r="C34" s="5"/>
      <c r="D34" s="5"/>
      <c r="E34" s="28">
        <v>23</v>
      </c>
    </row>
    <row r="35" spans="1:5" x14ac:dyDescent="0.25">
      <c r="A35" s="1">
        <f t="shared" ca="1" si="0"/>
        <v>16833</v>
      </c>
      <c r="B35" s="4"/>
      <c r="C35" s="5"/>
      <c r="D35" s="5"/>
      <c r="E35" s="28">
        <v>21</v>
      </c>
    </row>
    <row r="36" spans="1:5" x14ac:dyDescent="0.25">
      <c r="A36" s="1" t="str">
        <f t="shared" ca="1" si="0"/>
        <v>Totaal</v>
      </c>
      <c r="B36" s="18" t="str">
        <f>IF(COUNT(B5:B35)&gt;0,AVERAGE(B5:B35),"")</f>
        <v/>
      </c>
      <c r="C36" s="19" t="str">
        <f t="shared" ref="C36:D36" si="1">IF(COUNT(C5:C35)&gt;0,AVERAGE(C5:C35),"")</f>
        <v/>
      </c>
      <c r="D36" s="19" t="str">
        <f t="shared" si="1"/>
        <v/>
      </c>
      <c r="E36" s="29">
        <f>SUM(E5:E35)/10</f>
        <v>16.600000000000001</v>
      </c>
    </row>
    <row r="37" spans="1:5" x14ac:dyDescent="0.25">
      <c r="A37" s="1">
        <f t="shared" ca="1" si="0"/>
        <v>16834</v>
      </c>
      <c r="B37" s="4"/>
      <c r="C37" s="5"/>
      <c r="D37" s="5"/>
      <c r="E37" s="28">
        <v>0</v>
      </c>
    </row>
    <row r="38" spans="1:5" x14ac:dyDescent="0.25">
      <c r="A38" s="1">
        <f t="shared" ca="1" si="0"/>
        <v>16835</v>
      </c>
      <c r="B38" s="4"/>
      <c r="C38" s="5"/>
      <c r="D38" s="5"/>
      <c r="E38" s="28">
        <v>0</v>
      </c>
    </row>
    <row r="39" spans="1:5" x14ac:dyDescent="0.25">
      <c r="A39" s="1">
        <f t="shared" ca="1" si="0"/>
        <v>16836</v>
      </c>
      <c r="B39" s="4"/>
      <c r="C39" s="5"/>
      <c r="D39" s="5"/>
      <c r="E39" s="28">
        <v>0</v>
      </c>
    </row>
    <row r="40" spans="1:5" x14ac:dyDescent="0.25">
      <c r="A40" s="1">
        <f t="shared" ca="1" si="0"/>
        <v>16837</v>
      </c>
      <c r="B40" s="4"/>
      <c r="C40" s="5"/>
      <c r="D40" s="5"/>
      <c r="E40" s="28">
        <v>68</v>
      </c>
    </row>
    <row r="41" spans="1:5" x14ac:dyDescent="0.25">
      <c r="A41" s="1">
        <f t="shared" ca="1" si="0"/>
        <v>16838</v>
      </c>
      <c r="B41" s="4"/>
      <c r="C41" s="5"/>
      <c r="D41" s="5"/>
      <c r="E41" s="28">
        <v>132</v>
      </c>
    </row>
    <row r="42" spans="1:5" x14ac:dyDescent="0.25">
      <c r="A42" s="1">
        <f t="shared" ca="1" si="0"/>
        <v>16839</v>
      </c>
      <c r="B42" s="4"/>
      <c r="C42" s="5"/>
      <c r="D42" s="5"/>
      <c r="E42" s="28">
        <v>9</v>
      </c>
    </row>
    <row r="43" spans="1:5" x14ac:dyDescent="0.25">
      <c r="A43" s="1">
        <f t="shared" ca="1" si="0"/>
        <v>16840</v>
      </c>
      <c r="B43" s="4"/>
      <c r="C43" s="5"/>
      <c r="D43" s="5"/>
      <c r="E43" s="28">
        <v>0</v>
      </c>
    </row>
    <row r="44" spans="1:5" x14ac:dyDescent="0.25">
      <c r="A44" s="1">
        <f t="shared" ca="1" si="0"/>
        <v>16841</v>
      </c>
      <c r="B44" s="4"/>
      <c r="C44" s="5"/>
      <c r="D44" s="5"/>
      <c r="E44" s="28">
        <v>0</v>
      </c>
    </row>
    <row r="45" spans="1:5" x14ac:dyDescent="0.25">
      <c r="A45" s="1">
        <f t="shared" ca="1" si="0"/>
        <v>16842</v>
      </c>
      <c r="B45" s="4"/>
      <c r="C45" s="5"/>
      <c r="D45" s="5"/>
      <c r="E45" s="28">
        <v>0</v>
      </c>
    </row>
    <row r="46" spans="1:5" x14ac:dyDescent="0.25">
      <c r="A46" s="1">
        <f t="shared" ca="1" si="0"/>
        <v>16843</v>
      </c>
      <c r="B46" s="4"/>
      <c r="C46" s="5"/>
      <c r="D46" s="5"/>
      <c r="E46" s="28">
        <v>0</v>
      </c>
    </row>
    <row r="47" spans="1:5" x14ac:dyDescent="0.25">
      <c r="A47" s="1">
        <f t="shared" ca="1" si="0"/>
        <v>16844</v>
      </c>
      <c r="B47" s="4"/>
      <c r="C47" s="5"/>
      <c r="D47" s="5"/>
      <c r="E47" s="28">
        <v>0</v>
      </c>
    </row>
    <row r="48" spans="1:5" x14ac:dyDescent="0.25">
      <c r="A48" s="1">
        <f t="shared" ca="1" si="0"/>
        <v>16845</v>
      </c>
      <c r="B48" s="4"/>
      <c r="C48" s="5"/>
      <c r="D48" s="5"/>
      <c r="E48" s="28">
        <v>0</v>
      </c>
    </row>
    <row r="49" spans="1:5" x14ac:dyDescent="0.25">
      <c r="A49" s="1">
        <f t="shared" ca="1" si="0"/>
        <v>16846</v>
      </c>
      <c r="B49" s="4"/>
      <c r="C49" s="5"/>
      <c r="D49" s="5"/>
      <c r="E49" s="28">
        <v>61</v>
      </c>
    </row>
    <row r="50" spans="1:5" x14ac:dyDescent="0.25">
      <c r="A50" s="1">
        <f t="shared" ca="1" si="0"/>
        <v>16847</v>
      </c>
      <c r="B50" s="4"/>
      <c r="C50" s="5"/>
      <c r="D50" s="5"/>
      <c r="E50" s="28">
        <v>0</v>
      </c>
    </row>
    <row r="51" spans="1:5" x14ac:dyDescent="0.25">
      <c r="A51" s="1">
        <f t="shared" ca="1" si="0"/>
        <v>16848</v>
      </c>
      <c r="B51" s="4"/>
      <c r="C51" s="5"/>
      <c r="D51" s="5"/>
      <c r="E51" s="28">
        <v>0</v>
      </c>
    </row>
    <row r="52" spans="1:5" x14ac:dyDescent="0.25">
      <c r="A52" s="1">
        <f t="shared" ca="1" si="0"/>
        <v>16849</v>
      </c>
      <c r="B52" s="4"/>
      <c r="C52" s="5"/>
      <c r="D52" s="5"/>
      <c r="E52" s="28">
        <v>26</v>
      </c>
    </row>
    <row r="53" spans="1:5" x14ac:dyDescent="0.25">
      <c r="A53" s="1">
        <f t="shared" ca="1" si="0"/>
        <v>16850</v>
      </c>
      <c r="B53" s="4"/>
      <c r="C53" s="5"/>
      <c r="D53" s="5"/>
      <c r="E53" s="28">
        <v>23</v>
      </c>
    </row>
    <row r="54" spans="1:5" x14ac:dyDescent="0.25">
      <c r="A54" s="1">
        <f t="shared" ca="1" si="0"/>
        <v>16851</v>
      </c>
      <c r="B54" s="4"/>
      <c r="C54" s="5"/>
      <c r="D54" s="5"/>
      <c r="E54" s="28">
        <v>39</v>
      </c>
    </row>
    <row r="55" spans="1:5" x14ac:dyDescent="0.25">
      <c r="A55" s="1">
        <f t="shared" ca="1" si="0"/>
        <v>16852</v>
      </c>
      <c r="B55" s="4"/>
      <c r="C55" s="5"/>
      <c r="D55" s="5"/>
      <c r="E55" s="28">
        <v>0</v>
      </c>
    </row>
    <row r="56" spans="1:5" x14ac:dyDescent="0.25">
      <c r="A56" s="1">
        <f t="shared" ca="1" si="0"/>
        <v>16853</v>
      </c>
      <c r="B56" s="4"/>
      <c r="C56" s="5"/>
      <c r="D56" s="5"/>
      <c r="E56" s="28">
        <v>0</v>
      </c>
    </row>
    <row r="57" spans="1:5" x14ac:dyDescent="0.25">
      <c r="A57" s="1">
        <f t="shared" ca="1" si="0"/>
        <v>16854</v>
      </c>
      <c r="B57" s="4"/>
      <c r="C57" s="5"/>
      <c r="D57" s="5"/>
      <c r="E57" s="28">
        <v>0</v>
      </c>
    </row>
    <row r="58" spans="1:5" x14ac:dyDescent="0.25">
      <c r="A58" s="1">
        <f t="shared" ca="1" si="0"/>
        <v>16855</v>
      </c>
      <c r="B58" s="4"/>
      <c r="C58" s="5"/>
      <c r="D58" s="5"/>
      <c r="E58" s="28">
        <v>0</v>
      </c>
    </row>
    <row r="59" spans="1:5" x14ac:dyDescent="0.25">
      <c r="A59" s="1">
        <f t="shared" ca="1" si="0"/>
        <v>16856</v>
      </c>
      <c r="B59" s="4"/>
      <c r="C59" s="5"/>
      <c r="D59" s="5"/>
      <c r="E59" s="28">
        <v>0</v>
      </c>
    </row>
    <row r="60" spans="1:5" x14ac:dyDescent="0.25">
      <c r="A60" s="1">
        <f t="shared" ca="1" si="0"/>
        <v>16857</v>
      </c>
      <c r="B60" s="4"/>
      <c r="C60" s="5"/>
      <c r="D60" s="5"/>
      <c r="E60" s="28">
        <v>0</v>
      </c>
    </row>
    <row r="61" spans="1:5" x14ac:dyDescent="0.25">
      <c r="A61" s="1">
        <f t="shared" ca="1" si="0"/>
        <v>16858</v>
      </c>
      <c r="B61" s="4"/>
      <c r="C61" s="5"/>
      <c r="D61" s="5"/>
      <c r="E61" s="28">
        <v>0</v>
      </c>
    </row>
    <row r="62" spans="1:5" x14ac:dyDescent="0.25">
      <c r="A62" s="1">
        <f t="shared" ca="1" si="0"/>
        <v>16859</v>
      </c>
      <c r="B62" s="4"/>
      <c r="C62" s="5"/>
      <c r="D62" s="5"/>
      <c r="E62" s="28">
        <v>0</v>
      </c>
    </row>
    <row r="63" spans="1:5" x14ac:dyDescent="0.25">
      <c r="A63" s="1">
        <f t="shared" ca="1" si="0"/>
        <v>16860</v>
      </c>
      <c r="B63" s="4"/>
      <c r="C63" s="5"/>
      <c r="D63" s="5"/>
      <c r="E63" s="28">
        <v>0</v>
      </c>
    </row>
    <row r="64" spans="1:5" x14ac:dyDescent="0.25">
      <c r="A64" s="1">
        <f t="shared" ca="1" si="0"/>
        <v>16861</v>
      </c>
      <c r="B64" s="4"/>
      <c r="C64" s="5"/>
      <c r="D64" s="5"/>
      <c r="E64" s="28">
        <v>0</v>
      </c>
    </row>
    <row r="65" spans="1:5" x14ac:dyDescent="0.25">
      <c r="A65" s="1" t="str">
        <f t="shared" ca="1" si="0"/>
        <v>Totaal</v>
      </c>
      <c r="B65" s="18" t="str">
        <f t="shared" ref="B65:D65" si="2">IF(COUNT(B37:B64)&gt;0,AVERAGE(B37:B64),"")</f>
        <v/>
      </c>
      <c r="C65" s="19" t="str">
        <f t="shared" si="2"/>
        <v/>
      </c>
      <c r="D65" s="19" t="str">
        <f t="shared" si="2"/>
        <v/>
      </c>
      <c r="E65" s="29">
        <f>SUM(E37:E64)/10</f>
        <v>35.799999999999997</v>
      </c>
    </row>
    <row r="66" spans="1:5" x14ac:dyDescent="0.25">
      <c r="A66" s="1">
        <f t="shared" ca="1" si="0"/>
        <v>16862</v>
      </c>
      <c r="B66" s="4"/>
      <c r="C66" s="5"/>
      <c r="D66" s="5"/>
      <c r="E66" s="28">
        <v>36</v>
      </c>
    </row>
    <row r="67" spans="1:5" x14ac:dyDescent="0.25">
      <c r="A67" s="1">
        <f t="shared" ca="1" si="0"/>
        <v>16863</v>
      </c>
      <c r="B67" s="4"/>
      <c r="C67" s="5"/>
      <c r="D67" s="5"/>
      <c r="E67" s="28">
        <v>0</v>
      </c>
    </row>
    <row r="68" spans="1:5" x14ac:dyDescent="0.25">
      <c r="A68" s="1">
        <f t="shared" ca="1" si="0"/>
        <v>16864</v>
      </c>
      <c r="B68" s="4"/>
      <c r="C68" s="5"/>
      <c r="D68" s="5"/>
      <c r="E68" s="28">
        <v>30</v>
      </c>
    </row>
    <row r="69" spans="1:5" x14ac:dyDescent="0.25">
      <c r="A69" s="1">
        <f t="shared" ca="1" si="0"/>
        <v>16865</v>
      </c>
      <c r="B69" s="4"/>
      <c r="C69" s="5"/>
      <c r="D69" s="5"/>
      <c r="E69" s="28">
        <v>0</v>
      </c>
    </row>
    <row r="70" spans="1:5" x14ac:dyDescent="0.25">
      <c r="A70" s="1">
        <f t="shared" ca="1" si="0"/>
        <v>16866</v>
      </c>
      <c r="B70" s="4"/>
      <c r="C70" s="5"/>
      <c r="D70" s="5"/>
      <c r="E70" s="28">
        <v>0</v>
      </c>
    </row>
    <row r="71" spans="1:5" x14ac:dyDescent="0.25">
      <c r="A71" s="1">
        <f t="shared" ref="A71:A134" ca="1" si="3">IF(ISTEXT(A70),A69+1,IF(MONTH(A70+1)=MONTH(A70),A70+1,"Totaal"))</f>
        <v>16867</v>
      </c>
      <c r="B71" s="4"/>
      <c r="C71" s="5"/>
      <c r="D71" s="5"/>
      <c r="E71" s="28">
        <v>0</v>
      </c>
    </row>
    <row r="72" spans="1:5" x14ac:dyDescent="0.25">
      <c r="A72" s="1">
        <f t="shared" ca="1" si="3"/>
        <v>16868</v>
      </c>
      <c r="B72" s="4"/>
      <c r="C72" s="5"/>
      <c r="D72" s="5"/>
      <c r="E72" s="28">
        <v>29</v>
      </c>
    </row>
    <row r="73" spans="1:5" x14ac:dyDescent="0.25">
      <c r="A73" s="1">
        <f t="shared" ca="1" si="3"/>
        <v>16869</v>
      </c>
      <c r="B73" s="4"/>
      <c r="C73" s="5"/>
      <c r="D73" s="5"/>
      <c r="E73" s="28">
        <v>0</v>
      </c>
    </row>
    <row r="74" spans="1:5" x14ac:dyDescent="0.25">
      <c r="A74" s="1">
        <f t="shared" ca="1" si="3"/>
        <v>16870</v>
      </c>
      <c r="B74" s="4"/>
      <c r="C74" s="5"/>
      <c r="D74" s="5"/>
      <c r="E74" s="28">
        <v>0</v>
      </c>
    </row>
    <row r="75" spans="1:5" x14ac:dyDescent="0.25">
      <c r="A75" s="1">
        <f t="shared" ca="1" si="3"/>
        <v>16871</v>
      </c>
      <c r="B75" s="4"/>
      <c r="C75" s="5"/>
      <c r="D75" s="5"/>
      <c r="E75" s="28">
        <v>0</v>
      </c>
    </row>
    <row r="76" spans="1:5" x14ac:dyDescent="0.25">
      <c r="A76" s="1">
        <f t="shared" ca="1" si="3"/>
        <v>16872</v>
      </c>
      <c r="B76" s="4"/>
      <c r="C76" s="5"/>
      <c r="D76" s="5"/>
      <c r="E76" s="28">
        <v>0</v>
      </c>
    </row>
    <row r="77" spans="1:5" x14ac:dyDescent="0.25">
      <c r="A77" s="1">
        <f t="shared" ca="1" si="3"/>
        <v>16873</v>
      </c>
      <c r="B77" s="4"/>
      <c r="C77" s="5"/>
      <c r="D77" s="5"/>
      <c r="E77" s="28">
        <v>0</v>
      </c>
    </row>
    <row r="78" spans="1:5" x14ac:dyDescent="0.25">
      <c r="A78" s="1">
        <f t="shared" ca="1" si="3"/>
        <v>16874</v>
      </c>
      <c r="B78" s="4"/>
      <c r="C78" s="5"/>
      <c r="D78" s="5"/>
      <c r="E78" s="28">
        <v>0</v>
      </c>
    </row>
    <row r="79" spans="1:5" x14ac:dyDescent="0.25">
      <c r="A79" s="1">
        <f t="shared" ca="1" si="3"/>
        <v>16875</v>
      </c>
      <c r="B79" s="4"/>
      <c r="C79" s="5"/>
      <c r="D79" s="5"/>
      <c r="E79" s="28">
        <v>35</v>
      </c>
    </row>
    <row r="80" spans="1:5" x14ac:dyDescent="0.25">
      <c r="A80" s="1">
        <f t="shared" ca="1" si="3"/>
        <v>16876</v>
      </c>
      <c r="B80" s="4"/>
      <c r="C80" s="5"/>
      <c r="D80" s="5"/>
      <c r="E80" s="28">
        <v>0</v>
      </c>
    </row>
    <row r="81" spans="1:5" x14ac:dyDescent="0.25">
      <c r="A81" s="1">
        <f t="shared" ca="1" si="3"/>
        <v>16877</v>
      </c>
      <c r="B81" s="4"/>
      <c r="C81" s="5"/>
      <c r="D81" s="5"/>
      <c r="E81" s="28">
        <v>0</v>
      </c>
    </row>
    <row r="82" spans="1:5" x14ac:dyDescent="0.25">
      <c r="A82" s="1">
        <f t="shared" ca="1" si="3"/>
        <v>16878</v>
      </c>
      <c r="B82" s="4"/>
      <c r="C82" s="5"/>
      <c r="D82" s="5"/>
      <c r="E82" s="28">
        <v>0</v>
      </c>
    </row>
    <row r="83" spans="1:5" x14ac:dyDescent="0.25">
      <c r="A83" s="1">
        <f t="shared" ca="1" si="3"/>
        <v>16879</v>
      </c>
      <c r="B83" s="4"/>
      <c r="C83" s="5"/>
      <c r="D83" s="5"/>
      <c r="E83" s="28">
        <v>0</v>
      </c>
    </row>
    <row r="84" spans="1:5" x14ac:dyDescent="0.25">
      <c r="A84" s="1">
        <f t="shared" ca="1" si="3"/>
        <v>16880</v>
      </c>
      <c r="B84" s="4"/>
      <c r="C84" s="5"/>
      <c r="D84" s="5"/>
      <c r="E84" s="28">
        <v>0</v>
      </c>
    </row>
    <row r="85" spans="1:5" x14ac:dyDescent="0.25">
      <c r="A85" s="1">
        <f t="shared" ca="1" si="3"/>
        <v>16881</v>
      </c>
      <c r="B85" s="4"/>
      <c r="C85" s="5"/>
      <c r="D85" s="5"/>
      <c r="E85" s="28">
        <v>0</v>
      </c>
    </row>
    <row r="86" spans="1:5" x14ac:dyDescent="0.25">
      <c r="A86" s="1">
        <f t="shared" ca="1" si="3"/>
        <v>16882</v>
      </c>
      <c r="B86" s="4"/>
      <c r="C86" s="5"/>
      <c r="D86" s="5"/>
      <c r="E86" s="28">
        <v>0</v>
      </c>
    </row>
    <row r="87" spans="1:5" x14ac:dyDescent="0.25">
      <c r="A87" s="1">
        <f t="shared" ca="1" si="3"/>
        <v>16883</v>
      </c>
      <c r="B87" s="4"/>
      <c r="C87" s="5"/>
      <c r="D87" s="5"/>
      <c r="E87" s="28">
        <v>0</v>
      </c>
    </row>
    <row r="88" spans="1:5" x14ac:dyDescent="0.25">
      <c r="A88" s="1">
        <f t="shared" ca="1" si="3"/>
        <v>16884</v>
      </c>
      <c r="B88" s="4"/>
      <c r="C88" s="5"/>
      <c r="D88" s="5"/>
      <c r="E88" s="28">
        <v>0</v>
      </c>
    </row>
    <row r="89" spans="1:5" x14ac:dyDescent="0.25">
      <c r="A89" s="1">
        <f t="shared" ca="1" si="3"/>
        <v>16885</v>
      </c>
      <c r="B89" s="4"/>
      <c r="C89" s="5"/>
      <c r="D89" s="5"/>
      <c r="E89" s="28">
        <v>0</v>
      </c>
    </row>
    <row r="90" spans="1:5" x14ac:dyDescent="0.25">
      <c r="A90" s="1">
        <f t="shared" ca="1" si="3"/>
        <v>16886</v>
      </c>
      <c r="B90" s="4"/>
      <c r="C90" s="5"/>
      <c r="D90" s="5"/>
      <c r="E90" s="28">
        <v>46</v>
      </c>
    </row>
    <row r="91" spans="1:5" x14ac:dyDescent="0.25">
      <c r="A91" s="1">
        <f t="shared" ca="1" si="3"/>
        <v>16887</v>
      </c>
      <c r="B91" s="4"/>
      <c r="C91" s="5"/>
      <c r="D91" s="5"/>
      <c r="E91" s="28">
        <v>0</v>
      </c>
    </row>
    <row r="92" spans="1:5" x14ac:dyDescent="0.25">
      <c r="A92" s="1">
        <f t="shared" ca="1" si="3"/>
        <v>16888</v>
      </c>
      <c r="B92" s="4"/>
      <c r="C92" s="5"/>
      <c r="D92" s="5"/>
      <c r="E92" s="28">
        <v>0</v>
      </c>
    </row>
    <row r="93" spans="1:5" x14ac:dyDescent="0.25">
      <c r="A93" s="1">
        <f t="shared" ca="1" si="3"/>
        <v>16889</v>
      </c>
      <c r="B93" s="4"/>
      <c r="C93" s="5"/>
      <c r="D93" s="5"/>
      <c r="E93" s="28">
        <v>12</v>
      </c>
    </row>
    <row r="94" spans="1:5" x14ac:dyDescent="0.25">
      <c r="A94" s="1">
        <f t="shared" ca="1" si="3"/>
        <v>16890</v>
      </c>
      <c r="B94" s="4"/>
      <c r="C94" s="5"/>
      <c r="D94" s="5"/>
      <c r="E94" s="28">
        <v>0</v>
      </c>
    </row>
    <row r="95" spans="1:5" x14ac:dyDescent="0.25">
      <c r="A95" s="1">
        <f t="shared" ca="1" si="3"/>
        <v>16891</v>
      </c>
      <c r="B95" s="4"/>
      <c r="C95" s="5"/>
      <c r="D95" s="5"/>
      <c r="E95" s="28">
        <v>0</v>
      </c>
    </row>
    <row r="96" spans="1:5" x14ac:dyDescent="0.25">
      <c r="A96" s="1">
        <f t="shared" ca="1" si="3"/>
        <v>16892</v>
      </c>
      <c r="B96" s="4"/>
      <c r="C96" s="5"/>
      <c r="D96" s="5"/>
      <c r="E96" s="28">
        <v>8</v>
      </c>
    </row>
    <row r="97" spans="1:5" x14ac:dyDescent="0.25">
      <c r="A97" s="1" t="str">
        <f t="shared" ca="1" si="3"/>
        <v>Totaal</v>
      </c>
      <c r="B97" s="18" t="str">
        <f>IF(COUNT(B66:B96)&gt;0,AVERAGE(B66:B96),"")</f>
        <v/>
      </c>
      <c r="C97" s="19" t="str">
        <f t="shared" ref="C97" si="4">IF(COUNT(C66:C96)&gt;0,AVERAGE(C66:C96),"")</f>
        <v/>
      </c>
      <c r="D97" s="19" t="str">
        <f t="shared" ref="D97" si="5">IF(COUNT(D66:D96)&gt;0,AVERAGE(D66:D96),"")</f>
        <v/>
      </c>
      <c r="E97" s="29">
        <f>SUM(E66:E96)/10</f>
        <v>19.600000000000001</v>
      </c>
    </row>
    <row r="98" spans="1:5" x14ac:dyDescent="0.25">
      <c r="A98" s="1">
        <f t="shared" ca="1" si="3"/>
        <v>16893</v>
      </c>
      <c r="B98" s="4"/>
      <c r="C98" s="5"/>
      <c r="D98" s="5"/>
      <c r="E98" s="28">
        <v>329</v>
      </c>
    </row>
    <row r="99" spans="1:5" x14ac:dyDescent="0.25">
      <c r="A99" s="1">
        <f t="shared" ca="1" si="3"/>
        <v>16894</v>
      </c>
      <c r="B99" s="4"/>
      <c r="C99" s="5"/>
      <c r="D99" s="5"/>
      <c r="E99" s="28">
        <v>0</v>
      </c>
    </row>
    <row r="100" spans="1:5" x14ac:dyDescent="0.25">
      <c r="A100" s="1">
        <f t="shared" ca="1" si="3"/>
        <v>16895</v>
      </c>
      <c r="B100" s="4"/>
      <c r="C100" s="5"/>
      <c r="D100" s="5"/>
      <c r="E100" s="28">
        <v>0</v>
      </c>
    </row>
    <row r="101" spans="1:5" x14ac:dyDescent="0.25">
      <c r="A101" s="1">
        <f t="shared" ca="1" si="3"/>
        <v>16896</v>
      </c>
      <c r="B101" s="4"/>
      <c r="C101" s="5"/>
      <c r="D101" s="5"/>
      <c r="E101" s="28">
        <v>0</v>
      </c>
    </row>
    <row r="102" spans="1:5" x14ac:dyDescent="0.25">
      <c r="A102" s="1">
        <f t="shared" ca="1" si="3"/>
        <v>16897</v>
      </c>
      <c r="B102" s="4"/>
      <c r="C102" s="5"/>
      <c r="D102" s="5"/>
      <c r="E102" s="28">
        <v>0</v>
      </c>
    </row>
    <row r="103" spans="1:5" x14ac:dyDescent="0.25">
      <c r="A103" s="1">
        <f t="shared" ca="1" si="3"/>
        <v>16898</v>
      </c>
      <c r="B103" s="4"/>
      <c r="C103" s="5"/>
      <c r="D103" s="5"/>
      <c r="E103" s="28">
        <v>0</v>
      </c>
    </row>
    <row r="104" spans="1:5" x14ac:dyDescent="0.25">
      <c r="A104" s="1">
        <f t="shared" ca="1" si="3"/>
        <v>16899</v>
      </c>
      <c r="B104" s="4"/>
      <c r="C104" s="5"/>
      <c r="D104" s="5"/>
      <c r="E104" s="28">
        <v>0</v>
      </c>
    </row>
    <row r="105" spans="1:5" x14ac:dyDescent="0.25">
      <c r="A105" s="1">
        <f t="shared" ca="1" si="3"/>
        <v>16900</v>
      </c>
      <c r="B105" s="4"/>
      <c r="C105" s="5"/>
      <c r="D105" s="5"/>
      <c r="E105" s="28">
        <v>0</v>
      </c>
    </row>
    <row r="106" spans="1:5" x14ac:dyDescent="0.25">
      <c r="A106" s="1">
        <f t="shared" ca="1" si="3"/>
        <v>16901</v>
      </c>
      <c r="B106" s="4"/>
      <c r="C106" s="5"/>
      <c r="D106" s="5"/>
      <c r="E106" s="28">
        <v>0</v>
      </c>
    </row>
    <row r="107" spans="1:5" x14ac:dyDescent="0.25">
      <c r="A107" s="1">
        <f t="shared" ca="1" si="3"/>
        <v>16902</v>
      </c>
      <c r="B107" s="4"/>
      <c r="C107" s="5"/>
      <c r="D107" s="5"/>
      <c r="E107" s="28">
        <v>0</v>
      </c>
    </row>
    <row r="108" spans="1:5" x14ac:dyDescent="0.25">
      <c r="A108" s="1">
        <f t="shared" ca="1" si="3"/>
        <v>16903</v>
      </c>
      <c r="B108" s="4"/>
      <c r="C108" s="5"/>
      <c r="D108" s="5"/>
      <c r="E108" s="28">
        <v>0</v>
      </c>
    </row>
    <row r="109" spans="1:5" x14ac:dyDescent="0.25">
      <c r="A109" s="1">
        <f t="shared" ca="1" si="3"/>
        <v>16904</v>
      </c>
      <c r="B109" s="4"/>
      <c r="C109" s="5"/>
      <c r="D109" s="5"/>
      <c r="E109" s="28">
        <v>0</v>
      </c>
    </row>
    <row r="110" spans="1:5" x14ac:dyDescent="0.25">
      <c r="A110" s="1">
        <f t="shared" ca="1" si="3"/>
        <v>16905</v>
      </c>
      <c r="B110" s="4"/>
      <c r="C110" s="5"/>
      <c r="D110" s="5"/>
      <c r="E110" s="28">
        <v>0</v>
      </c>
    </row>
    <row r="111" spans="1:5" x14ac:dyDescent="0.25">
      <c r="A111" s="1">
        <f t="shared" ca="1" si="3"/>
        <v>16906</v>
      </c>
      <c r="B111" s="4"/>
      <c r="C111" s="5"/>
      <c r="D111" s="5"/>
      <c r="E111" s="28">
        <v>0</v>
      </c>
    </row>
    <row r="112" spans="1:5" x14ac:dyDescent="0.25">
      <c r="A112" s="1">
        <f t="shared" ca="1" si="3"/>
        <v>16907</v>
      </c>
      <c r="B112" s="4"/>
      <c r="C112" s="5"/>
      <c r="D112" s="5"/>
      <c r="E112" s="28">
        <v>12</v>
      </c>
    </row>
    <row r="113" spans="1:5" x14ac:dyDescent="0.25">
      <c r="A113" s="1">
        <f t="shared" ca="1" si="3"/>
        <v>16908</v>
      </c>
      <c r="B113" s="4"/>
      <c r="C113" s="5"/>
      <c r="D113" s="5"/>
      <c r="E113" s="28">
        <v>0</v>
      </c>
    </row>
    <row r="114" spans="1:5" x14ac:dyDescent="0.25">
      <c r="A114" s="1">
        <f t="shared" ca="1" si="3"/>
        <v>16909</v>
      </c>
      <c r="B114" s="4"/>
      <c r="C114" s="5"/>
      <c r="D114" s="5"/>
      <c r="E114" s="28">
        <v>0</v>
      </c>
    </row>
    <row r="115" spans="1:5" x14ac:dyDescent="0.25">
      <c r="A115" s="1">
        <f t="shared" ca="1" si="3"/>
        <v>16910</v>
      </c>
      <c r="B115" s="4"/>
      <c r="C115" s="5"/>
      <c r="D115" s="5"/>
      <c r="E115" s="28">
        <v>0</v>
      </c>
    </row>
    <row r="116" spans="1:5" x14ac:dyDescent="0.25">
      <c r="A116" s="1">
        <f t="shared" ca="1" si="3"/>
        <v>16911</v>
      </c>
      <c r="B116" s="4"/>
      <c r="C116" s="5"/>
      <c r="D116" s="5"/>
      <c r="E116" s="28">
        <v>0</v>
      </c>
    </row>
    <row r="117" spans="1:5" x14ac:dyDescent="0.25">
      <c r="A117" s="1">
        <f t="shared" ca="1" si="3"/>
        <v>16912</v>
      </c>
      <c r="B117" s="4"/>
      <c r="C117" s="5"/>
      <c r="D117" s="5"/>
      <c r="E117" s="28">
        <v>39</v>
      </c>
    </row>
    <row r="118" spans="1:5" x14ac:dyDescent="0.25">
      <c r="A118" s="1">
        <f t="shared" ca="1" si="3"/>
        <v>16913</v>
      </c>
      <c r="B118" s="4"/>
      <c r="C118" s="5"/>
      <c r="D118" s="5"/>
      <c r="E118" s="28">
        <v>0</v>
      </c>
    </row>
    <row r="119" spans="1:5" x14ac:dyDescent="0.25">
      <c r="A119" s="1">
        <f t="shared" ca="1" si="3"/>
        <v>16914</v>
      </c>
      <c r="B119" s="4"/>
      <c r="C119" s="5"/>
      <c r="D119" s="5"/>
      <c r="E119" s="28">
        <v>0</v>
      </c>
    </row>
    <row r="120" spans="1:5" x14ac:dyDescent="0.25">
      <c r="A120" s="1">
        <f t="shared" ca="1" si="3"/>
        <v>16915</v>
      </c>
      <c r="B120" s="4"/>
      <c r="C120" s="5"/>
      <c r="D120" s="5"/>
      <c r="E120" s="28">
        <v>0</v>
      </c>
    </row>
    <row r="121" spans="1:5" x14ac:dyDescent="0.25">
      <c r="A121" s="1">
        <f t="shared" ca="1" si="3"/>
        <v>16916</v>
      </c>
      <c r="B121" s="4"/>
      <c r="C121" s="5"/>
      <c r="D121" s="5"/>
      <c r="E121" s="28">
        <v>0</v>
      </c>
    </row>
    <row r="122" spans="1:5" x14ac:dyDescent="0.25">
      <c r="A122" s="1">
        <f t="shared" ca="1" si="3"/>
        <v>16917</v>
      </c>
      <c r="B122" s="4"/>
      <c r="C122" s="5"/>
      <c r="D122" s="5"/>
      <c r="E122" s="28">
        <v>0</v>
      </c>
    </row>
    <row r="123" spans="1:5" x14ac:dyDescent="0.25">
      <c r="A123" s="1">
        <f t="shared" ca="1" si="3"/>
        <v>16918</v>
      </c>
      <c r="B123" s="4"/>
      <c r="C123" s="5"/>
      <c r="D123" s="5"/>
      <c r="E123" s="28">
        <v>0</v>
      </c>
    </row>
    <row r="124" spans="1:5" x14ac:dyDescent="0.25">
      <c r="A124" s="1">
        <f t="shared" ca="1" si="3"/>
        <v>16919</v>
      </c>
      <c r="B124" s="4"/>
      <c r="C124" s="5"/>
      <c r="D124" s="5"/>
      <c r="E124" s="28">
        <v>0</v>
      </c>
    </row>
    <row r="125" spans="1:5" x14ac:dyDescent="0.25">
      <c r="A125" s="1">
        <f t="shared" ca="1" si="3"/>
        <v>16920</v>
      </c>
      <c r="B125" s="4"/>
      <c r="C125" s="5"/>
      <c r="D125" s="5"/>
      <c r="E125" s="28">
        <v>0</v>
      </c>
    </row>
    <row r="126" spans="1:5" x14ac:dyDescent="0.25">
      <c r="A126" s="1">
        <f t="shared" ca="1" si="3"/>
        <v>16921</v>
      </c>
      <c r="B126" s="4"/>
      <c r="C126" s="5"/>
      <c r="D126" s="5"/>
      <c r="E126" s="28">
        <v>332</v>
      </c>
    </row>
    <row r="127" spans="1:5" x14ac:dyDescent="0.25">
      <c r="A127" s="1">
        <f t="shared" ca="1" si="3"/>
        <v>16922</v>
      </c>
      <c r="B127" s="4"/>
      <c r="C127" s="5"/>
      <c r="D127" s="5"/>
      <c r="E127" s="28">
        <v>0</v>
      </c>
    </row>
    <row r="128" spans="1:5" x14ac:dyDescent="0.25">
      <c r="A128" s="1" t="str">
        <f t="shared" ca="1" si="3"/>
        <v>Totaal</v>
      </c>
      <c r="B128" s="18" t="str">
        <f t="shared" ref="B128:D128" si="6">IF(COUNT(B98:B127)&gt;0,AVERAGE(B98:B127),"")</f>
        <v/>
      </c>
      <c r="C128" s="19" t="str">
        <f t="shared" si="6"/>
        <v/>
      </c>
      <c r="D128" s="19" t="str">
        <f t="shared" si="6"/>
        <v/>
      </c>
      <c r="E128" s="29">
        <f>SUM(E98:E127)/10</f>
        <v>71.2</v>
      </c>
    </row>
    <row r="129" spans="1:5" x14ac:dyDescent="0.25">
      <c r="A129" s="1">
        <f t="shared" ca="1" si="3"/>
        <v>16923</v>
      </c>
      <c r="B129" s="4"/>
      <c r="C129" s="5"/>
      <c r="D129" s="5"/>
      <c r="E129" s="28">
        <v>24</v>
      </c>
    </row>
    <row r="130" spans="1:5" x14ac:dyDescent="0.25">
      <c r="A130" s="1">
        <f t="shared" ca="1" si="3"/>
        <v>16924</v>
      </c>
      <c r="B130" s="4"/>
      <c r="C130" s="5"/>
      <c r="D130" s="5"/>
      <c r="E130" s="28">
        <v>30</v>
      </c>
    </row>
    <row r="131" spans="1:5" x14ac:dyDescent="0.25">
      <c r="A131" s="1">
        <f t="shared" ca="1" si="3"/>
        <v>16925</v>
      </c>
      <c r="B131" s="4"/>
      <c r="C131" s="5"/>
      <c r="D131" s="5"/>
      <c r="E131" s="28">
        <v>0</v>
      </c>
    </row>
    <row r="132" spans="1:5" x14ac:dyDescent="0.25">
      <c r="A132" s="1">
        <f t="shared" ca="1" si="3"/>
        <v>16926</v>
      </c>
      <c r="B132" s="4"/>
      <c r="C132" s="5"/>
      <c r="D132" s="5"/>
      <c r="E132" s="28">
        <v>0</v>
      </c>
    </row>
    <row r="133" spans="1:5" x14ac:dyDescent="0.25">
      <c r="A133" s="1">
        <f t="shared" ca="1" si="3"/>
        <v>16927</v>
      </c>
      <c r="B133" s="4"/>
      <c r="C133" s="5"/>
      <c r="D133" s="5"/>
      <c r="E133" s="28">
        <v>0</v>
      </c>
    </row>
    <row r="134" spans="1:5" x14ac:dyDescent="0.25">
      <c r="A134" s="1">
        <f t="shared" ca="1" si="3"/>
        <v>16928</v>
      </c>
      <c r="B134" s="4"/>
      <c r="C134" s="5"/>
      <c r="D134" s="5"/>
      <c r="E134" s="28">
        <v>0</v>
      </c>
    </row>
    <row r="135" spans="1:5" x14ac:dyDescent="0.25">
      <c r="A135" s="1">
        <f t="shared" ref="A135:A198" ca="1" si="7">IF(ISTEXT(A134),A133+1,IF(MONTH(A134+1)=MONTH(A134),A134+1,"Totaal"))</f>
        <v>16929</v>
      </c>
      <c r="B135" s="4"/>
      <c r="C135" s="5"/>
      <c r="D135" s="5"/>
      <c r="E135" s="28">
        <v>0</v>
      </c>
    </row>
    <row r="136" spans="1:5" x14ac:dyDescent="0.25">
      <c r="A136" s="1">
        <f t="shared" ca="1" si="7"/>
        <v>16930</v>
      </c>
      <c r="B136" s="4"/>
      <c r="C136" s="5"/>
      <c r="D136" s="5"/>
      <c r="E136" s="28">
        <v>0</v>
      </c>
    </row>
    <row r="137" spans="1:5" x14ac:dyDescent="0.25">
      <c r="A137" s="1">
        <f t="shared" ca="1" si="7"/>
        <v>16931</v>
      </c>
      <c r="B137" s="4"/>
      <c r="C137" s="5"/>
      <c r="D137" s="5"/>
      <c r="E137" s="28">
        <v>0</v>
      </c>
    </row>
    <row r="138" spans="1:5" x14ac:dyDescent="0.25">
      <c r="A138" s="1">
        <f t="shared" ca="1" si="7"/>
        <v>16932</v>
      </c>
      <c r="B138" s="4"/>
      <c r="C138" s="5"/>
      <c r="D138" s="5"/>
      <c r="E138" s="28">
        <v>0</v>
      </c>
    </row>
    <row r="139" spans="1:5" x14ac:dyDescent="0.25">
      <c r="A139" s="1">
        <f t="shared" ca="1" si="7"/>
        <v>16933</v>
      </c>
      <c r="B139" s="4"/>
      <c r="C139" s="5"/>
      <c r="D139" s="5"/>
      <c r="E139" s="28">
        <v>0</v>
      </c>
    </row>
    <row r="140" spans="1:5" x14ac:dyDescent="0.25">
      <c r="A140" s="1">
        <f t="shared" ca="1" si="7"/>
        <v>16934</v>
      </c>
      <c r="B140" s="4"/>
      <c r="C140" s="5"/>
      <c r="D140" s="5"/>
      <c r="E140" s="28">
        <v>0</v>
      </c>
    </row>
    <row r="141" spans="1:5" x14ac:dyDescent="0.25">
      <c r="A141" s="1">
        <f t="shared" ca="1" si="7"/>
        <v>16935</v>
      </c>
      <c r="B141" s="4"/>
      <c r="C141" s="5"/>
      <c r="D141" s="5"/>
      <c r="E141" s="28">
        <v>5</v>
      </c>
    </row>
    <row r="142" spans="1:5" x14ac:dyDescent="0.25">
      <c r="A142" s="1">
        <f t="shared" ca="1" si="7"/>
        <v>16936</v>
      </c>
      <c r="B142" s="4"/>
      <c r="C142" s="5"/>
      <c r="D142" s="5"/>
      <c r="E142" s="28">
        <v>0</v>
      </c>
    </row>
    <row r="143" spans="1:5" x14ac:dyDescent="0.25">
      <c r="A143" s="1">
        <f t="shared" ca="1" si="7"/>
        <v>16937</v>
      </c>
      <c r="B143" s="4"/>
      <c r="C143" s="5"/>
      <c r="D143" s="5"/>
      <c r="E143" s="28">
        <v>0</v>
      </c>
    </row>
    <row r="144" spans="1:5" x14ac:dyDescent="0.25">
      <c r="A144" s="1">
        <f t="shared" ca="1" si="7"/>
        <v>16938</v>
      </c>
      <c r="B144" s="4"/>
      <c r="C144" s="5"/>
      <c r="D144" s="5"/>
      <c r="E144" s="28">
        <v>0</v>
      </c>
    </row>
    <row r="145" spans="1:5" x14ac:dyDescent="0.25">
      <c r="A145" s="1">
        <f t="shared" ca="1" si="7"/>
        <v>16939</v>
      </c>
      <c r="B145" s="4"/>
      <c r="C145" s="5"/>
      <c r="D145" s="5"/>
      <c r="E145" s="28">
        <v>0</v>
      </c>
    </row>
    <row r="146" spans="1:5" x14ac:dyDescent="0.25">
      <c r="A146" s="1">
        <f t="shared" ca="1" si="7"/>
        <v>16940</v>
      </c>
      <c r="B146" s="4"/>
      <c r="C146" s="5"/>
      <c r="D146" s="5"/>
      <c r="E146" s="28">
        <v>0</v>
      </c>
    </row>
    <row r="147" spans="1:5" x14ac:dyDescent="0.25">
      <c r="A147" s="1">
        <f t="shared" ca="1" si="7"/>
        <v>16941</v>
      </c>
      <c r="B147" s="4"/>
      <c r="C147" s="5"/>
      <c r="D147" s="5"/>
      <c r="E147" s="28">
        <v>0</v>
      </c>
    </row>
    <row r="148" spans="1:5" x14ac:dyDescent="0.25">
      <c r="A148" s="1">
        <f t="shared" ca="1" si="7"/>
        <v>16942</v>
      </c>
      <c r="B148" s="4"/>
      <c r="C148" s="5"/>
      <c r="D148" s="5"/>
      <c r="E148" s="28">
        <v>0</v>
      </c>
    </row>
    <row r="149" spans="1:5" x14ac:dyDescent="0.25">
      <c r="A149" s="1">
        <f t="shared" ca="1" si="7"/>
        <v>16943</v>
      </c>
      <c r="B149" s="4"/>
      <c r="C149" s="5"/>
      <c r="D149" s="5"/>
      <c r="E149" s="28">
        <v>0</v>
      </c>
    </row>
    <row r="150" spans="1:5" x14ac:dyDescent="0.25">
      <c r="A150" s="1">
        <f t="shared" ca="1" si="7"/>
        <v>16944</v>
      </c>
      <c r="B150" s="4"/>
      <c r="C150" s="5"/>
      <c r="D150" s="5"/>
      <c r="E150" s="28">
        <v>0</v>
      </c>
    </row>
    <row r="151" spans="1:5" x14ac:dyDescent="0.25">
      <c r="A151" s="1">
        <f t="shared" ca="1" si="7"/>
        <v>16945</v>
      </c>
      <c r="B151" s="4"/>
      <c r="C151" s="5"/>
      <c r="D151" s="5"/>
      <c r="E151" s="28">
        <v>0</v>
      </c>
    </row>
    <row r="152" spans="1:5" x14ac:dyDescent="0.25">
      <c r="A152" s="1">
        <f t="shared" ca="1" si="7"/>
        <v>16946</v>
      </c>
      <c r="B152" s="4"/>
      <c r="C152" s="5"/>
      <c r="D152" s="5"/>
      <c r="E152" s="28">
        <v>34</v>
      </c>
    </row>
    <row r="153" spans="1:5" x14ac:dyDescent="0.25">
      <c r="A153" s="1">
        <f t="shared" ca="1" si="7"/>
        <v>16947</v>
      </c>
      <c r="B153" s="4"/>
      <c r="C153" s="5"/>
      <c r="D153" s="5"/>
      <c r="E153" s="28">
        <v>0</v>
      </c>
    </row>
    <row r="154" spans="1:5" x14ac:dyDescent="0.25">
      <c r="A154" s="1">
        <f t="shared" ca="1" si="7"/>
        <v>16948</v>
      </c>
      <c r="B154" s="4"/>
      <c r="C154" s="5"/>
      <c r="D154" s="5"/>
      <c r="E154" s="28">
        <v>48</v>
      </c>
    </row>
    <row r="155" spans="1:5" x14ac:dyDescent="0.25">
      <c r="A155" s="1">
        <f t="shared" ca="1" si="7"/>
        <v>16949</v>
      </c>
      <c r="B155" s="4"/>
      <c r="C155" s="5"/>
      <c r="D155" s="5"/>
      <c r="E155" s="28">
        <v>0</v>
      </c>
    </row>
    <row r="156" spans="1:5" x14ac:dyDescent="0.25">
      <c r="A156" s="1">
        <f t="shared" ca="1" si="7"/>
        <v>16950</v>
      </c>
      <c r="B156" s="4"/>
      <c r="C156" s="5"/>
      <c r="D156" s="5"/>
      <c r="E156" s="28">
        <v>0</v>
      </c>
    </row>
    <row r="157" spans="1:5" x14ac:dyDescent="0.25">
      <c r="A157" s="1">
        <f t="shared" ca="1" si="7"/>
        <v>16951</v>
      </c>
      <c r="B157" s="4"/>
      <c r="C157" s="5"/>
      <c r="D157" s="5"/>
      <c r="E157" s="28">
        <v>0</v>
      </c>
    </row>
    <row r="158" spans="1:5" x14ac:dyDescent="0.25">
      <c r="A158" s="1">
        <f t="shared" ca="1" si="7"/>
        <v>16952</v>
      </c>
      <c r="B158" s="4"/>
      <c r="C158" s="5"/>
      <c r="D158" s="5"/>
      <c r="E158" s="28">
        <v>0</v>
      </c>
    </row>
    <row r="159" spans="1:5" x14ac:dyDescent="0.25">
      <c r="A159" s="1">
        <f t="shared" ca="1" si="7"/>
        <v>16953</v>
      </c>
      <c r="B159" s="4"/>
      <c r="C159" s="5"/>
      <c r="D159" s="5"/>
      <c r="E159" s="28">
        <v>0</v>
      </c>
    </row>
    <row r="160" spans="1:5" x14ac:dyDescent="0.25">
      <c r="A160" s="1" t="str">
        <f t="shared" ca="1" si="7"/>
        <v>Totaal</v>
      </c>
      <c r="B160" s="18" t="str">
        <f>IF(COUNT(B129:B159)&gt;0,AVERAGE(B129:B159),"")</f>
        <v/>
      </c>
      <c r="C160" s="19" t="str">
        <f t="shared" ref="C160" si="8">IF(COUNT(C129:C159)&gt;0,AVERAGE(C129:C159),"")</f>
        <v/>
      </c>
      <c r="D160" s="19" t="str">
        <f t="shared" ref="D160" si="9">IF(COUNT(D129:D159)&gt;0,AVERAGE(D129:D159),"")</f>
        <v/>
      </c>
      <c r="E160" s="29">
        <f>SUM(E129:E159)/10</f>
        <v>14.1</v>
      </c>
    </row>
    <row r="161" spans="1:5" x14ac:dyDescent="0.25">
      <c r="A161" s="1">
        <f t="shared" ca="1" si="7"/>
        <v>16954</v>
      </c>
      <c r="B161" s="4"/>
      <c r="C161" s="5"/>
      <c r="D161" s="5"/>
      <c r="E161" s="28">
        <v>0</v>
      </c>
    </row>
    <row r="162" spans="1:5" x14ac:dyDescent="0.25">
      <c r="A162" s="1">
        <f t="shared" ca="1" si="7"/>
        <v>16955</v>
      </c>
      <c r="B162" s="4"/>
      <c r="C162" s="5"/>
      <c r="D162" s="5"/>
      <c r="E162" s="28">
        <v>0</v>
      </c>
    </row>
    <row r="163" spans="1:5" x14ac:dyDescent="0.25">
      <c r="A163" s="1">
        <f t="shared" ca="1" si="7"/>
        <v>16956</v>
      </c>
      <c r="B163" s="4"/>
      <c r="C163" s="5"/>
      <c r="D163" s="5"/>
      <c r="E163" s="28">
        <v>0</v>
      </c>
    </row>
    <row r="164" spans="1:5" x14ac:dyDescent="0.25">
      <c r="A164" s="1">
        <f t="shared" ca="1" si="7"/>
        <v>16957</v>
      </c>
      <c r="B164" s="4"/>
      <c r="C164" s="5"/>
      <c r="D164" s="5"/>
      <c r="E164" s="28">
        <v>0</v>
      </c>
    </row>
    <row r="165" spans="1:5" x14ac:dyDescent="0.25">
      <c r="A165" s="1">
        <f t="shared" ca="1" si="7"/>
        <v>16958</v>
      </c>
      <c r="B165" s="4"/>
      <c r="C165" s="5"/>
      <c r="D165" s="5"/>
      <c r="E165" s="28">
        <v>0</v>
      </c>
    </row>
    <row r="166" spans="1:5" x14ac:dyDescent="0.25">
      <c r="A166" s="1">
        <f t="shared" ca="1" si="7"/>
        <v>16959</v>
      </c>
      <c r="B166" s="4"/>
      <c r="C166" s="5"/>
      <c r="D166" s="5"/>
      <c r="E166" s="28">
        <v>270</v>
      </c>
    </row>
    <row r="167" spans="1:5" x14ac:dyDescent="0.25">
      <c r="A167" s="1">
        <f t="shared" ca="1" si="7"/>
        <v>16960</v>
      </c>
      <c r="B167" s="4"/>
      <c r="C167" s="5"/>
      <c r="D167" s="5"/>
      <c r="E167" s="28">
        <v>53</v>
      </c>
    </row>
    <row r="168" spans="1:5" x14ac:dyDescent="0.25">
      <c r="A168" s="1">
        <f t="shared" ca="1" si="7"/>
        <v>16961</v>
      </c>
      <c r="B168" s="4"/>
      <c r="C168" s="5"/>
      <c r="D168" s="5"/>
      <c r="E168" s="28">
        <v>0</v>
      </c>
    </row>
    <row r="169" spans="1:5" x14ac:dyDescent="0.25">
      <c r="A169" s="1">
        <f t="shared" ca="1" si="7"/>
        <v>16962</v>
      </c>
      <c r="B169" s="4"/>
      <c r="C169" s="5"/>
      <c r="D169" s="5"/>
      <c r="E169" s="28">
        <v>0</v>
      </c>
    </row>
    <row r="170" spans="1:5" x14ac:dyDescent="0.25">
      <c r="A170" s="1">
        <f t="shared" ca="1" si="7"/>
        <v>16963</v>
      </c>
      <c r="B170" s="4"/>
      <c r="C170" s="5"/>
      <c r="D170" s="5"/>
      <c r="E170" s="28">
        <v>0</v>
      </c>
    </row>
    <row r="171" spans="1:5" x14ac:dyDescent="0.25">
      <c r="A171" s="1">
        <f t="shared" ca="1" si="7"/>
        <v>16964</v>
      </c>
      <c r="B171" s="4"/>
      <c r="C171" s="5"/>
      <c r="D171" s="5"/>
      <c r="E171" s="28">
        <v>0</v>
      </c>
    </row>
    <row r="172" spans="1:5" x14ac:dyDescent="0.25">
      <c r="A172" s="1">
        <f t="shared" ca="1" si="7"/>
        <v>16965</v>
      </c>
      <c r="B172" s="4"/>
      <c r="C172" s="5"/>
      <c r="D172" s="5"/>
      <c r="E172" s="28">
        <v>0</v>
      </c>
    </row>
    <row r="173" spans="1:5" x14ac:dyDescent="0.25">
      <c r="A173" s="1">
        <f t="shared" ca="1" si="7"/>
        <v>16966</v>
      </c>
      <c r="B173" s="4"/>
      <c r="C173" s="5"/>
      <c r="D173" s="5"/>
      <c r="E173" s="28">
        <v>29</v>
      </c>
    </row>
    <row r="174" spans="1:5" x14ac:dyDescent="0.25">
      <c r="A174" s="1">
        <f t="shared" ca="1" si="7"/>
        <v>16967</v>
      </c>
      <c r="B174" s="4"/>
      <c r="C174" s="5"/>
      <c r="D174" s="5"/>
      <c r="E174" s="28">
        <v>0</v>
      </c>
    </row>
    <row r="175" spans="1:5" x14ac:dyDescent="0.25">
      <c r="A175" s="1">
        <f t="shared" ca="1" si="7"/>
        <v>16968</v>
      </c>
      <c r="B175" s="4"/>
      <c r="C175" s="5"/>
      <c r="D175" s="5"/>
      <c r="E175" s="28">
        <v>0</v>
      </c>
    </row>
    <row r="176" spans="1:5" x14ac:dyDescent="0.25">
      <c r="A176" s="1">
        <f t="shared" ca="1" si="7"/>
        <v>16969</v>
      </c>
      <c r="B176" s="4"/>
      <c r="C176" s="5"/>
      <c r="D176" s="5"/>
      <c r="E176" s="28">
        <v>53</v>
      </c>
    </row>
    <row r="177" spans="1:5" x14ac:dyDescent="0.25">
      <c r="A177" s="1">
        <f t="shared" ca="1" si="7"/>
        <v>16970</v>
      </c>
      <c r="B177" s="4"/>
      <c r="C177" s="5"/>
      <c r="D177" s="5"/>
      <c r="E177" s="28">
        <v>27</v>
      </c>
    </row>
    <row r="178" spans="1:5" x14ac:dyDescent="0.25">
      <c r="A178" s="1">
        <f t="shared" ca="1" si="7"/>
        <v>16971</v>
      </c>
      <c r="B178" s="4"/>
      <c r="C178" s="5"/>
      <c r="D178" s="5"/>
      <c r="E178" s="28">
        <v>0</v>
      </c>
    </row>
    <row r="179" spans="1:5" x14ac:dyDescent="0.25">
      <c r="A179" s="1">
        <f t="shared" ca="1" si="7"/>
        <v>16972</v>
      </c>
      <c r="B179" s="4"/>
      <c r="C179" s="5"/>
      <c r="D179" s="5"/>
      <c r="E179" s="28">
        <v>0</v>
      </c>
    </row>
    <row r="180" spans="1:5" x14ac:dyDescent="0.25">
      <c r="A180" s="1">
        <f t="shared" ca="1" si="7"/>
        <v>16973</v>
      </c>
      <c r="B180" s="4"/>
      <c r="C180" s="5"/>
      <c r="D180" s="5"/>
      <c r="E180" s="28">
        <v>0</v>
      </c>
    </row>
    <row r="181" spans="1:5" x14ac:dyDescent="0.25">
      <c r="A181" s="1">
        <f t="shared" ca="1" si="7"/>
        <v>16974</v>
      </c>
      <c r="B181" s="4"/>
      <c r="C181" s="5"/>
      <c r="D181" s="5"/>
      <c r="E181" s="28">
        <v>0</v>
      </c>
    </row>
    <row r="182" spans="1:5" x14ac:dyDescent="0.25">
      <c r="A182" s="1">
        <f t="shared" ca="1" si="7"/>
        <v>16975</v>
      </c>
      <c r="B182" s="4"/>
      <c r="C182" s="5"/>
      <c r="D182" s="5"/>
      <c r="E182" s="28">
        <v>0</v>
      </c>
    </row>
    <row r="183" spans="1:5" x14ac:dyDescent="0.25">
      <c r="A183" s="1">
        <f t="shared" ca="1" si="7"/>
        <v>16976</v>
      </c>
      <c r="B183" s="4"/>
      <c r="C183" s="5"/>
      <c r="D183" s="5"/>
      <c r="E183" s="28">
        <v>0</v>
      </c>
    </row>
    <row r="184" spans="1:5" x14ac:dyDescent="0.25">
      <c r="A184" s="1">
        <f t="shared" ca="1" si="7"/>
        <v>16977</v>
      </c>
      <c r="B184" s="4"/>
      <c r="C184" s="5"/>
      <c r="D184" s="5"/>
      <c r="E184" s="28">
        <v>0</v>
      </c>
    </row>
    <row r="185" spans="1:5" x14ac:dyDescent="0.25">
      <c r="A185" s="1">
        <f t="shared" ca="1" si="7"/>
        <v>16978</v>
      </c>
      <c r="B185" s="4"/>
      <c r="C185" s="5"/>
      <c r="D185" s="5"/>
      <c r="E185" s="28">
        <v>0</v>
      </c>
    </row>
    <row r="186" spans="1:5" x14ac:dyDescent="0.25">
      <c r="A186" s="1">
        <f t="shared" ca="1" si="7"/>
        <v>16979</v>
      </c>
      <c r="B186" s="4"/>
      <c r="C186" s="5"/>
      <c r="D186" s="5"/>
      <c r="E186" s="28">
        <v>0</v>
      </c>
    </row>
    <row r="187" spans="1:5" x14ac:dyDescent="0.25">
      <c r="A187" s="1">
        <f t="shared" ca="1" si="7"/>
        <v>16980</v>
      </c>
      <c r="B187" s="4"/>
      <c r="C187" s="5"/>
      <c r="D187" s="5"/>
      <c r="E187" s="28">
        <v>53</v>
      </c>
    </row>
    <row r="188" spans="1:5" x14ac:dyDescent="0.25">
      <c r="A188" s="1">
        <f t="shared" ca="1" si="7"/>
        <v>16981</v>
      </c>
      <c r="B188" s="4"/>
      <c r="C188" s="5"/>
      <c r="D188" s="5"/>
      <c r="E188" s="28">
        <v>22</v>
      </c>
    </row>
    <row r="189" spans="1:5" x14ac:dyDescent="0.25">
      <c r="A189" s="1">
        <f t="shared" ca="1" si="7"/>
        <v>16982</v>
      </c>
      <c r="B189" s="4"/>
      <c r="C189" s="5"/>
      <c r="D189" s="5"/>
      <c r="E189" s="28">
        <v>0</v>
      </c>
    </row>
    <row r="190" spans="1:5" x14ac:dyDescent="0.25">
      <c r="A190" s="1">
        <f t="shared" ca="1" si="7"/>
        <v>16983</v>
      </c>
      <c r="B190" s="4"/>
      <c r="C190" s="5"/>
      <c r="D190" s="5"/>
      <c r="E190" s="28">
        <v>0</v>
      </c>
    </row>
    <row r="191" spans="1:5" x14ac:dyDescent="0.25">
      <c r="A191" s="1" t="str">
        <f t="shared" ca="1" si="7"/>
        <v>Totaal</v>
      </c>
      <c r="B191" s="18" t="str">
        <f t="shared" ref="B191:D191" si="10">IF(COUNT(B161:B190)&gt;0,AVERAGE(B161:B190),"")</f>
        <v/>
      </c>
      <c r="C191" s="19" t="str">
        <f t="shared" si="10"/>
        <v/>
      </c>
      <c r="D191" s="19" t="str">
        <f t="shared" si="10"/>
        <v/>
      </c>
      <c r="E191" s="29">
        <f>SUM(E161:E190)/10</f>
        <v>50.7</v>
      </c>
    </row>
    <row r="192" spans="1:5" x14ac:dyDescent="0.25">
      <c r="A192" s="1">
        <f t="shared" ca="1" si="7"/>
        <v>16984</v>
      </c>
      <c r="B192" s="4"/>
      <c r="C192" s="5"/>
      <c r="D192" s="5"/>
      <c r="E192" s="28">
        <v>0</v>
      </c>
    </row>
    <row r="193" spans="1:5" x14ac:dyDescent="0.25">
      <c r="A193" s="1">
        <f t="shared" ca="1" si="7"/>
        <v>16985</v>
      </c>
      <c r="B193" s="4"/>
      <c r="C193" s="5"/>
      <c r="D193" s="5"/>
      <c r="E193" s="28">
        <v>0</v>
      </c>
    </row>
    <row r="194" spans="1:5" x14ac:dyDescent="0.25">
      <c r="A194" s="1">
        <f t="shared" ca="1" si="7"/>
        <v>16986</v>
      </c>
      <c r="B194" s="4"/>
      <c r="C194" s="5"/>
      <c r="D194" s="5"/>
      <c r="E194" s="28">
        <v>0</v>
      </c>
    </row>
    <row r="195" spans="1:5" x14ac:dyDescent="0.25">
      <c r="A195" s="1">
        <f t="shared" ca="1" si="7"/>
        <v>16987</v>
      </c>
      <c r="B195" s="4"/>
      <c r="C195" s="5"/>
      <c r="D195" s="5"/>
      <c r="E195" s="28">
        <v>0</v>
      </c>
    </row>
    <row r="196" spans="1:5" x14ac:dyDescent="0.25">
      <c r="A196" s="1">
        <f t="shared" ca="1" si="7"/>
        <v>16988</v>
      </c>
      <c r="B196" s="4"/>
      <c r="C196" s="5"/>
      <c r="D196" s="5"/>
      <c r="E196" s="28">
        <v>0</v>
      </c>
    </row>
    <row r="197" spans="1:5" x14ac:dyDescent="0.25">
      <c r="A197" s="1">
        <f t="shared" ca="1" si="7"/>
        <v>16989</v>
      </c>
      <c r="B197" s="4"/>
      <c r="C197" s="5"/>
      <c r="D197" s="5"/>
      <c r="E197" s="28">
        <v>0</v>
      </c>
    </row>
    <row r="198" spans="1:5" x14ac:dyDescent="0.25">
      <c r="A198" s="1">
        <f t="shared" ca="1" si="7"/>
        <v>16990</v>
      </c>
      <c r="B198" s="4"/>
      <c r="C198" s="5"/>
      <c r="D198" s="5"/>
      <c r="E198" s="28">
        <v>0</v>
      </c>
    </row>
    <row r="199" spans="1:5" x14ac:dyDescent="0.25">
      <c r="A199" s="1">
        <f t="shared" ref="A199:A262" ca="1" si="11">IF(ISTEXT(A198),A197+1,IF(MONTH(A198+1)=MONTH(A198),A198+1,"Totaal"))</f>
        <v>16991</v>
      </c>
      <c r="B199" s="4"/>
      <c r="C199" s="5"/>
      <c r="D199" s="5"/>
      <c r="E199" s="28">
        <v>35</v>
      </c>
    </row>
    <row r="200" spans="1:5" x14ac:dyDescent="0.25">
      <c r="A200" s="1">
        <f t="shared" ca="1" si="11"/>
        <v>16992</v>
      </c>
      <c r="B200" s="4"/>
      <c r="C200" s="5"/>
      <c r="D200" s="5"/>
      <c r="E200" s="28">
        <v>0</v>
      </c>
    </row>
    <row r="201" spans="1:5" x14ac:dyDescent="0.25">
      <c r="A201" s="1">
        <f t="shared" ca="1" si="11"/>
        <v>16993</v>
      </c>
      <c r="B201" s="4"/>
      <c r="C201" s="5"/>
      <c r="D201" s="5"/>
      <c r="E201" s="28">
        <v>0</v>
      </c>
    </row>
    <row r="202" spans="1:5" x14ac:dyDescent="0.25">
      <c r="A202" s="1">
        <f t="shared" ca="1" si="11"/>
        <v>16994</v>
      </c>
      <c r="B202" s="4"/>
      <c r="C202" s="5"/>
      <c r="D202" s="5"/>
      <c r="E202" s="28">
        <v>0</v>
      </c>
    </row>
    <row r="203" spans="1:5" x14ac:dyDescent="0.25">
      <c r="A203" s="1">
        <f t="shared" ca="1" si="11"/>
        <v>16995</v>
      </c>
      <c r="B203" s="4"/>
      <c r="C203" s="5"/>
      <c r="D203" s="5"/>
      <c r="E203" s="28">
        <v>0</v>
      </c>
    </row>
    <row r="204" spans="1:5" x14ac:dyDescent="0.25">
      <c r="A204" s="1">
        <f t="shared" ca="1" si="11"/>
        <v>16996</v>
      </c>
      <c r="B204" s="4"/>
      <c r="C204" s="5"/>
      <c r="D204" s="5"/>
      <c r="E204" s="28">
        <v>0</v>
      </c>
    </row>
    <row r="205" spans="1:5" x14ac:dyDescent="0.25">
      <c r="A205" s="1">
        <f t="shared" ca="1" si="11"/>
        <v>16997</v>
      </c>
      <c r="B205" s="4"/>
      <c r="C205" s="5"/>
      <c r="D205" s="5"/>
      <c r="E205" s="28">
        <v>0</v>
      </c>
    </row>
    <row r="206" spans="1:5" x14ac:dyDescent="0.25">
      <c r="A206" s="1">
        <f t="shared" ca="1" si="11"/>
        <v>16998</v>
      </c>
      <c r="B206" s="4"/>
      <c r="C206" s="5"/>
      <c r="D206" s="5"/>
      <c r="E206" s="28">
        <v>0</v>
      </c>
    </row>
    <row r="207" spans="1:5" x14ac:dyDescent="0.25">
      <c r="A207" s="1">
        <f t="shared" ca="1" si="11"/>
        <v>16999</v>
      </c>
      <c r="B207" s="4"/>
      <c r="C207" s="5"/>
      <c r="D207" s="5"/>
      <c r="E207" s="28">
        <v>0</v>
      </c>
    </row>
    <row r="208" spans="1:5" x14ac:dyDescent="0.25">
      <c r="A208" s="1">
        <f t="shared" ca="1" si="11"/>
        <v>17000</v>
      </c>
      <c r="B208" s="4"/>
      <c r="C208" s="5"/>
      <c r="D208" s="5"/>
      <c r="E208" s="28">
        <v>94</v>
      </c>
    </row>
    <row r="209" spans="1:5" x14ac:dyDescent="0.25">
      <c r="A209" s="1">
        <f t="shared" ca="1" si="11"/>
        <v>17001</v>
      </c>
      <c r="B209" s="4"/>
      <c r="C209" s="5"/>
      <c r="D209" s="5"/>
      <c r="E209" s="28">
        <v>0</v>
      </c>
    </row>
    <row r="210" spans="1:5" x14ac:dyDescent="0.25">
      <c r="A210" s="1">
        <f t="shared" ca="1" si="11"/>
        <v>17002</v>
      </c>
      <c r="B210" s="4"/>
      <c r="C210" s="5"/>
      <c r="D210" s="5"/>
      <c r="E210" s="28">
        <v>0</v>
      </c>
    </row>
    <row r="211" spans="1:5" x14ac:dyDescent="0.25">
      <c r="A211" s="1">
        <f t="shared" ca="1" si="11"/>
        <v>17003</v>
      </c>
      <c r="B211" s="4"/>
      <c r="C211" s="5"/>
      <c r="D211" s="5"/>
      <c r="E211" s="28">
        <v>0</v>
      </c>
    </row>
    <row r="212" spans="1:5" x14ac:dyDescent="0.25">
      <c r="A212" s="1">
        <f t="shared" ca="1" si="11"/>
        <v>17004</v>
      </c>
      <c r="B212" s="4"/>
      <c r="C212" s="5"/>
      <c r="D212" s="5"/>
      <c r="E212" s="28">
        <v>0</v>
      </c>
    </row>
    <row r="213" spans="1:5" x14ac:dyDescent="0.25">
      <c r="A213" s="1">
        <f t="shared" ca="1" si="11"/>
        <v>17005</v>
      </c>
      <c r="B213" s="4"/>
      <c r="C213" s="5"/>
      <c r="D213" s="5"/>
      <c r="E213" s="28">
        <v>0</v>
      </c>
    </row>
    <row r="214" spans="1:5" x14ac:dyDescent="0.25">
      <c r="A214" s="1">
        <f t="shared" ca="1" si="11"/>
        <v>17006</v>
      </c>
      <c r="B214" s="4"/>
      <c r="C214" s="5"/>
      <c r="D214" s="5"/>
      <c r="E214" s="28">
        <v>0</v>
      </c>
    </row>
    <row r="215" spans="1:5" x14ac:dyDescent="0.25">
      <c r="A215" s="1">
        <f t="shared" ca="1" si="11"/>
        <v>17007</v>
      </c>
      <c r="B215" s="4"/>
      <c r="C215" s="5"/>
      <c r="D215" s="5"/>
      <c r="E215" s="28">
        <v>0</v>
      </c>
    </row>
    <row r="216" spans="1:5" x14ac:dyDescent="0.25">
      <c r="A216" s="1">
        <f t="shared" ca="1" si="11"/>
        <v>17008</v>
      </c>
      <c r="B216" s="4"/>
      <c r="C216" s="5"/>
      <c r="D216" s="5"/>
      <c r="E216" s="28">
        <v>0</v>
      </c>
    </row>
    <row r="217" spans="1:5" x14ac:dyDescent="0.25">
      <c r="A217" s="1">
        <f t="shared" ca="1" si="11"/>
        <v>17009</v>
      </c>
      <c r="B217" s="4"/>
      <c r="C217" s="5"/>
      <c r="D217" s="5"/>
      <c r="E217" s="28">
        <v>411</v>
      </c>
    </row>
    <row r="218" spans="1:5" x14ac:dyDescent="0.25">
      <c r="A218" s="1">
        <f t="shared" ca="1" si="11"/>
        <v>17010</v>
      </c>
      <c r="B218" s="4"/>
      <c r="C218" s="5"/>
      <c r="D218" s="5"/>
      <c r="E218" s="28">
        <v>47</v>
      </c>
    </row>
    <row r="219" spans="1:5" x14ac:dyDescent="0.25">
      <c r="A219" s="1">
        <f t="shared" ca="1" si="11"/>
        <v>17011</v>
      </c>
      <c r="B219" s="4"/>
      <c r="C219" s="5"/>
      <c r="D219" s="5"/>
      <c r="E219" s="28">
        <v>8</v>
      </c>
    </row>
    <row r="220" spans="1:5" x14ac:dyDescent="0.25">
      <c r="A220" s="1">
        <f t="shared" ca="1" si="11"/>
        <v>17012</v>
      </c>
      <c r="B220" s="4"/>
      <c r="C220" s="5"/>
      <c r="D220" s="5"/>
      <c r="E220" s="28">
        <v>13</v>
      </c>
    </row>
    <row r="221" spans="1:5" x14ac:dyDescent="0.25">
      <c r="A221" s="1">
        <f t="shared" ca="1" si="11"/>
        <v>17013</v>
      </c>
      <c r="B221" s="4"/>
      <c r="C221" s="5"/>
      <c r="D221" s="5"/>
      <c r="E221" s="28">
        <v>0</v>
      </c>
    </row>
    <row r="222" spans="1:5" x14ac:dyDescent="0.25">
      <c r="A222" s="1">
        <f t="shared" ca="1" si="11"/>
        <v>17014</v>
      </c>
      <c r="B222" s="4"/>
      <c r="C222" s="5"/>
      <c r="D222" s="5"/>
      <c r="E222" s="28">
        <v>0</v>
      </c>
    </row>
    <row r="223" spans="1:5" x14ac:dyDescent="0.25">
      <c r="A223" s="1" t="str">
        <f t="shared" ca="1" si="11"/>
        <v>Totaal</v>
      </c>
      <c r="B223" s="18" t="str">
        <f>IF(COUNT(B192:B222)&gt;0,AVERAGE(B192:B222),"")</f>
        <v/>
      </c>
      <c r="C223" s="19" t="str">
        <f t="shared" ref="C223" si="12">IF(COUNT(C192:C222)&gt;0,AVERAGE(C192:C222),"")</f>
        <v/>
      </c>
      <c r="D223" s="19" t="str">
        <f t="shared" ref="D223" si="13">IF(COUNT(D192:D222)&gt;0,AVERAGE(D192:D222),"")</f>
        <v/>
      </c>
      <c r="E223" s="29">
        <f>SUM(E192:E222)/10</f>
        <v>60.8</v>
      </c>
    </row>
    <row r="224" spans="1:5" x14ac:dyDescent="0.25">
      <c r="A224" s="1">
        <f t="shared" ca="1" si="11"/>
        <v>17015</v>
      </c>
      <c r="B224" s="4"/>
      <c r="C224" s="5"/>
      <c r="D224" s="5"/>
      <c r="E224" s="28">
        <v>0</v>
      </c>
    </row>
    <row r="225" spans="1:5" x14ac:dyDescent="0.25">
      <c r="A225" s="1">
        <f t="shared" ca="1" si="11"/>
        <v>17016</v>
      </c>
      <c r="B225" s="4"/>
      <c r="C225" s="5"/>
      <c r="D225" s="5"/>
      <c r="E225" s="28">
        <v>0</v>
      </c>
    </row>
    <row r="226" spans="1:5" x14ac:dyDescent="0.25">
      <c r="A226" s="1">
        <f t="shared" ca="1" si="11"/>
        <v>17017</v>
      </c>
      <c r="B226" s="4"/>
      <c r="C226" s="5"/>
      <c r="D226" s="5"/>
      <c r="E226" s="28">
        <v>63</v>
      </c>
    </row>
    <row r="227" spans="1:5" x14ac:dyDescent="0.25">
      <c r="A227" s="1">
        <f t="shared" ca="1" si="11"/>
        <v>17018</v>
      </c>
      <c r="B227" s="4"/>
      <c r="C227" s="5"/>
      <c r="D227" s="5"/>
      <c r="E227" s="28">
        <v>83</v>
      </c>
    </row>
    <row r="228" spans="1:5" x14ac:dyDescent="0.25">
      <c r="A228" s="1">
        <f t="shared" ca="1" si="11"/>
        <v>17019</v>
      </c>
      <c r="B228" s="4"/>
      <c r="C228" s="5"/>
      <c r="D228" s="5"/>
      <c r="E228" s="28">
        <v>0</v>
      </c>
    </row>
    <row r="229" spans="1:5" x14ac:dyDescent="0.25">
      <c r="A229" s="1">
        <f t="shared" ca="1" si="11"/>
        <v>17020</v>
      </c>
      <c r="B229" s="4"/>
      <c r="C229" s="5"/>
      <c r="D229" s="5"/>
      <c r="E229" s="28">
        <v>0</v>
      </c>
    </row>
    <row r="230" spans="1:5" x14ac:dyDescent="0.25">
      <c r="A230" s="1">
        <f t="shared" ca="1" si="11"/>
        <v>17021</v>
      </c>
      <c r="B230" s="4"/>
      <c r="C230" s="5"/>
      <c r="D230" s="5"/>
      <c r="E230" s="28">
        <v>0</v>
      </c>
    </row>
    <row r="231" spans="1:5" x14ac:dyDescent="0.25">
      <c r="A231" s="1">
        <f t="shared" ca="1" si="11"/>
        <v>17022</v>
      </c>
      <c r="B231" s="4"/>
      <c r="C231" s="5"/>
      <c r="D231" s="5"/>
      <c r="E231" s="28">
        <v>644</v>
      </c>
    </row>
    <row r="232" spans="1:5" x14ac:dyDescent="0.25">
      <c r="A232" s="1">
        <f t="shared" ca="1" si="11"/>
        <v>17023</v>
      </c>
      <c r="B232" s="4"/>
      <c r="C232" s="5"/>
      <c r="D232" s="5"/>
      <c r="E232" s="28">
        <v>25</v>
      </c>
    </row>
    <row r="233" spans="1:5" x14ac:dyDescent="0.25">
      <c r="A233" s="1">
        <f t="shared" ca="1" si="11"/>
        <v>17024</v>
      </c>
      <c r="B233" s="4"/>
      <c r="C233" s="5"/>
      <c r="D233" s="5"/>
      <c r="E233" s="28">
        <v>0</v>
      </c>
    </row>
    <row r="234" spans="1:5" x14ac:dyDescent="0.25">
      <c r="A234" s="1">
        <f t="shared" ca="1" si="11"/>
        <v>17025</v>
      </c>
      <c r="B234" s="4"/>
      <c r="C234" s="5"/>
      <c r="D234" s="5"/>
      <c r="E234" s="28">
        <v>0</v>
      </c>
    </row>
    <row r="235" spans="1:5" x14ac:dyDescent="0.25">
      <c r="A235" s="1">
        <f t="shared" ca="1" si="11"/>
        <v>17026</v>
      </c>
      <c r="B235" s="4"/>
      <c r="C235" s="5"/>
      <c r="D235" s="5"/>
      <c r="E235" s="28">
        <v>29</v>
      </c>
    </row>
    <row r="236" spans="1:5" x14ac:dyDescent="0.25">
      <c r="A236" s="1">
        <f t="shared" ca="1" si="11"/>
        <v>17027</v>
      </c>
      <c r="B236" s="4"/>
      <c r="C236" s="5"/>
      <c r="D236" s="5"/>
      <c r="E236" s="28">
        <v>10</v>
      </c>
    </row>
    <row r="237" spans="1:5" x14ac:dyDescent="0.25">
      <c r="A237" s="1">
        <f t="shared" ca="1" si="11"/>
        <v>17028</v>
      </c>
      <c r="B237" s="4"/>
      <c r="C237" s="5"/>
      <c r="D237" s="5"/>
      <c r="E237" s="28">
        <v>100</v>
      </c>
    </row>
    <row r="238" spans="1:5" x14ac:dyDescent="0.25">
      <c r="A238" s="1">
        <f t="shared" ca="1" si="11"/>
        <v>17029</v>
      </c>
      <c r="B238" s="4"/>
      <c r="C238" s="5"/>
      <c r="D238" s="5"/>
      <c r="E238" s="28">
        <v>56</v>
      </c>
    </row>
    <row r="239" spans="1:5" x14ac:dyDescent="0.25">
      <c r="A239" s="1">
        <f t="shared" ca="1" si="11"/>
        <v>17030</v>
      </c>
      <c r="B239" s="4"/>
      <c r="C239" s="5"/>
      <c r="D239" s="5"/>
      <c r="E239" s="28">
        <v>0</v>
      </c>
    </row>
    <row r="240" spans="1:5" x14ac:dyDescent="0.25">
      <c r="A240" s="1">
        <f t="shared" ca="1" si="11"/>
        <v>17031</v>
      </c>
      <c r="B240" s="4"/>
      <c r="C240" s="5"/>
      <c r="D240" s="5"/>
      <c r="E240" s="28">
        <v>106</v>
      </c>
    </row>
    <row r="241" spans="1:5" x14ac:dyDescent="0.25">
      <c r="A241" s="1">
        <f t="shared" ca="1" si="11"/>
        <v>17032</v>
      </c>
      <c r="B241" s="4"/>
      <c r="C241" s="5"/>
      <c r="D241" s="5"/>
      <c r="E241" s="28">
        <v>173</v>
      </c>
    </row>
    <row r="242" spans="1:5" x14ac:dyDescent="0.25">
      <c r="A242" s="1">
        <f t="shared" ca="1" si="11"/>
        <v>17033</v>
      </c>
      <c r="B242" s="4"/>
      <c r="C242" s="5"/>
      <c r="D242" s="5"/>
      <c r="E242" s="28">
        <v>0</v>
      </c>
    </row>
    <row r="243" spans="1:5" x14ac:dyDescent="0.25">
      <c r="A243" s="1">
        <f t="shared" ca="1" si="11"/>
        <v>17034</v>
      </c>
      <c r="B243" s="4"/>
      <c r="C243" s="5"/>
      <c r="D243" s="5"/>
      <c r="E243" s="28">
        <v>0</v>
      </c>
    </row>
    <row r="244" spans="1:5" x14ac:dyDescent="0.25">
      <c r="A244" s="1">
        <f t="shared" ca="1" si="11"/>
        <v>17035</v>
      </c>
      <c r="B244" s="4"/>
      <c r="C244" s="5"/>
      <c r="D244" s="5"/>
      <c r="E244" s="28">
        <v>0</v>
      </c>
    </row>
    <row r="245" spans="1:5" x14ac:dyDescent="0.25">
      <c r="A245" s="1">
        <f t="shared" ca="1" si="11"/>
        <v>17036</v>
      </c>
      <c r="B245" s="4"/>
      <c r="C245" s="5"/>
      <c r="D245" s="5"/>
      <c r="E245" s="28">
        <v>1</v>
      </c>
    </row>
    <row r="246" spans="1:5" x14ac:dyDescent="0.25">
      <c r="A246" s="1">
        <f t="shared" ca="1" si="11"/>
        <v>17037</v>
      </c>
      <c r="B246" s="4"/>
      <c r="C246" s="5"/>
      <c r="D246" s="5"/>
      <c r="E246" s="28">
        <v>0</v>
      </c>
    </row>
    <row r="247" spans="1:5" x14ac:dyDescent="0.25">
      <c r="A247" s="1">
        <f t="shared" ca="1" si="11"/>
        <v>17038</v>
      </c>
      <c r="B247" s="4"/>
      <c r="C247" s="5"/>
      <c r="D247" s="5"/>
      <c r="E247" s="28">
        <v>10</v>
      </c>
    </row>
    <row r="248" spans="1:5" x14ac:dyDescent="0.25">
      <c r="A248" s="1">
        <f t="shared" ca="1" si="11"/>
        <v>17039</v>
      </c>
      <c r="B248" s="4"/>
      <c r="C248" s="5"/>
      <c r="D248" s="5"/>
      <c r="E248" s="28">
        <v>0</v>
      </c>
    </row>
    <row r="249" spans="1:5" x14ac:dyDescent="0.25">
      <c r="A249" s="1">
        <f t="shared" ca="1" si="11"/>
        <v>17040</v>
      </c>
      <c r="B249" s="4"/>
      <c r="C249" s="5"/>
      <c r="D249" s="5"/>
      <c r="E249" s="28">
        <v>0</v>
      </c>
    </row>
    <row r="250" spans="1:5" x14ac:dyDescent="0.25">
      <c r="A250" s="1">
        <f t="shared" ca="1" si="11"/>
        <v>17041</v>
      </c>
      <c r="B250" s="4"/>
      <c r="C250" s="5"/>
      <c r="D250" s="5"/>
      <c r="E250" s="28">
        <v>0</v>
      </c>
    </row>
    <row r="251" spans="1:5" x14ac:dyDescent="0.25">
      <c r="A251" s="1">
        <f t="shared" ca="1" si="11"/>
        <v>17042</v>
      </c>
      <c r="B251" s="4"/>
      <c r="C251" s="5"/>
      <c r="D251" s="5"/>
      <c r="E251" s="28">
        <v>1</v>
      </c>
    </row>
    <row r="252" spans="1:5" x14ac:dyDescent="0.25">
      <c r="A252" s="1">
        <f t="shared" ca="1" si="11"/>
        <v>17043</v>
      </c>
      <c r="B252" s="4"/>
      <c r="C252" s="5"/>
      <c r="D252" s="5"/>
      <c r="E252" s="28">
        <v>0</v>
      </c>
    </row>
    <row r="253" spans="1:5" x14ac:dyDescent="0.25">
      <c r="A253" s="1">
        <f t="shared" ca="1" si="11"/>
        <v>17044</v>
      </c>
      <c r="B253" s="4"/>
      <c r="C253" s="5"/>
      <c r="D253" s="5"/>
      <c r="E253" s="28">
        <v>0</v>
      </c>
    </row>
    <row r="254" spans="1:5" x14ac:dyDescent="0.25">
      <c r="A254" s="1">
        <f t="shared" ca="1" si="11"/>
        <v>17045</v>
      </c>
      <c r="B254" s="4"/>
      <c r="C254" s="5"/>
      <c r="D254" s="5"/>
      <c r="E254" s="28">
        <v>0</v>
      </c>
    </row>
    <row r="255" spans="1:5" x14ac:dyDescent="0.25">
      <c r="A255" s="1" t="str">
        <f t="shared" ca="1" si="11"/>
        <v>Totaal</v>
      </c>
      <c r="B255" s="18" t="str">
        <f>IF(COUNT(B224:B254)&gt;0,AVERAGE(B224:B254),"")</f>
        <v/>
      </c>
      <c r="C255" s="19" t="str">
        <f t="shared" ref="C255" si="14">IF(COUNT(C224:C254)&gt;0,AVERAGE(C224:C254),"")</f>
        <v/>
      </c>
      <c r="D255" s="19" t="str">
        <f t="shared" ref="D255" si="15">IF(COUNT(D224:D254)&gt;0,AVERAGE(D224:D254),"")</f>
        <v/>
      </c>
      <c r="E255" s="29">
        <f>SUM(E224:E254)/10</f>
        <v>130.1</v>
      </c>
    </row>
    <row r="256" spans="1:5" x14ac:dyDescent="0.25">
      <c r="A256" s="1">
        <f t="shared" ca="1" si="11"/>
        <v>17046</v>
      </c>
      <c r="B256" s="4"/>
      <c r="C256" s="5"/>
      <c r="D256" s="5"/>
      <c r="E256" s="28">
        <v>86</v>
      </c>
    </row>
    <row r="257" spans="1:5" x14ac:dyDescent="0.25">
      <c r="A257" s="1">
        <f t="shared" ca="1" si="11"/>
        <v>17047</v>
      </c>
      <c r="B257" s="4"/>
      <c r="C257" s="5"/>
      <c r="D257" s="5"/>
      <c r="E257" s="28">
        <v>104</v>
      </c>
    </row>
    <row r="258" spans="1:5" x14ac:dyDescent="0.25">
      <c r="A258" s="1">
        <f t="shared" ca="1" si="11"/>
        <v>17048</v>
      </c>
      <c r="B258" s="4"/>
      <c r="C258" s="5"/>
      <c r="D258" s="5"/>
      <c r="E258" s="28">
        <v>7</v>
      </c>
    </row>
    <row r="259" spans="1:5" x14ac:dyDescent="0.25">
      <c r="A259" s="1">
        <f t="shared" ca="1" si="11"/>
        <v>17049</v>
      </c>
      <c r="B259" s="4"/>
      <c r="C259" s="5"/>
      <c r="D259" s="5"/>
      <c r="E259" s="28">
        <v>1</v>
      </c>
    </row>
    <row r="260" spans="1:5" x14ac:dyDescent="0.25">
      <c r="A260" s="1">
        <f t="shared" ca="1" si="11"/>
        <v>17050</v>
      </c>
      <c r="B260" s="4"/>
      <c r="C260" s="5"/>
      <c r="D260" s="5"/>
      <c r="E260" s="28">
        <v>0</v>
      </c>
    </row>
    <row r="261" spans="1:5" x14ac:dyDescent="0.25">
      <c r="A261" s="1">
        <f t="shared" ca="1" si="11"/>
        <v>17051</v>
      </c>
      <c r="B261" s="4"/>
      <c r="C261" s="5"/>
      <c r="D261" s="5"/>
      <c r="E261" s="28">
        <v>0</v>
      </c>
    </row>
    <row r="262" spans="1:5" x14ac:dyDescent="0.25">
      <c r="A262" s="1">
        <f t="shared" ca="1" si="11"/>
        <v>17052</v>
      </c>
      <c r="B262" s="4"/>
      <c r="C262" s="5"/>
      <c r="D262" s="5"/>
      <c r="E262" s="28">
        <v>0</v>
      </c>
    </row>
    <row r="263" spans="1:5" x14ac:dyDescent="0.25">
      <c r="A263" s="1">
        <f t="shared" ref="A263:A326" ca="1" si="16">IF(ISTEXT(A262),A261+1,IF(MONTH(A262+1)=MONTH(A262),A262+1,"Totaal"))</f>
        <v>17053</v>
      </c>
      <c r="B263" s="4"/>
      <c r="C263" s="5"/>
      <c r="D263" s="5"/>
      <c r="E263" s="28">
        <v>103</v>
      </c>
    </row>
    <row r="264" spans="1:5" x14ac:dyDescent="0.25">
      <c r="A264" s="1">
        <f t="shared" ca="1" si="16"/>
        <v>17054</v>
      </c>
      <c r="B264" s="4"/>
      <c r="C264" s="5"/>
      <c r="D264" s="5"/>
      <c r="E264" s="28">
        <v>100</v>
      </c>
    </row>
    <row r="265" spans="1:5" x14ac:dyDescent="0.25">
      <c r="A265" s="1">
        <f t="shared" ca="1" si="16"/>
        <v>17055</v>
      </c>
      <c r="B265" s="4"/>
      <c r="C265" s="5"/>
      <c r="D265" s="5"/>
      <c r="E265" s="28">
        <v>20</v>
      </c>
    </row>
    <row r="266" spans="1:5" x14ac:dyDescent="0.25">
      <c r="A266" s="1">
        <f t="shared" ca="1" si="16"/>
        <v>17056</v>
      </c>
      <c r="B266" s="4"/>
      <c r="C266" s="5"/>
      <c r="D266" s="5"/>
      <c r="E266" s="28">
        <v>3</v>
      </c>
    </row>
    <row r="267" spans="1:5" x14ac:dyDescent="0.25">
      <c r="A267" s="1">
        <f t="shared" ca="1" si="16"/>
        <v>17057</v>
      </c>
      <c r="B267" s="4"/>
      <c r="C267" s="5"/>
      <c r="D267" s="5"/>
      <c r="E267" s="28">
        <v>70</v>
      </c>
    </row>
    <row r="268" spans="1:5" x14ac:dyDescent="0.25">
      <c r="A268" s="1">
        <f t="shared" ca="1" si="16"/>
        <v>17058</v>
      </c>
      <c r="B268" s="4"/>
      <c r="C268" s="5"/>
      <c r="D268" s="5"/>
      <c r="E268" s="28">
        <v>0</v>
      </c>
    </row>
    <row r="269" spans="1:5" x14ac:dyDescent="0.25">
      <c r="A269" s="1">
        <f t="shared" ca="1" si="16"/>
        <v>17059</v>
      </c>
      <c r="B269" s="4"/>
      <c r="C269" s="5"/>
      <c r="D269" s="5"/>
      <c r="E269" s="28">
        <v>0</v>
      </c>
    </row>
    <row r="270" spans="1:5" x14ac:dyDescent="0.25">
      <c r="A270" s="1">
        <f t="shared" ca="1" si="16"/>
        <v>17060</v>
      </c>
      <c r="B270" s="4"/>
      <c r="C270" s="5"/>
      <c r="D270" s="5"/>
      <c r="E270" s="28">
        <v>0</v>
      </c>
    </row>
    <row r="271" spans="1:5" x14ac:dyDescent="0.25">
      <c r="A271" s="1">
        <f t="shared" ca="1" si="16"/>
        <v>17061</v>
      </c>
      <c r="B271" s="4"/>
      <c r="C271" s="5"/>
      <c r="D271" s="5"/>
      <c r="E271" s="28">
        <v>0</v>
      </c>
    </row>
    <row r="272" spans="1:5" x14ac:dyDescent="0.25">
      <c r="A272" s="1">
        <f t="shared" ca="1" si="16"/>
        <v>17062</v>
      </c>
      <c r="B272" s="4"/>
      <c r="C272" s="5"/>
      <c r="D272" s="5"/>
      <c r="E272" s="28">
        <v>10</v>
      </c>
    </row>
    <row r="273" spans="1:5" x14ac:dyDescent="0.25">
      <c r="A273" s="1">
        <f t="shared" ca="1" si="16"/>
        <v>17063</v>
      </c>
      <c r="B273" s="4"/>
      <c r="C273" s="5"/>
      <c r="D273" s="5"/>
      <c r="E273" s="28">
        <v>0</v>
      </c>
    </row>
    <row r="274" spans="1:5" x14ac:dyDescent="0.25">
      <c r="A274" s="1">
        <f t="shared" ca="1" si="16"/>
        <v>17064</v>
      </c>
      <c r="B274" s="4"/>
      <c r="C274" s="5"/>
      <c r="D274" s="5"/>
      <c r="E274" s="28">
        <v>0</v>
      </c>
    </row>
    <row r="275" spans="1:5" x14ac:dyDescent="0.25">
      <c r="A275" s="1">
        <f t="shared" ca="1" si="16"/>
        <v>17065</v>
      </c>
      <c r="B275" s="4"/>
      <c r="C275" s="5"/>
      <c r="D275" s="5"/>
      <c r="E275" s="28">
        <v>0</v>
      </c>
    </row>
    <row r="276" spans="1:5" x14ac:dyDescent="0.25">
      <c r="A276" s="1">
        <f t="shared" ca="1" si="16"/>
        <v>17066</v>
      </c>
      <c r="B276" s="4"/>
      <c r="C276" s="5"/>
      <c r="D276" s="5"/>
      <c r="E276" s="28">
        <v>0</v>
      </c>
    </row>
    <row r="277" spans="1:5" x14ac:dyDescent="0.25">
      <c r="A277" s="1">
        <f t="shared" ca="1" si="16"/>
        <v>17067</v>
      </c>
      <c r="B277" s="4"/>
      <c r="C277" s="5"/>
      <c r="D277" s="5"/>
      <c r="E277" s="28">
        <v>74</v>
      </c>
    </row>
    <row r="278" spans="1:5" x14ac:dyDescent="0.25">
      <c r="A278" s="1">
        <f t="shared" ca="1" si="16"/>
        <v>17068</v>
      </c>
      <c r="B278" s="4"/>
      <c r="C278" s="5"/>
      <c r="D278" s="5"/>
      <c r="E278" s="28">
        <v>40</v>
      </c>
    </row>
    <row r="279" spans="1:5" x14ac:dyDescent="0.25">
      <c r="A279" s="1">
        <f t="shared" ca="1" si="16"/>
        <v>17069</v>
      </c>
      <c r="B279" s="4"/>
      <c r="C279" s="5"/>
      <c r="D279" s="5"/>
      <c r="E279" s="28">
        <v>0</v>
      </c>
    </row>
    <row r="280" spans="1:5" x14ac:dyDescent="0.25">
      <c r="A280" s="1">
        <f t="shared" ca="1" si="16"/>
        <v>17070</v>
      </c>
      <c r="B280" s="4"/>
      <c r="C280" s="5"/>
      <c r="D280" s="5"/>
      <c r="E280" s="28">
        <v>10</v>
      </c>
    </row>
    <row r="281" spans="1:5" x14ac:dyDescent="0.25">
      <c r="A281" s="1">
        <f t="shared" ca="1" si="16"/>
        <v>17071</v>
      </c>
      <c r="B281" s="4"/>
      <c r="C281" s="5"/>
      <c r="D281" s="5"/>
      <c r="E281" s="28">
        <v>0</v>
      </c>
    </row>
    <row r="282" spans="1:5" x14ac:dyDescent="0.25">
      <c r="A282" s="1">
        <f t="shared" ca="1" si="16"/>
        <v>17072</v>
      </c>
      <c r="B282" s="4"/>
      <c r="C282" s="5"/>
      <c r="D282" s="5"/>
      <c r="E282" s="28">
        <v>0</v>
      </c>
    </row>
    <row r="283" spans="1:5" x14ac:dyDescent="0.25">
      <c r="A283" s="1">
        <f t="shared" ca="1" si="16"/>
        <v>17073</v>
      </c>
      <c r="B283" s="4"/>
      <c r="C283" s="5"/>
      <c r="D283" s="5"/>
      <c r="E283" s="28">
        <v>0</v>
      </c>
    </row>
    <row r="284" spans="1:5" x14ac:dyDescent="0.25">
      <c r="A284" s="1">
        <f t="shared" ca="1" si="16"/>
        <v>17074</v>
      </c>
      <c r="B284" s="4"/>
      <c r="C284" s="5"/>
      <c r="D284" s="5"/>
      <c r="E284" s="28">
        <v>0</v>
      </c>
    </row>
    <row r="285" spans="1:5" x14ac:dyDescent="0.25">
      <c r="A285" s="1">
        <f t="shared" ca="1" si="16"/>
        <v>17075</v>
      </c>
      <c r="B285" s="4"/>
      <c r="C285" s="5"/>
      <c r="D285" s="5"/>
      <c r="E285" s="28">
        <v>0</v>
      </c>
    </row>
    <row r="286" spans="1:5" x14ac:dyDescent="0.25">
      <c r="A286" s="1" t="str">
        <f t="shared" ca="1" si="16"/>
        <v>Totaal</v>
      </c>
      <c r="B286" s="18" t="str">
        <f t="shared" ref="B286:D286" si="17">IF(COUNT(B256:B285)&gt;0,AVERAGE(B256:B285),"")</f>
        <v/>
      </c>
      <c r="C286" s="19" t="str">
        <f t="shared" si="17"/>
        <v/>
      </c>
      <c r="D286" s="19" t="str">
        <f t="shared" si="17"/>
        <v/>
      </c>
      <c r="E286" s="29">
        <f>SUM(E256:E285)/10</f>
        <v>62.8</v>
      </c>
    </row>
    <row r="287" spans="1:5" x14ac:dyDescent="0.25">
      <c r="A287" s="1">
        <f t="shared" ca="1" si="16"/>
        <v>17076</v>
      </c>
      <c r="B287" s="4"/>
      <c r="C287" s="5"/>
      <c r="D287" s="5"/>
      <c r="E287" s="28">
        <v>10</v>
      </c>
    </row>
    <row r="288" spans="1:5" x14ac:dyDescent="0.25">
      <c r="A288" s="1">
        <f t="shared" ca="1" si="16"/>
        <v>17077</v>
      </c>
      <c r="B288" s="4"/>
      <c r="C288" s="5"/>
      <c r="D288" s="5"/>
      <c r="E288" s="28">
        <v>5</v>
      </c>
    </row>
    <row r="289" spans="1:5" x14ac:dyDescent="0.25">
      <c r="A289" s="1">
        <f t="shared" ca="1" si="16"/>
        <v>17078</v>
      </c>
      <c r="B289" s="4"/>
      <c r="C289" s="5"/>
      <c r="D289" s="5"/>
      <c r="E289" s="28">
        <v>0</v>
      </c>
    </row>
    <row r="290" spans="1:5" x14ac:dyDescent="0.25">
      <c r="A290" s="1">
        <f t="shared" ca="1" si="16"/>
        <v>17079</v>
      </c>
      <c r="B290" s="4"/>
      <c r="C290" s="5"/>
      <c r="D290" s="5"/>
      <c r="E290" s="28">
        <v>0</v>
      </c>
    </row>
    <row r="291" spans="1:5" x14ac:dyDescent="0.25">
      <c r="A291" s="1">
        <f t="shared" ca="1" si="16"/>
        <v>17080</v>
      </c>
      <c r="B291" s="4"/>
      <c r="C291" s="5"/>
      <c r="D291" s="5"/>
      <c r="E291" s="28">
        <v>0</v>
      </c>
    </row>
    <row r="292" spans="1:5" x14ac:dyDescent="0.25">
      <c r="A292" s="1">
        <f t="shared" ca="1" si="16"/>
        <v>17081</v>
      </c>
      <c r="B292" s="4"/>
      <c r="C292" s="5"/>
      <c r="D292" s="5"/>
      <c r="E292" s="28">
        <v>0</v>
      </c>
    </row>
    <row r="293" spans="1:5" x14ac:dyDescent="0.25">
      <c r="A293" s="1">
        <f t="shared" ca="1" si="16"/>
        <v>17082</v>
      </c>
      <c r="B293" s="4"/>
      <c r="C293" s="5"/>
      <c r="D293" s="5"/>
      <c r="E293" s="28">
        <v>10</v>
      </c>
    </row>
    <row r="294" spans="1:5" x14ac:dyDescent="0.25">
      <c r="A294" s="1">
        <f t="shared" ca="1" si="16"/>
        <v>17083</v>
      </c>
      <c r="B294" s="4"/>
      <c r="C294" s="5"/>
      <c r="D294" s="5"/>
      <c r="E294" s="28">
        <v>0</v>
      </c>
    </row>
    <row r="295" spans="1:5" x14ac:dyDescent="0.25">
      <c r="A295" s="1">
        <f t="shared" ca="1" si="16"/>
        <v>17084</v>
      </c>
      <c r="B295" s="4"/>
      <c r="C295" s="5"/>
      <c r="D295" s="5"/>
      <c r="E295" s="28">
        <v>0</v>
      </c>
    </row>
    <row r="296" spans="1:5" x14ac:dyDescent="0.25">
      <c r="A296" s="1">
        <f t="shared" ca="1" si="16"/>
        <v>17085</v>
      </c>
      <c r="B296" s="4"/>
      <c r="C296" s="5"/>
      <c r="D296" s="5"/>
      <c r="E296" s="28">
        <v>0</v>
      </c>
    </row>
    <row r="297" spans="1:5" x14ac:dyDescent="0.25">
      <c r="A297" s="1">
        <f t="shared" ca="1" si="16"/>
        <v>17086</v>
      </c>
      <c r="B297" s="4"/>
      <c r="C297" s="5"/>
      <c r="D297" s="5"/>
      <c r="E297" s="28">
        <v>0</v>
      </c>
    </row>
    <row r="298" spans="1:5" x14ac:dyDescent="0.25">
      <c r="A298" s="1">
        <f t="shared" ca="1" si="16"/>
        <v>17087</v>
      </c>
      <c r="B298" s="4"/>
      <c r="C298" s="5"/>
      <c r="D298" s="5"/>
      <c r="E298" s="28">
        <v>0</v>
      </c>
    </row>
    <row r="299" spans="1:5" x14ac:dyDescent="0.25">
      <c r="A299" s="1">
        <f t="shared" ca="1" si="16"/>
        <v>17088</v>
      </c>
      <c r="B299" s="4"/>
      <c r="C299" s="5"/>
      <c r="D299" s="5"/>
      <c r="E299" s="28">
        <v>0</v>
      </c>
    </row>
    <row r="300" spans="1:5" x14ac:dyDescent="0.25">
      <c r="A300" s="1">
        <f t="shared" ca="1" si="16"/>
        <v>17089</v>
      </c>
      <c r="B300" s="4"/>
      <c r="C300" s="5"/>
      <c r="D300" s="5"/>
      <c r="E300" s="28">
        <v>204</v>
      </c>
    </row>
    <row r="301" spans="1:5" x14ac:dyDescent="0.25">
      <c r="A301" s="1">
        <f t="shared" ca="1" si="16"/>
        <v>17090</v>
      </c>
      <c r="B301" s="4"/>
      <c r="C301" s="5"/>
      <c r="D301" s="5"/>
      <c r="E301" s="28">
        <v>0</v>
      </c>
    </row>
    <row r="302" spans="1:5" x14ac:dyDescent="0.25">
      <c r="A302" s="1">
        <f t="shared" ca="1" si="16"/>
        <v>17091</v>
      </c>
      <c r="B302" s="4"/>
      <c r="C302" s="5"/>
      <c r="D302" s="5"/>
      <c r="E302" s="28">
        <v>0</v>
      </c>
    </row>
    <row r="303" spans="1:5" x14ac:dyDescent="0.25">
      <c r="A303" s="1">
        <f t="shared" ca="1" si="16"/>
        <v>17092</v>
      </c>
      <c r="B303" s="4"/>
      <c r="C303" s="5"/>
      <c r="D303" s="5"/>
      <c r="E303" s="28">
        <v>60</v>
      </c>
    </row>
    <row r="304" spans="1:5" x14ac:dyDescent="0.25">
      <c r="A304" s="1">
        <f t="shared" ca="1" si="16"/>
        <v>17093</v>
      </c>
      <c r="B304" s="4"/>
      <c r="C304" s="5"/>
      <c r="D304" s="5"/>
      <c r="E304" s="28">
        <v>0</v>
      </c>
    </row>
    <row r="305" spans="1:5" x14ac:dyDescent="0.25">
      <c r="A305" s="1">
        <f t="shared" ca="1" si="16"/>
        <v>17094</v>
      </c>
      <c r="B305" s="4"/>
      <c r="C305" s="5"/>
      <c r="D305" s="5"/>
      <c r="E305" s="28">
        <v>6</v>
      </c>
    </row>
    <row r="306" spans="1:5" x14ac:dyDescent="0.25">
      <c r="A306" s="1">
        <f t="shared" ca="1" si="16"/>
        <v>17095</v>
      </c>
      <c r="B306" s="4"/>
      <c r="C306" s="5"/>
      <c r="D306" s="5"/>
      <c r="E306" s="28">
        <v>14</v>
      </c>
    </row>
    <row r="307" spans="1:5" x14ac:dyDescent="0.25">
      <c r="A307" s="1">
        <f t="shared" ca="1" si="16"/>
        <v>17096</v>
      </c>
      <c r="B307" s="4"/>
      <c r="C307" s="5"/>
      <c r="D307" s="5"/>
      <c r="E307" s="28">
        <v>2</v>
      </c>
    </row>
    <row r="308" spans="1:5" x14ac:dyDescent="0.25">
      <c r="A308" s="1">
        <f t="shared" ca="1" si="16"/>
        <v>17097</v>
      </c>
      <c r="B308" s="4"/>
      <c r="C308" s="5"/>
      <c r="D308" s="5"/>
      <c r="E308" s="28">
        <v>10</v>
      </c>
    </row>
    <row r="309" spans="1:5" x14ac:dyDescent="0.25">
      <c r="A309" s="1">
        <f t="shared" ca="1" si="16"/>
        <v>17098</v>
      </c>
      <c r="B309" s="4"/>
      <c r="C309" s="5"/>
      <c r="D309" s="5"/>
      <c r="E309" s="28">
        <v>0</v>
      </c>
    </row>
    <row r="310" spans="1:5" x14ac:dyDescent="0.25">
      <c r="A310" s="1">
        <f t="shared" ca="1" si="16"/>
        <v>17099</v>
      </c>
      <c r="B310" s="4"/>
      <c r="C310" s="5"/>
      <c r="D310" s="5"/>
      <c r="E310" s="28">
        <v>83</v>
      </c>
    </row>
    <row r="311" spans="1:5" x14ac:dyDescent="0.25">
      <c r="A311" s="1">
        <f t="shared" ca="1" si="16"/>
        <v>17100</v>
      </c>
      <c r="B311" s="4"/>
      <c r="C311" s="5"/>
      <c r="D311" s="5"/>
      <c r="E311" s="28">
        <v>13</v>
      </c>
    </row>
    <row r="312" spans="1:5" x14ac:dyDescent="0.25">
      <c r="A312" s="1">
        <f t="shared" ca="1" si="16"/>
        <v>17101</v>
      </c>
      <c r="B312" s="4"/>
      <c r="C312" s="5"/>
      <c r="D312" s="5"/>
      <c r="E312" s="28">
        <v>0</v>
      </c>
    </row>
    <row r="313" spans="1:5" x14ac:dyDescent="0.25">
      <c r="A313" s="1">
        <f t="shared" ca="1" si="16"/>
        <v>17102</v>
      </c>
      <c r="B313" s="4"/>
      <c r="C313" s="5"/>
      <c r="D313" s="5"/>
      <c r="E313" s="28">
        <v>52</v>
      </c>
    </row>
    <row r="314" spans="1:5" x14ac:dyDescent="0.25">
      <c r="A314" s="1">
        <f t="shared" ca="1" si="16"/>
        <v>17103</v>
      </c>
      <c r="B314" s="4"/>
      <c r="C314" s="5"/>
      <c r="D314" s="5"/>
      <c r="E314" s="28">
        <v>0</v>
      </c>
    </row>
    <row r="315" spans="1:5" x14ac:dyDescent="0.25">
      <c r="A315" s="1">
        <f t="shared" ca="1" si="16"/>
        <v>17104</v>
      </c>
      <c r="B315" s="4"/>
      <c r="C315" s="5"/>
      <c r="D315" s="5"/>
      <c r="E315" s="28">
        <v>0</v>
      </c>
    </row>
    <row r="316" spans="1:5" x14ac:dyDescent="0.25">
      <c r="A316" s="1">
        <f t="shared" ca="1" si="16"/>
        <v>17105</v>
      </c>
      <c r="B316" s="4"/>
      <c r="C316" s="5"/>
      <c r="D316" s="5"/>
      <c r="E316" s="28">
        <v>0</v>
      </c>
    </row>
    <row r="317" spans="1:5" x14ac:dyDescent="0.25">
      <c r="A317" s="1">
        <f t="shared" ca="1" si="16"/>
        <v>17106</v>
      </c>
      <c r="B317" s="4"/>
      <c r="C317" s="5"/>
      <c r="D317" s="5"/>
      <c r="E317" s="28">
        <v>0</v>
      </c>
    </row>
    <row r="318" spans="1:5" x14ac:dyDescent="0.25">
      <c r="A318" s="1" t="str">
        <f t="shared" ca="1" si="16"/>
        <v>Totaal</v>
      </c>
      <c r="B318" s="18" t="str">
        <f>IF(COUNT(B287:B317)&gt;0,AVERAGE(B287:B317),"")</f>
        <v/>
      </c>
      <c r="C318" s="19" t="str">
        <f t="shared" ref="C318" si="18">IF(COUNT(C287:C317)&gt;0,AVERAGE(C287:C317),"")</f>
        <v/>
      </c>
      <c r="D318" s="19" t="str">
        <f t="shared" ref="D318" si="19">IF(COUNT(D287:D317)&gt;0,AVERAGE(D287:D317),"")</f>
        <v/>
      </c>
      <c r="E318" s="29">
        <f>SUM(E287:E317)/10</f>
        <v>46.9</v>
      </c>
    </row>
    <row r="319" spans="1:5" x14ac:dyDescent="0.25">
      <c r="A319" s="1">
        <f t="shared" ca="1" si="16"/>
        <v>17107</v>
      </c>
      <c r="B319" s="4"/>
      <c r="C319" s="5"/>
      <c r="D319" s="5"/>
      <c r="E319" s="28">
        <v>0</v>
      </c>
    </row>
    <row r="320" spans="1:5" x14ac:dyDescent="0.25">
      <c r="A320" s="1">
        <f t="shared" ca="1" si="16"/>
        <v>17108</v>
      </c>
      <c r="B320" s="4"/>
      <c r="C320" s="5"/>
      <c r="D320" s="5"/>
      <c r="E320" s="28">
        <v>0</v>
      </c>
    </row>
    <row r="321" spans="1:5" x14ac:dyDescent="0.25">
      <c r="A321" s="1">
        <f t="shared" ca="1" si="16"/>
        <v>17109</v>
      </c>
      <c r="B321" s="4"/>
      <c r="C321" s="5"/>
      <c r="D321" s="5"/>
      <c r="E321" s="28">
        <v>130</v>
      </c>
    </row>
    <row r="322" spans="1:5" x14ac:dyDescent="0.25">
      <c r="A322" s="1">
        <f t="shared" ca="1" si="16"/>
        <v>17110</v>
      </c>
      <c r="B322" s="4"/>
      <c r="C322" s="5"/>
      <c r="D322" s="5"/>
      <c r="E322" s="28">
        <v>0</v>
      </c>
    </row>
    <row r="323" spans="1:5" x14ac:dyDescent="0.25">
      <c r="A323" s="1">
        <f t="shared" ca="1" si="16"/>
        <v>17111</v>
      </c>
      <c r="B323" s="4"/>
      <c r="C323" s="5"/>
      <c r="D323" s="5"/>
      <c r="E323" s="28">
        <v>0</v>
      </c>
    </row>
    <row r="324" spans="1:5" x14ac:dyDescent="0.25">
      <c r="A324" s="1">
        <f t="shared" ca="1" si="16"/>
        <v>17112</v>
      </c>
      <c r="B324" s="4"/>
      <c r="C324" s="5"/>
      <c r="D324" s="5"/>
      <c r="E324" s="28">
        <v>0</v>
      </c>
    </row>
    <row r="325" spans="1:5" x14ac:dyDescent="0.25">
      <c r="A325" s="1">
        <f t="shared" ca="1" si="16"/>
        <v>17113</v>
      </c>
      <c r="B325" s="4"/>
      <c r="C325" s="5"/>
      <c r="D325" s="5"/>
      <c r="E325" s="28">
        <v>0</v>
      </c>
    </row>
    <row r="326" spans="1:5" x14ac:dyDescent="0.25">
      <c r="A326" s="1">
        <f t="shared" ca="1" si="16"/>
        <v>17114</v>
      </c>
      <c r="B326" s="4"/>
      <c r="C326" s="5"/>
      <c r="D326" s="5"/>
      <c r="E326" s="28">
        <v>0</v>
      </c>
    </row>
    <row r="327" spans="1:5" x14ac:dyDescent="0.25">
      <c r="A327" s="1">
        <f t="shared" ref="A327:A381" ca="1" si="20">IF(ISTEXT(A326),A325+1,IF(MONTH(A326+1)=MONTH(A326),A326+1,"Totaal"))</f>
        <v>17115</v>
      </c>
      <c r="B327" s="4"/>
      <c r="C327" s="5"/>
      <c r="D327" s="5"/>
      <c r="E327" s="28">
        <v>0</v>
      </c>
    </row>
    <row r="328" spans="1:5" x14ac:dyDescent="0.25">
      <c r="A328" s="1">
        <f t="shared" ca="1" si="20"/>
        <v>17116</v>
      </c>
      <c r="B328" s="4"/>
      <c r="C328" s="5"/>
      <c r="D328" s="5"/>
      <c r="E328" s="28">
        <v>0</v>
      </c>
    </row>
    <row r="329" spans="1:5" x14ac:dyDescent="0.25">
      <c r="A329" s="1">
        <f t="shared" ca="1" si="20"/>
        <v>17117</v>
      </c>
      <c r="B329" s="4"/>
      <c r="C329" s="5"/>
      <c r="D329" s="5"/>
      <c r="E329" s="28">
        <v>0</v>
      </c>
    </row>
    <row r="330" spans="1:5" x14ac:dyDescent="0.25">
      <c r="A330" s="1">
        <f t="shared" ca="1" si="20"/>
        <v>17118</v>
      </c>
      <c r="B330" s="4"/>
      <c r="C330" s="5"/>
      <c r="D330" s="5"/>
      <c r="E330" s="28">
        <v>33</v>
      </c>
    </row>
    <row r="331" spans="1:5" x14ac:dyDescent="0.25">
      <c r="A331" s="1">
        <f t="shared" ca="1" si="20"/>
        <v>17119</v>
      </c>
      <c r="B331" s="4"/>
      <c r="C331" s="5"/>
      <c r="D331" s="5"/>
      <c r="E331" s="28">
        <v>0</v>
      </c>
    </row>
    <row r="332" spans="1:5" x14ac:dyDescent="0.25">
      <c r="A332" s="1">
        <f t="shared" ca="1" si="20"/>
        <v>17120</v>
      </c>
      <c r="B332" s="4"/>
      <c r="C332" s="5"/>
      <c r="D332" s="5"/>
      <c r="E332" s="28">
        <v>100</v>
      </c>
    </row>
    <row r="333" spans="1:5" x14ac:dyDescent="0.25">
      <c r="A333" s="1">
        <f t="shared" ca="1" si="20"/>
        <v>17121</v>
      </c>
      <c r="B333" s="4"/>
      <c r="C333" s="5"/>
      <c r="D333" s="5"/>
      <c r="E333" s="28">
        <v>0</v>
      </c>
    </row>
    <row r="334" spans="1:5" x14ac:dyDescent="0.25">
      <c r="A334" s="1">
        <f t="shared" ca="1" si="20"/>
        <v>17122</v>
      </c>
      <c r="B334" s="4"/>
      <c r="C334" s="5"/>
      <c r="D334" s="5"/>
      <c r="E334" s="28">
        <v>370</v>
      </c>
    </row>
    <row r="335" spans="1:5" x14ac:dyDescent="0.25">
      <c r="A335" s="1">
        <f t="shared" ca="1" si="20"/>
        <v>17123</v>
      </c>
      <c r="B335" s="4"/>
      <c r="C335" s="5"/>
      <c r="D335" s="5"/>
      <c r="E335" s="28">
        <v>150</v>
      </c>
    </row>
    <row r="336" spans="1:5" x14ac:dyDescent="0.25">
      <c r="A336" s="1">
        <f t="shared" ca="1" si="20"/>
        <v>17124</v>
      </c>
      <c r="B336" s="4"/>
      <c r="C336" s="5"/>
      <c r="D336" s="5"/>
      <c r="E336" s="28">
        <v>0</v>
      </c>
    </row>
    <row r="337" spans="1:5" x14ac:dyDescent="0.25">
      <c r="A337" s="1">
        <f t="shared" ca="1" si="20"/>
        <v>17125</v>
      </c>
      <c r="B337" s="4"/>
      <c r="C337" s="5"/>
      <c r="D337" s="5"/>
      <c r="E337" s="28">
        <v>0</v>
      </c>
    </row>
    <row r="338" spans="1:5" x14ac:dyDescent="0.25">
      <c r="A338" s="1">
        <f t="shared" ca="1" si="20"/>
        <v>17126</v>
      </c>
      <c r="B338" s="4"/>
      <c r="C338" s="5"/>
      <c r="D338" s="5"/>
      <c r="E338" s="28">
        <v>0</v>
      </c>
    </row>
    <row r="339" spans="1:5" x14ac:dyDescent="0.25">
      <c r="A339" s="1">
        <f t="shared" ca="1" si="20"/>
        <v>17127</v>
      </c>
      <c r="B339" s="4"/>
      <c r="C339" s="5"/>
      <c r="D339" s="5"/>
      <c r="E339" s="28">
        <v>0</v>
      </c>
    </row>
    <row r="340" spans="1:5" x14ac:dyDescent="0.25">
      <c r="A340" s="1">
        <f t="shared" ca="1" si="20"/>
        <v>17128</v>
      </c>
      <c r="B340" s="4"/>
      <c r="C340" s="5"/>
      <c r="D340" s="5"/>
      <c r="E340" s="28">
        <v>0</v>
      </c>
    </row>
    <row r="341" spans="1:5" x14ac:dyDescent="0.25">
      <c r="A341" s="1">
        <f t="shared" ca="1" si="20"/>
        <v>17129</v>
      </c>
      <c r="B341" s="4"/>
      <c r="C341" s="5"/>
      <c r="D341" s="5"/>
      <c r="E341" s="28">
        <v>0</v>
      </c>
    </row>
    <row r="342" spans="1:5" x14ac:dyDescent="0.25">
      <c r="A342" s="1">
        <f t="shared" ca="1" si="20"/>
        <v>17130</v>
      </c>
      <c r="B342" s="4"/>
      <c r="C342" s="5"/>
      <c r="D342" s="5"/>
      <c r="E342" s="28">
        <v>0</v>
      </c>
    </row>
    <row r="343" spans="1:5" x14ac:dyDescent="0.25">
      <c r="A343" s="1">
        <f t="shared" ca="1" si="20"/>
        <v>17131</v>
      </c>
      <c r="B343" s="4"/>
      <c r="C343" s="5"/>
      <c r="D343" s="5"/>
      <c r="E343" s="28">
        <v>0</v>
      </c>
    </row>
    <row r="344" spans="1:5" x14ac:dyDescent="0.25">
      <c r="A344" s="1">
        <f t="shared" ca="1" si="20"/>
        <v>17132</v>
      </c>
      <c r="B344" s="4"/>
      <c r="C344" s="5"/>
      <c r="D344" s="5"/>
      <c r="E344" s="28">
        <v>80</v>
      </c>
    </row>
    <row r="345" spans="1:5" x14ac:dyDescent="0.25">
      <c r="A345" s="1">
        <f t="shared" ca="1" si="20"/>
        <v>17133</v>
      </c>
      <c r="B345" s="4"/>
      <c r="C345" s="5"/>
      <c r="D345" s="5"/>
      <c r="E345" s="28">
        <v>0</v>
      </c>
    </row>
    <row r="346" spans="1:5" x14ac:dyDescent="0.25">
      <c r="A346" s="1">
        <f t="shared" ca="1" si="20"/>
        <v>17134</v>
      </c>
      <c r="B346" s="4"/>
      <c r="C346" s="5"/>
      <c r="D346" s="5"/>
      <c r="E346" s="28">
        <v>52</v>
      </c>
    </row>
    <row r="347" spans="1:5" x14ac:dyDescent="0.25">
      <c r="A347" s="1">
        <f t="shared" ca="1" si="20"/>
        <v>17135</v>
      </c>
      <c r="B347" s="4"/>
      <c r="C347" s="5"/>
      <c r="D347" s="5"/>
      <c r="E347" s="28">
        <v>0</v>
      </c>
    </row>
    <row r="348" spans="1:5" x14ac:dyDescent="0.25">
      <c r="A348" s="1">
        <f t="shared" ca="1" si="20"/>
        <v>17136</v>
      </c>
      <c r="B348" s="4"/>
      <c r="C348" s="5"/>
      <c r="D348" s="5"/>
      <c r="E348" s="28">
        <v>0</v>
      </c>
    </row>
    <row r="349" spans="1:5" x14ac:dyDescent="0.25">
      <c r="A349" s="1" t="str">
        <f t="shared" ca="1" si="20"/>
        <v>Totaal</v>
      </c>
      <c r="B349" s="18" t="str">
        <f t="shared" ref="B349:D349" si="21">IF(COUNT(B319:B348)&gt;0,AVERAGE(B319:B348),"")</f>
        <v/>
      </c>
      <c r="C349" s="19" t="str">
        <f t="shared" si="21"/>
        <v/>
      </c>
      <c r="D349" s="19" t="str">
        <f t="shared" si="21"/>
        <v/>
      </c>
      <c r="E349" s="29">
        <f>SUM(E319:E348)/10</f>
        <v>91.5</v>
      </c>
    </row>
    <row r="350" spans="1:5" x14ac:dyDescent="0.25">
      <c r="A350" s="1">
        <f t="shared" ca="1" si="20"/>
        <v>17137</v>
      </c>
      <c r="B350" s="4"/>
      <c r="C350" s="5"/>
      <c r="D350" s="5"/>
      <c r="E350" s="28">
        <v>0</v>
      </c>
    </row>
    <row r="351" spans="1:5" x14ac:dyDescent="0.25">
      <c r="A351" s="1">
        <f t="shared" ca="1" si="20"/>
        <v>17138</v>
      </c>
      <c r="B351" s="4"/>
      <c r="C351" s="5"/>
      <c r="D351" s="5"/>
      <c r="E351" s="28">
        <v>0</v>
      </c>
    </row>
    <row r="352" spans="1:5" x14ac:dyDescent="0.25">
      <c r="A352" s="1">
        <f t="shared" ca="1" si="20"/>
        <v>17139</v>
      </c>
      <c r="B352" s="4"/>
      <c r="C352" s="5"/>
      <c r="D352" s="5"/>
      <c r="E352" s="28">
        <v>0</v>
      </c>
    </row>
    <row r="353" spans="1:5" x14ac:dyDescent="0.25">
      <c r="A353" s="1">
        <f t="shared" ca="1" si="20"/>
        <v>17140</v>
      </c>
      <c r="B353" s="4"/>
      <c r="C353" s="5"/>
      <c r="D353" s="5"/>
      <c r="E353" s="28">
        <v>0</v>
      </c>
    </row>
    <row r="354" spans="1:5" x14ac:dyDescent="0.25">
      <c r="A354" s="1">
        <f t="shared" ca="1" si="20"/>
        <v>17141</v>
      </c>
      <c r="B354" s="4"/>
      <c r="C354" s="5"/>
      <c r="D354" s="5"/>
      <c r="E354" s="28">
        <v>0</v>
      </c>
    </row>
    <row r="355" spans="1:5" x14ac:dyDescent="0.25">
      <c r="A355" s="1">
        <f t="shared" ca="1" si="20"/>
        <v>17142</v>
      </c>
      <c r="B355" s="4"/>
      <c r="C355" s="5"/>
      <c r="D355" s="5"/>
      <c r="E355" s="28">
        <v>0</v>
      </c>
    </row>
    <row r="356" spans="1:5" x14ac:dyDescent="0.25">
      <c r="A356" s="1">
        <f t="shared" ca="1" si="20"/>
        <v>17143</v>
      </c>
      <c r="B356" s="4"/>
      <c r="C356" s="5"/>
      <c r="D356" s="5"/>
      <c r="E356" s="28">
        <v>0</v>
      </c>
    </row>
    <row r="357" spans="1:5" x14ac:dyDescent="0.25">
      <c r="A357" s="1">
        <f t="shared" ca="1" si="20"/>
        <v>17144</v>
      </c>
      <c r="B357" s="4"/>
      <c r="C357" s="5"/>
      <c r="D357" s="5"/>
      <c r="E357" s="28">
        <v>0</v>
      </c>
    </row>
    <row r="358" spans="1:5" x14ac:dyDescent="0.25">
      <c r="A358" s="1">
        <f t="shared" ca="1" si="20"/>
        <v>17145</v>
      </c>
      <c r="B358" s="4"/>
      <c r="C358" s="5"/>
      <c r="D358" s="5"/>
      <c r="E358" s="28">
        <v>0</v>
      </c>
    </row>
    <row r="359" spans="1:5" x14ac:dyDescent="0.25">
      <c r="A359" s="1">
        <f t="shared" ca="1" si="20"/>
        <v>17146</v>
      </c>
      <c r="B359" s="4"/>
      <c r="C359" s="5"/>
      <c r="D359" s="5"/>
      <c r="E359" s="28">
        <v>0</v>
      </c>
    </row>
    <row r="360" spans="1:5" x14ac:dyDescent="0.25">
      <c r="A360" s="1">
        <f t="shared" ca="1" si="20"/>
        <v>17147</v>
      </c>
      <c r="B360" s="4"/>
      <c r="C360" s="5"/>
      <c r="D360" s="5"/>
      <c r="E360" s="28">
        <v>0</v>
      </c>
    </row>
    <row r="361" spans="1:5" x14ac:dyDescent="0.25">
      <c r="A361" s="1">
        <f t="shared" ca="1" si="20"/>
        <v>17148</v>
      </c>
      <c r="B361" s="4"/>
      <c r="C361" s="5"/>
      <c r="D361" s="5"/>
      <c r="E361" s="28">
        <v>0</v>
      </c>
    </row>
    <row r="362" spans="1:5" x14ac:dyDescent="0.25">
      <c r="A362" s="1">
        <f t="shared" ca="1" si="20"/>
        <v>17149</v>
      </c>
      <c r="B362" s="4"/>
      <c r="C362" s="5"/>
      <c r="D362" s="5"/>
      <c r="E362" s="28">
        <v>45</v>
      </c>
    </row>
    <row r="363" spans="1:5" x14ac:dyDescent="0.25">
      <c r="A363" s="1">
        <f t="shared" ca="1" si="20"/>
        <v>17150</v>
      </c>
      <c r="B363" s="4"/>
      <c r="C363" s="5"/>
      <c r="D363" s="5"/>
      <c r="E363" s="28">
        <v>0</v>
      </c>
    </row>
    <row r="364" spans="1:5" x14ac:dyDescent="0.25">
      <c r="A364" s="1">
        <f t="shared" ca="1" si="20"/>
        <v>17151</v>
      </c>
      <c r="B364" s="4"/>
      <c r="C364" s="5"/>
      <c r="D364" s="5"/>
      <c r="E364" s="28">
        <v>0</v>
      </c>
    </row>
    <row r="365" spans="1:5" x14ac:dyDescent="0.25">
      <c r="A365" s="1">
        <f t="shared" ca="1" si="20"/>
        <v>17152</v>
      </c>
      <c r="B365" s="4"/>
      <c r="C365" s="5"/>
      <c r="D365" s="5"/>
      <c r="E365" s="28">
        <v>0</v>
      </c>
    </row>
    <row r="366" spans="1:5" x14ac:dyDescent="0.25">
      <c r="A366" s="1">
        <f t="shared" ca="1" si="20"/>
        <v>17153</v>
      </c>
      <c r="B366" s="4"/>
      <c r="C366" s="5"/>
      <c r="D366" s="5"/>
      <c r="E366" s="28">
        <v>0</v>
      </c>
    </row>
    <row r="367" spans="1:5" x14ac:dyDescent="0.25">
      <c r="A367" s="1">
        <f t="shared" ca="1" si="20"/>
        <v>17154</v>
      </c>
      <c r="B367" s="4"/>
      <c r="C367" s="5"/>
      <c r="D367" s="5"/>
      <c r="E367" s="28">
        <v>73</v>
      </c>
    </row>
    <row r="368" spans="1:5" x14ac:dyDescent="0.25">
      <c r="A368" s="1">
        <f t="shared" ca="1" si="20"/>
        <v>17155</v>
      </c>
      <c r="B368" s="4"/>
      <c r="C368" s="5"/>
      <c r="D368" s="5"/>
      <c r="E368" s="28">
        <v>0</v>
      </c>
    </row>
    <row r="369" spans="1:5" x14ac:dyDescent="0.25">
      <c r="A369" s="1">
        <f t="shared" ca="1" si="20"/>
        <v>17156</v>
      </c>
      <c r="B369" s="4"/>
      <c r="C369" s="5"/>
      <c r="D369" s="5"/>
      <c r="E369" s="28">
        <v>0</v>
      </c>
    </row>
    <row r="370" spans="1:5" x14ac:dyDescent="0.25">
      <c r="A370" s="1">
        <f t="shared" ca="1" si="20"/>
        <v>17157</v>
      </c>
      <c r="B370" s="4"/>
      <c r="C370" s="5"/>
      <c r="D370" s="5"/>
      <c r="E370" s="28">
        <v>0</v>
      </c>
    </row>
    <row r="371" spans="1:5" x14ac:dyDescent="0.25">
      <c r="A371" s="1">
        <f t="shared" ca="1" si="20"/>
        <v>17158</v>
      </c>
      <c r="B371" s="4"/>
      <c r="C371" s="5"/>
      <c r="D371" s="5"/>
      <c r="E371" s="28">
        <v>0</v>
      </c>
    </row>
    <row r="372" spans="1:5" x14ac:dyDescent="0.25">
      <c r="A372" s="1">
        <f t="shared" ca="1" si="20"/>
        <v>17159</v>
      </c>
      <c r="B372" s="4"/>
      <c r="C372" s="5"/>
      <c r="D372" s="5"/>
      <c r="E372" s="28">
        <v>0</v>
      </c>
    </row>
    <row r="373" spans="1:5" x14ac:dyDescent="0.25">
      <c r="A373" s="1">
        <f t="shared" ca="1" si="20"/>
        <v>17160</v>
      </c>
      <c r="B373" s="4"/>
      <c r="C373" s="5"/>
      <c r="D373" s="5"/>
      <c r="E373" s="28">
        <v>0</v>
      </c>
    </row>
    <row r="374" spans="1:5" x14ac:dyDescent="0.25">
      <c r="A374" s="1">
        <f t="shared" ca="1" si="20"/>
        <v>17161</v>
      </c>
      <c r="B374" s="4"/>
      <c r="C374" s="5"/>
      <c r="D374" s="5"/>
      <c r="E374" s="28">
        <v>0</v>
      </c>
    </row>
    <row r="375" spans="1:5" x14ac:dyDescent="0.25">
      <c r="A375" s="1">
        <f t="shared" ca="1" si="20"/>
        <v>17162</v>
      </c>
      <c r="B375" s="4"/>
      <c r="C375" s="5"/>
      <c r="D375" s="5"/>
      <c r="E375" s="28">
        <v>0</v>
      </c>
    </row>
    <row r="376" spans="1:5" x14ac:dyDescent="0.25">
      <c r="A376" s="1">
        <f t="shared" ca="1" si="20"/>
        <v>17163</v>
      </c>
      <c r="B376" s="4"/>
      <c r="C376" s="5"/>
      <c r="D376" s="5"/>
      <c r="E376" s="28">
        <v>0</v>
      </c>
    </row>
    <row r="377" spans="1:5" x14ac:dyDescent="0.25">
      <c r="A377" s="1">
        <f t="shared" ca="1" si="20"/>
        <v>17164</v>
      </c>
      <c r="B377" s="4"/>
      <c r="C377" s="5"/>
      <c r="D377" s="5"/>
      <c r="E377" s="28">
        <v>0</v>
      </c>
    </row>
    <row r="378" spans="1:5" x14ac:dyDescent="0.25">
      <c r="A378" s="1">
        <f t="shared" ca="1" si="20"/>
        <v>17165</v>
      </c>
      <c r="B378" s="4"/>
      <c r="C378" s="5"/>
      <c r="D378" s="5"/>
      <c r="E378" s="28">
        <v>0</v>
      </c>
    </row>
    <row r="379" spans="1:5" x14ac:dyDescent="0.25">
      <c r="A379" s="1">
        <f t="shared" ca="1" si="20"/>
        <v>17166</v>
      </c>
      <c r="B379" s="4"/>
      <c r="C379" s="5"/>
      <c r="D379" s="5"/>
      <c r="E379" s="28">
        <v>0</v>
      </c>
    </row>
    <row r="380" spans="1:5" x14ac:dyDescent="0.25">
      <c r="A380" s="1">
        <f t="shared" ca="1" si="20"/>
        <v>17167</v>
      </c>
      <c r="B380" s="4"/>
      <c r="C380" s="5"/>
      <c r="D380" s="5"/>
      <c r="E380" s="28">
        <v>0</v>
      </c>
    </row>
    <row r="381" spans="1:5" x14ac:dyDescent="0.25">
      <c r="A381" s="1" t="str">
        <f t="shared" ca="1" si="20"/>
        <v>Totaal</v>
      </c>
      <c r="B381" s="18" t="str">
        <f>IF(COUNT(B350:B380)&gt;0,AVERAGE(B350:B380),"")</f>
        <v/>
      </c>
      <c r="C381" s="19" t="str">
        <f t="shared" ref="C381" si="22">IF(COUNT(C350:C380)&gt;0,AVERAGE(C350:C380),"")</f>
        <v/>
      </c>
      <c r="D381" s="19" t="str">
        <f t="shared" ref="D381" si="23">IF(COUNT(D350:D380)&gt;0,AVERAGE(D350:D380),"")</f>
        <v/>
      </c>
      <c r="E381" s="29">
        <f>SUM(E350:E380)/10</f>
        <v>11.8</v>
      </c>
    </row>
  </sheetData>
  <sheetProtection sheet="1" objects="1" scenarios="1" selectLockedCells="1"/>
  <mergeCells count="3">
    <mergeCell ref="B3:D3"/>
    <mergeCell ref="A3:A4"/>
    <mergeCell ref="A1:E1"/>
  </mergeCells>
  <conditionalFormatting sqref="A5:E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N9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4" max="14" width="17.7109375" bestFit="1" customWidth="1"/>
  </cols>
  <sheetData>
    <row r="1" spans="1:14" x14ac:dyDescent="0.25">
      <c r="A1" t="s">
        <v>10</v>
      </c>
      <c r="D1" t="s">
        <v>22</v>
      </c>
      <c r="G1" t="s">
        <v>20</v>
      </c>
      <c r="J1" t="s">
        <v>21</v>
      </c>
    </row>
    <row r="2" spans="1:14" ht="15.75" thickBot="1" x14ac:dyDescent="0.3"/>
    <row r="3" spans="1:14" ht="15.75" thickBot="1" x14ac:dyDescent="0.3">
      <c r="J3" s="40" t="s">
        <v>0</v>
      </c>
      <c r="K3" s="39" t="s">
        <v>28</v>
      </c>
      <c r="L3" s="39"/>
      <c r="M3" s="39"/>
      <c r="N3" s="32" t="s">
        <v>1</v>
      </c>
    </row>
    <row r="4" spans="1:14" x14ac:dyDescent="0.25">
      <c r="A4" s="22" t="s">
        <v>11</v>
      </c>
      <c r="B4" s="21" t="s">
        <v>12</v>
      </c>
      <c r="D4" s="21" t="s">
        <v>23</v>
      </c>
      <c r="E4" s="21" t="s">
        <v>25</v>
      </c>
      <c r="G4" s="13" t="s">
        <v>13</v>
      </c>
      <c r="H4" s="13" t="s">
        <v>14</v>
      </c>
      <c r="J4" s="41"/>
      <c r="K4" s="17" t="s">
        <v>29</v>
      </c>
      <c r="L4" s="17" t="s">
        <v>30</v>
      </c>
      <c r="M4" s="17" t="s">
        <v>31</v>
      </c>
      <c r="N4" s="33" t="s">
        <v>32</v>
      </c>
    </row>
    <row r="5" spans="1:14" x14ac:dyDescent="0.25">
      <c r="A5" s="8">
        <v>73</v>
      </c>
      <c r="B5" t="s">
        <v>32</v>
      </c>
      <c r="D5" t="s">
        <v>7</v>
      </c>
      <c r="E5" t="s">
        <v>24</v>
      </c>
      <c r="G5" t="s">
        <v>15</v>
      </c>
      <c r="H5" s="9">
        <v>0</v>
      </c>
    </row>
    <row r="6" spans="1:14" x14ac:dyDescent="0.25">
      <c r="A6" s="8">
        <v>71</v>
      </c>
      <c r="B6" t="s">
        <v>34</v>
      </c>
      <c r="D6" s="23" t="s">
        <v>9</v>
      </c>
      <c r="E6" s="23" t="s">
        <v>26</v>
      </c>
      <c r="G6" t="s">
        <v>16</v>
      </c>
      <c r="H6" s="9">
        <v>1</v>
      </c>
    </row>
    <row r="7" spans="1:14" ht="15.75" thickBot="1" x14ac:dyDescent="0.3">
      <c r="A7" s="12">
        <v>72</v>
      </c>
      <c r="B7" s="10" t="s">
        <v>35</v>
      </c>
      <c r="D7" s="24" t="s">
        <v>4</v>
      </c>
      <c r="E7" s="24" t="s">
        <v>27</v>
      </c>
      <c r="G7" t="s">
        <v>17</v>
      </c>
      <c r="H7" s="9">
        <v>4</v>
      </c>
    </row>
    <row r="8" spans="1:14" x14ac:dyDescent="0.25">
      <c r="G8" t="s">
        <v>18</v>
      </c>
      <c r="H8" s="9">
        <v>6</v>
      </c>
    </row>
    <row r="9" spans="1:14" ht="15.75" thickBot="1" x14ac:dyDescent="0.3">
      <c r="G9" s="10" t="s">
        <v>19</v>
      </c>
      <c r="H9" s="11">
        <v>7</v>
      </c>
    </row>
  </sheetData>
  <mergeCells count="2"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3</v>
      </c>
      <c r="D1" s="7" t="s">
        <v>4</v>
      </c>
      <c r="E1" s="7" t="s">
        <v>5</v>
      </c>
    </row>
    <row r="2" spans="1:5" x14ac:dyDescent="0.25">
      <c r="A2" s="8">
        <f ca="1">INDEX(Stations,INT((ROWS(A$2:A2)-1)/(DATE(YEAR(Invoer!$A$5),12,31)-DATE(YEAR(Invoer!$A$5),1,1)+1))+2,1)</f>
        <v>73</v>
      </c>
      <c r="B2" t="str">
        <f ca="1">TEXT(DATE(YEAR(Invoer!$A$5),1,1)+MOD(ROWS(B$2:B2)-1,DATE(YEAR(Invoer!$A$5),12,31)-DATE(YEAR(Invoer!$A$5),1,1)+1),"jjjjmmdd")</f>
        <v>19460101</v>
      </c>
      <c r="C2" s="9">
        <v>1</v>
      </c>
      <c r="D2" s="14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5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8">
        <f ca="1">INDEX(Stations,INT((ROWS(A$2:A3)-1)/(DATE(YEAR(Invoer!$A$5),12,31)-DATE(YEAR(Invoer!$A$5),1,1)+1))+2,1)</f>
        <v>73</v>
      </c>
      <c r="B3" t="str">
        <f ca="1">TEXT(DATE(YEAR(Invoer!$A$5),1,1)+MOD(ROWS(B$2:B3)-1,DATE(YEAR(Invoer!$A$5),12,31)-DATE(YEAR(Invoer!$A$5),1,1)+1),"jjjjmmdd")</f>
        <v>19460102</v>
      </c>
      <c r="C3" s="9">
        <v>1</v>
      </c>
      <c r="D3" s="14">
        <f t="shared" ca="1" si="0"/>
        <v>6</v>
      </c>
      <c r="E3" s="15">
        <f t="shared" ca="1" si="1"/>
        <v>0</v>
      </c>
    </row>
    <row r="4" spans="1:5" x14ac:dyDescent="0.25">
      <c r="A4" s="8">
        <f ca="1">INDEX(Stations,INT((ROWS(A$2:A4)-1)/(DATE(YEAR(Invoer!$A$5),12,31)-DATE(YEAR(Invoer!$A$5),1,1)+1))+2,1)</f>
        <v>73</v>
      </c>
      <c r="B4" t="str">
        <f ca="1">TEXT(DATE(YEAR(Invoer!$A$5),1,1)+MOD(ROWS(B$2:B4)-1,DATE(YEAR(Invoer!$A$5),12,31)-DATE(YEAR(Invoer!$A$5),1,1)+1),"jjjjmmdd")</f>
        <v>19460103</v>
      </c>
      <c r="C4" s="9">
        <v>1</v>
      </c>
      <c r="D4" s="14">
        <f t="shared" ca="1" si="0"/>
        <v>0</v>
      </c>
      <c r="E4" s="15">
        <f t="shared" ca="1" si="1"/>
        <v>0</v>
      </c>
    </row>
    <row r="5" spans="1:5" x14ac:dyDescent="0.25">
      <c r="A5" s="8">
        <f ca="1">INDEX(Stations,INT((ROWS(A$2:A5)-1)/(DATE(YEAR(Invoer!$A$5),12,31)-DATE(YEAR(Invoer!$A$5),1,1)+1))+2,1)</f>
        <v>73</v>
      </c>
      <c r="B5" t="str">
        <f ca="1">TEXT(DATE(YEAR(Invoer!$A$5),1,1)+MOD(ROWS(B$2:B5)-1,DATE(YEAR(Invoer!$A$5),12,31)-DATE(YEAR(Invoer!$A$5),1,1)+1),"jjjjmmdd")</f>
        <v>19460104</v>
      </c>
      <c r="C5" s="9">
        <v>1</v>
      </c>
      <c r="D5" s="14">
        <f t="shared" ca="1" si="0"/>
        <v>0</v>
      </c>
      <c r="E5" s="15">
        <f t="shared" ca="1" si="1"/>
        <v>0</v>
      </c>
    </row>
    <row r="6" spans="1:5" x14ac:dyDescent="0.25">
      <c r="A6" s="8">
        <f ca="1">INDEX(Stations,INT((ROWS(A$2:A6)-1)/(DATE(YEAR(Invoer!$A$5),12,31)-DATE(YEAR(Invoer!$A$5),1,1)+1))+2,1)</f>
        <v>73</v>
      </c>
      <c r="B6" t="str">
        <f ca="1">TEXT(DATE(YEAR(Invoer!$A$5),1,1)+MOD(ROWS(B$2:B6)-1,DATE(YEAR(Invoer!$A$5),12,31)-DATE(YEAR(Invoer!$A$5),1,1)+1),"jjjjmmdd")</f>
        <v>19460105</v>
      </c>
      <c r="C6" s="9">
        <v>1</v>
      </c>
      <c r="D6" s="14">
        <f t="shared" ca="1" si="0"/>
        <v>0</v>
      </c>
      <c r="E6" s="15">
        <f t="shared" ca="1" si="1"/>
        <v>0</v>
      </c>
    </row>
    <row r="7" spans="1:5" x14ac:dyDescent="0.25">
      <c r="A7" s="8">
        <f ca="1">INDEX(Stations,INT((ROWS(A$2:A7)-1)/(DATE(YEAR(Invoer!$A$5),12,31)-DATE(YEAR(Invoer!$A$5),1,1)+1))+2,1)</f>
        <v>73</v>
      </c>
      <c r="B7" t="str">
        <f ca="1">TEXT(DATE(YEAR(Invoer!$A$5),1,1)+MOD(ROWS(B$2:B7)-1,DATE(YEAR(Invoer!$A$5),12,31)-DATE(YEAR(Invoer!$A$5),1,1)+1),"jjjjmmdd")</f>
        <v>19460106</v>
      </c>
      <c r="C7" s="9">
        <v>1</v>
      </c>
      <c r="D7" s="14">
        <f t="shared" ca="1" si="0"/>
        <v>21</v>
      </c>
      <c r="E7" s="15">
        <f t="shared" ca="1" si="1"/>
        <v>0</v>
      </c>
    </row>
    <row r="8" spans="1:5" x14ac:dyDescent="0.25">
      <c r="A8" s="8">
        <f ca="1">INDEX(Stations,INT((ROWS(A$2:A8)-1)/(DATE(YEAR(Invoer!$A$5),12,31)-DATE(YEAR(Invoer!$A$5),1,1)+1))+2,1)</f>
        <v>73</v>
      </c>
      <c r="B8" t="str">
        <f ca="1">TEXT(DATE(YEAR(Invoer!$A$5),1,1)+MOD(ROWS(B$2:B8)-1,DATE(YEAR(Invoer!$A$5),12,31)-DATE(YEAR(Invoer!$A$5),1,1)+1),"jjjjmmdd")</f>
        <v>19460107</v>
      </c>
      <c r="C8" s="9">
        <v>1</v>
      </c>
      <c r="D8" s="14">
        <f t="shared" ca="1" si="0"/>
        <v>0</v>
      </c>
      <c r="E8" s="15">
        <f t="shared" ca="1" si="1"/>
        <v>0</v>
      </c>
    </row>
    <row r="9" spans="1:5" x14ac:dyDescent="0.25">
      <c r="A9" s="8">
        <f ca="1">INDEX(Stations,INT((ROWS(A$2:A9)-1)/(DATE(YEAR(Invoer!$A$5),12,31)-DATE(YEAR(Invoer!$A$5),1,1)+1))+2,1)</f>
        <v>73</v>
      </c>
      <c r="B9" t="str">
        <f ca="1">TEXT(DATE(YEAR(Invoer!$A$5),1,1)+MOD(ROWS(B$2:B9)-1,DATE(YEAR(Invoer!$A$5),12,31)-DATE(YEAR(Invoer!$A$5),1,1)+1),"jjjjmmdd")</f>
        <v>19460108</v>
      </c>
      <c r="C9" s="9">
        <v>1</v>
      </c>
      <c r="D9" s="14">
        <f t="shared" ca="1" si="0"/>
        <v>8</v>
      </c>
      <c r="E9" s="15">
        <f t="shared" ca="1" si="1"/>
        <v>0</v>
      </c>
    </row>
    <row r="10" spans="1:5" x14ac:dyDescent="0.25">
      <c r="A10" s="8">
        <f ca="1">INDEX(Stations,INT((ROWS(A$2:A10)-1)/(DATE(YEAR(Invoer!$A$5),12,31)-DATE(YEAR(Invoer!$A$5),1,1)+1))+2,1)</f>
        <v>73</v>
      </c>
      <c r="B10" t="str">
        <f ca="1">TEXT(DATE(YEAR(Invoer!$A$5),1,1)+MOD(ROWS(B$2:B10)-1,DATE(YEAR(Invoer!$A$5),12,31)-DATE(YEAR(Invoer!$A$5),1,1)+1),"jjjjmmdd")</f>
        <v>19460109</v>
      </c>
      <c r="C10" s="9">
        <v>1</v>
      </c>
      <c r="D10" s="14">
        <f t="shared" ca="1" si="0"/>
        <v>0</v>
      </c>
      <c r="E10" s="15">
        <f t="shared" ca="1" si="1"/>
        <v>0</v>
      </c>
    </row>
    <row r="11" spans="1:5" x14ac:dyDescent="0.25">
      <c r="A11" s="8">
        <f ca="1">INDEX(Stations,INT((ROWS(A$2:A11)-1)/(DATE(YEAR(Invoer!$A$5),12,31)-DATE(YEAR(Invoer!$A$5),1,1)+1))+2,1)</f>
        <v>73</v>
      </c>
      <c r="B11" t="str">
        <f ca="1">TEXT(DATE(YEAR(Invoer!$A$5),1,1)+MOD(ROWS(B$2:B11)-1,DATE(YEAR(Invoer!$A$5),12,31)-DATE(YEAR(Invoer!$A$5),1,1)+1),"jjjjmmdd")</f>
        <v>19460110</v>
      </c>
      <c r="C11" s="9">
        <v>1</v>
      </c>
      <c r="D11" s="14">
        <f t="shared" ca="1" si="0"/>
        <v>8</v>
      </c>
      <c r="E11" s="15">
        <f t="shared" ca="1" si="1"/>
        <v>0</v>
      </c>
    </row>
    <row r="12" spans="1:5" x14ac:dyDescent="0.25">
      <c r="A12" s="8">
        <f ca="1">INDEX(Stations,INT((ROWS(A$2:A12)-1)/(DATE(YEAR(Invoer!$A$5),12,31)-DATE(YEAR(Invoer!$A$5),1,1)+1))+2,1)</f>
        <v>73</v>
      </c>
      <c r="B12" t="str">
        <f ca="1">TEXT(DATE(YEAR(Invoer!$A$5),1,1)+MOD(ROWS(B$2:B12)-1,DATE(YEAR(Invoer!$A$5),12,31)-DATE(YEAR(Invoer!$A$5),1,1)+1),"jjjjmmdd")</f>
        <v>19460111</v>
      </c>
      <c r="C12" s="9">
        <v>1</v>
      </c>
      <c r="D12" s="14">
        <f t="shared" ca="1" si="0"/>
        <v>0</v>
      </c>
      <c r="E12" s="15">
        <f t="shared" ca="1" si="1"/>
        <v>0</v>
      </c>
    </row>
    <row r="13" spans="1:5" x14ac:dyDescent="0.25">
      <c r="A13" s="8">
        <f ca="1">INDEX(Stations,INT((ROWS(A$2:A13)-1)/(DATE(YEAR(Invoer!$A$5),12,31)-DATE(YEAR(Invoer!$A$5),1,1)+1))+2,1)</f>
        <v>73</v>
      </c>
      <c r="B13" t="str">
        <f ca="1">TEXT(DATE(YEAR(Invoer!$A$5),1,1)+MOD(ROWS(B$2:B13)-1,DATE(YEAR(Invoer!$A$5),12,31)-DATE(YEAR(Invoer!$A$5),1,1)+1),"jjjjmmdd")</f>
        <v>19460112</v>
      </c>
      <c r="C13" s="9">
        <v>1</v>
      </c>
      <c r="D13" s="14">
        <f t="shared" ca="1" si="0"/>
        <v>0</v>
      </c>
      <c r="E13" s="15">
        <f t="shared" ca="1" si="1"/>
        <v>0</v>
      </c>
    </row>
    <row r="14" spans="1:5" x14ac:dyDescent="0.25">
      <c r="A14" s="8">
        <f ca="1">INDEX(Stations,INT((ROWS(A$2:A14)-1)/(DATE(YEAR(Invoer!$A$5),12,31)-DATE(YEAR(Invoer!$A$5),1,1)+1))+2,1)</f>
        <v>73</v>
      </c>
      <c r="B14" t="str">
        <f ca="1">TEXT(DATE(YEAR(Invoer!$A$5),1,1)+MOD(ROWS(B$2:B14)-1,DATE(YEAR(Invoer!$A$5),12,31)-DATE(YEAR(Invoer!$A$5),1,1)+1),"jjjjmmdd")</f>
        <v>19460113</v>
      </c>
      <c r="C14" s="9">
        <v>1</v>
      </c>
      <c r="D14" s="14">
        <f t="shared" ca="1" si="0"/>
        <v>0</v>
      </c>
      <c r="E14" s="15">
        <f t="shared" ca="1" si="1"/>
        <v>0</v>
      </c>
    </row>
    <row r="15" spans="1:5" x14ac:dyDescent="0.25">
      <c r="A15" s="8">
        <f ca="1">INDEX(Stations,INT((ROWS(A$2:A15)-1)/(DATE(YEAR(Invoer!$A$5),12,31)-DATE(YEAR(Invoer!$A$5),1,1)+1))+2,1)</f>
        <v>73</v>
      </c>
      <c r="B15" t="str">
        <f ca="1">TEXT(DATE(YEAR(Invoer!$A$5),1,1)+MOD(ROWS(B$2:B15)-1,DATE(YEAR(Invoer!$A$5),12,31)-DATE(YEAR(Invoer!$A$5),1,1)+1),"jjjjmmdd")</f>
        <v>19460114</v>
      </c>
      <c r="C15" s="9">
        <v>1</v>
      </c>
      <c r="D15" s="14">
        <f t="shared" ca="1" si="0"/>
        <v>10</v>
      </c>
      <c r="E15" s="15">
        <f t="shared" ca="1" si="1"/>
        <v>0</v>
      </c>
    </row>
    <row r="16" spans="1:5" x14ac:dyDescent="0.25">
      <c r="A16" s="8">
        <f ca="1">INDEX(Stations,INT((ROWS(A$2:A16)-1)/(DATE(YEAR(Invoer!$A$5),12,31)-DATE(YEAR(Invoer!$A$5),1,1)+1))+2,1)</f>
        <v>73</v>
      </c>
      <c r="B16" t="str">
        <f ca="1">TEXT(DATE(YEAR(Invoer!$A$5),1,1)+MOD(ROWS(B$2:B16)-1,DATE(YEAR(Invoer!$A$5),12,31)-DATE(YEAR(Invoer!$A$5),1,1)+1),"jjjjmmdd")</f>
        <v>19460115</v>
      </c>
      <c r="C16" s="9">
        <v>1</v>
      </c>
      <c r="D16" s="14">
        <f t="shared" ca="1" si="0"/>
        <v>0</v>
      </c>
      <c r="E16" s="15">
        <f t="shared" ca="1" si="1"/>
        <v>0</v>
      </c>
    </row>
    <row r="17" spans="1:5" x14ac:dyDescent="0.25">
      <c r="A17" s="8">
        <f ca="1">INDEX(Stations,INT((ROWS(A$2:A17)-1)/(DATE(YEAR(Invoer!$A$5),12,31)-DATE(YEAR(Invoer!$A$5),1,1)+1))+2,1)</f>
        <v>73</v>
      </c>
      <c r="B17" t="str">
        <f ca="1">TEXT(DATE(YEAR(Invoer!$A$5),1,1)+MOD(ROWS(B$2:B17)-1,DATE(YEAR(Invoer!$A$5),12,31)-DATE(YEAR(Invoer!$A$5),1,1)+1),"jjjjmmdd")</f>
        <v>19460116</v>
      </c>
      <c r="C17" s="9">
        <v>1</v>
      </c>
      <c r="D17" s="14">
        <f t="shared" ca="1" si="0"/>
        <v>15</v>
      </c>
      <c r="E17" s="15">
        <f t="shared" ca="1" si="1"/>
        <v>0</v>
      </c>
    </row>
    <row r="18" spans="1:5" x14ac:dyDescent="0.25">
      <c r="A18" s="8">
        <f ca="1">INDEX(Stations,INT((ROWS(A$2:A18)-1)/(DATE(YEAR(Invoer!$A$5),12,31)-DATE(YEAR(Invoer!$A$5),1,1)+1))+2,1)</f>
        <v>73</v>
      </c>
      <c r="B18" t="str">
        <f ca="1">TEXT(DATE(YEAR(Invoer!$A$5),1,1)+MOD(ROWS(B$2:B18)-1,DATE(YEAR(Invoer!$A$5),12,31)-DATE(YEAR(Invoer!$A$5),1,1)+1),"jjjjmmdd")</f>
        <v>19460117</v>
      </c>
      <c r="C18" s="9">
        <v>1</v>
      </c>
      <c r="D18" s="14">
        <f t="shared" ca="1" si="0"/>
        <v>45</v>
      </c>
      <c r="E18" s="15">
        <f t="shared" ca="1" si="1"/>
        <v>0</v>
      </c>
    </row>
    <row r="19" spans="1:5" x14ac:dyDescent="0.25">
      <c r="A19" s="8">
        <f ca="1">INDEX(Stations,INT((ROWS(A$2:A19)-1)/(DATE(YEAR(Invoer!$A$5),12,31)-DATE(YEAR(Invoer!$A$5),1,1)+1))+2,1)</f>
        <v>73</v>
      </c>
      <c r="B19" t="str">
        <f ca="1">TEXT(DATE(YEAR(Invoer!$A$5),1,1)+MOD(ROWS(B$2:B19)-1,DATE(YEAR(Invoer!$A$5),12,31)-DATE(YEAR(Invoer!$A$5),1,1)+1),"jjjjmmdd")</f>
        <v>19460118</v>
      </c>
      <c r="C19" s="9">
        <v>1</v>
      </c>
      <c r="D19" s="14">
        <f t="shared" ca="1" si="0"/>
        <v>0</v>
      </c>
      <c r="E19" s="15">
        <f t="shared" ca="1" si="1"/>
        <v>0</v>
      </c>
    </row>
    <row r="20" spans="1:5" x14ac:dyDescent="0.25">
      <c r="A20" s="8">
        <f ca="1">INDEX(Stations,INT((ROWS(A$2:A20)-1)/(DATE(YEAR(Invoer!$A$5),12,31)-DATE(YEAR(Invoer!$A$5),1,1)+1))+2,1)</f>
        <v>73</v>
      </c>
      <c r="B20" t="str">
        <f ca="1">TEXT(DATE(YEAR(Invoer!$A$5),1,1)+MOD(ROWS(B$2:B20)-1,DATE(YEAR(Invoer!$A$5),12,31)-DATE(YEAR(Invoer!$A$5),1,1)+1),"jjjjmmdd")</f>
        <v>19460119</v>
      </c>
      <c r="C20" s="9">
        <v>1</v>
      </c>
      <c r="D20" s="14">
        <f t="shared" ca="1" si="0"/>
        <v>0</v>
      </c>
      <c r="E20" s="15">
        <f t="shared" ca="1" si="1"/>
        <v>0</v>
      </c>
    </row>
    <row r="21" spans="1:5" x14ac:dyDescent="0.25">
      <c r="A21" s="8">
        <f ca="1">INDEX(Stations,INT((ROWS(A$2:A21)-1)/(DATE(YEAR(Invoer!$A$5),12,31)-DATE(YEAR(Invoer!$A$5),1,1)+1))+2,1)</f>
        <v>73</v>
      </c>
      <c r="B21" t="str">
        <f ca="1">TEXT(DATE(YEAR(Invoer!$A$5),1,1)+MOD(ROWS(B$2:B21)-1,DATE(YEAR(Invoer!$A$5),12,31)-DATE(YEAR(Invoer!$A$5),1,1)+1),"jjjjmmdd")</f>
        <v>19460120</v>
      </c>
      <c r="C21" s="9">
        <v>1</v>
      </c>
      <c r="D21" s="14">
        <f t="shared" ca="1" si="0"/>
        <v>0</v>
      </c>
      <c r="E21" s="15">
        <f t="shared" ca="1" si="1"/>
        <v>0</v>
      </c>
    </row>
    <row r="22" spans="1:5" x14ac:dyDescent="0.25">
      <c r="A22" s="8">
        <f ca="1">INDEX(Stations,INT((ROWS(A$2:A22)-1)/(DATE(YEAR(Invoer!$A$5),12,31)-DATE(YEAR(Invoer!$A$5),1,1)+1))+2,1)</f>
        <v>73</v>
      </c>
      <c r="B22" t="str">
        <f ca="1">TEXT(DATE(YEAR(Invoer!$A$5),1,1)+MOD(ROWS(B$2:B22)-1,DATE(YEAR(Invoer!$A$5),12,31)-DATE(YEAR(Invoer!$A$5),1,1)+1),"jjjjmmdd")</f>
        <v>19460121</v>
      </c>
      <c r="C22" s="9">
        <v>1</v>
      </c>
      <c r="D22" s="14">
        <f t="shared" ca="1" si="0"/>
        <v>0</v>
      </c>
      <c r="E22" s="15">
        <f t="shared" ca="1" si="1"/>
        <v>0</v>
      </c>
    </row>
    <row r="23" spans="1:5" x14ac:dyDescent="0.25">
      <c r="A23" s="8">
        <f ca="1">INDEX(Stations,INT((ROWS(A$2:A23)-1)/(DATE(YEAR(Invoer!$A$5),12,31)-DATE(YEAR(Invoer!$A$5),1,1)+1))+2,1)</f>
        <v>73</v>
      </c>
      <c r="B23" t="str">
        <f ca="1">TEXT(DATE(YEAR(Invoer!$A$5),1,1)+MOD(ROWS(B$2:B23)-1,DATE(YEAR(Invoer!$A$5),12,31)-DATE(YEAR(Invoer!$A$5),1,1)+1),"jjjjmmdd")</f>
        <v>19460122</v>
      </c>
      <c r="C23" s="9">
        <v>1</v>
      </c>
      <c r="D23" s="14">
        <f t="shared" ca="1" si="0"/>
        <v>0</v>
      </c>
      <c r="E23" s="15">
        <f t="shared" ca="1" si="1"/>
        <v>0</v>
      </c>
    </row>
    <row r="24" spans="1:5" x14ac:dyDescent="0.25">
      <c r="A24" s="8">
        <f ca="1">INDEX(Stations,INT((ROWS(A$2:A24)-1)/(DATE(YEAR(Invoer!$A$5),12,31)-DATE(YEAR(Invoer!$A$5),1,1)+1))+2,1)</f>
        <v>73</v>
      </c>
      <c r="B24" t="str">
        <f ca="1">TEXT(DATE(YEAR(Invoer!$A$5),1,1)+MOD(ROWS(B$2:B24)-1,DATE(YEAR(Invoer!$A$5),12,31)-DATE(YEAR(Invoer!$A$5),1,1)+1),"jjjjmmdd")</f>
        <v>19460123</v>
      </c>
      <c r="C24" s="9">
        <v>1</v>
      </c>
      <c r="D24" s="14">
        <f t="shared" ca="1" si="0"/>
        <v>0</v>
      </c>
      <c r="E24" s="15">
        <f t="shared" ca="1" si="1"/>
        <v>0</v>
      </c>
    </row>
    <row r="25" spans="1:5" x14ac:dyDescent="0.25">
      <c r="A25" s="8">
        <f ca="1">INDEX(Stations,INT((ROWS(A$2:A25)-1)/(DATE(YEAR(Invoer!$A$5),12,31)-DATE(YEAR(Invoer!$A$5),1,1)+1))+2,1)</f>
        <v>73</v>
      </c>
      <c r="B25" t="str">
        <f ca="1">TEXT(DATE(YEAR(Invoer!$A$5),1,1)+MOD(ROWS(B$2:B25)-1,DATE(YEAR(Invoer!$A$5),12,31)-DATE(YEAR(Invoer!$A$5),1,1)+1),"jjjjmmdd")</f>
        <v>19460124</v>
      </c>
      <c r="C25" s="9">
        <v>1</v>
      </c>
      <c r="D25" s="14">
        <f t="shared" ca="1" si="0"/>
        <v>0</v>
      </c>
      <c r="E25" s="15">
        <f t="shared" ca="1" si="1"/>
        <v>0</v>
      </c>
    </row>
    <row r="26" spans="1:5" x14ac:dyDescent="0.25">
      <c r="A26" s="8">
        <f ca="1">INDEX(Stations,INT((ROWS(A$2:A26)-1)/(DATE(YEAR(Invoer!$A$5),12,31)-DATE(YEAR(Invoer!$A$5),1,1)+1))+2,1)</f>
        <v>73</v>
      </c>
      <c r="B26" t="str">
        <f ca="1">TEXT(DATE(YEAR(Invoer!$A$5),1,1)+MOD(ROWS(B$2:B26)-1,DATE(YEAR(Invoer!$A$5),12,31)-DATE(YEAR(Invoer!$A$5),1,1)+1),"jjjjmmdd")</f>
        <v>19460125</v>
      </c>
      <c r="C26" s="9">
        <v>1</v>
      </c>
      <c r="D26" s="14">
        <f t="shared" ca="1" si="0"/>
        <v>0</v>
      </c>
      <c r="E26" s="15">
        <f t="shared" ca="1" si="1"/>
        <v>0</v>
      </c>
    </row>
    <row r="27" spans="1:5" x14ac:dyDescent="0.25">
      <c r="A27" s="8">
        <f ca="1">INDEX(Stations,INT((ROWS(A$2:A27)-1)/(DATE(YEAR(Invoer!$A$5),12,31)-DATE(YEAR(Invoer!$A$5),1,1)+1))+2,1)</f>
        <v>73</v>
      </c>
      <c r="B27" t="str">
        <f ca="1">TEXT(DATE(YEAR(Invoer!$A$5),1,1)+MOD(ROWS(B$2:B27)-1,DATE(YEAR(Invoer!$A$5),12,31)-DATE(YEAR(Invoer!$A$5),1,1)+1),"jjjjmmdd")</f>
        <v>19460126</v>
      </c>
      <c r="C27" s="9">
        <v>1</v>
      </c>
      <c r="D27" s="14">
        <f t="shared" ca="1" si="0"/>
        <v>0</v>
      </c>
      <c r="E27" s="15">
        <f t="shared" ca="1" si="1"/>
        <v>0</v>
      </c>
    </row>
    <row r="28" spans="1:5" x14ac:dyDescent="0.25">
      <c r="A28" s="8">
        <f ca="1">INDEX(Stations,INT((ROWS(A$2:A28)-1)/(DATE(YEAR(Invoer!$A$5),12,31)-DATE(YEAR(Invoer!$A$5),1,1)+1))+2,1)</f>
        <v>73</v>
      </c>
      <c r="B28" t="str">
        <f ca="1">TEXT(DATE(YEAR(Invoer!$A$5),1,1)+MOD(ROWS(B$2:B28)-1,DATE(YEAR(Invoer!$A$5),12,31)-DATE(YEAR(Invoer!$A$5),1,1)+1),"jjjjmmdd")</f>
        <v>19460127</v>
      </c>
      <c r="C28" s="9">
        <v>1</v>
      </c>
      <c r="D28" s="14">
        <f t="shared" ca="1" si="0"/>
        <v>0</v>
      </c>
      <c r="E28" s="15">
        <f t="shared" ca="1" si="1"/>
        <v>0</v>
      </c>
    </row>
    <row r="29" spans="1:5" x14ac:dyDescent="0.25">
      <c r="A29" s="8">
        <f ca="1">INDEX(Stations,INT((ROWS(A$2:A29)-1)/(DATE(YEAR(Invoer!$A$5),12,31)-DATE(YEAR(Invoer!$A$5),1,1)+1))+2,1)</f>
        <v>73</v>
      </c>
      <c r="B29" t="str">
        <f ca="1">TEXT(DATE(YEAR(Invoer!$A$5),1,1)+MOD(ROWS(B$2:B29)-1,DATE(YEAR(Invoer!$A$5),12,31)-DATE(YEAR(Invoer!$A$5),1,1)+1),"jjjjmmdd")</f>
        <v>19460128</v>
      </c>
      <c r="C29" s="9">
        <v>1</v>
      </c>
      <c r="D29" s="14">
        <f t="shared" ca="1" si="0"/>
        <v>9</v>
      </c>
      <c r="E29" s="15">
        <f t="shared" ca="1" si="1"/>
        <v>0</v>
      </c>
    </row>
    <row r="30" spans="1:5" x14ac:dyDescent="0.25">
      <c r="A30" s="8">
        <f ca="1">INDEX(Stations,INT((ROWS(A$2:A30)-1)/(DATE(YEAR(Invoer!$A$5),12,31)-DATE(YEAR(Invoer!$A$5),1,1)+1))+2,1)</f>
        <v>73</v>
      </c>
      <c r="B30" t="str">
        <f ca="1">TEXT(DATE(YEAR(Invoer!$A$5),1,1)+MOD(ROWS(B$2:B30)-1,DATE(YEAR(Invoer!$A$5),12,31)-DATE(YEAR(Invoer!$A$5),1,1)+1),"jjjjmmdd")</f>
        <v>19460129</v>
      </c>
      <c r="C30" s="9">
        <v>1</v>
      </c>
      <c r="D30" s="14">
        <f t="shared" ca="1" si="0"/>
        <v>0</v>
      </c>
      <c r="E30" s="15">
        <f t="shared" ca="1" si="1"/>
        <v>0</v>
      </c>
    </row>
    <row r="31" spans="1:5" x14ac:dyDescent="0.25">
      <c r="A31" s="8">
        <f ca="1">INDEX(Stations,INT((ROWS(A$2:A31)-1)/(DATE(YEAR(Invoer!$A$5),12,31)-DATE(YEAR(Invoer!$A$5),1,1)+1))+2,1)</f>
        <v>73</v>
      </c>
      <c r="B31" t="str">
        <f ca="1">TEXT(DATE(YEAR(Invoer!$A$5),1,1)+MOD(ROWS(B$2:B31)-1,DATE(YEAR(Invoer!$A$5),12,31)-DATE(YEAR(Invoer!$A$5),1,1)+1),"jjjjmmdd")</f>
        <v>19460130</v>
      </c>
      <c r="C31" s="9">
        <v>1</v>
      </c>
      <c r="D31" s="14">
        <f t="shared" ca="1" si="0"/>
        <v>23</v>
      </c>
      <c r="E31" s="15">
        <f t="shared" ca="1" si="1"/>
        <v>0</v>
      </c>
    </row>
    <row r="32" spans="1:5" x14ac:dyDescent="0.25">
      <c r="A32" s="8">
        <f ca="1">INDEX(Stations,INT((ROWS(A$2:A32)-1)/(DATE(YEAR(Invoer!$A$5),12,31)-DATE(YEAR(Invoer!$A$5),1,1)+1))+2,1)</f>
        <v>73</v>
      </c>
      <c r="B32" t="str">
        <f ca="1">TEXT(DATE(YEAR(Invoer!$A$5),1,1)+MOD(ROWS(B$2:B32)-1,DATE(YEAR(Invoer!$A$5),12,31)-DATE(YEAR(Invoer!$A$5),1,1)+1),"jjjjmmdd")</f>
        <v>19460131</v>
      </c>
      <c r="C32" s="9">
        <v>1</v>
      </c>
      <c r="D32" s="14">
        <f t="shared" ca="1" si="0"/>
        <v>21</v>
      </c>
      <c r="E32" s="15">
        <f t="shared" ca="1" si="1"/>
        <v>0</v>
      </c>
    </row>
    <row r="33" spans="1:5" x14ac:dyDescent="0.25">
      <c r="A33" s="8">
        <f ca="1">INDEX(Stations,INT((ROWS(A$2:A33)-1)/(DATE(YEAR(Invoer!$A$5),12,31)-DATE(YEAR(Invoer!$A$5),1,1)+1))+2,1)</f>
        <v>73</v>
      </c>
      <c r="B33" t="str">
        <f ca="1">TEXT(DATE(YEAR(Invoer!$A$5),1,1)+MOD(ROWS(B$2:B33)-1,DATE(YEAR(Invoer!$A$5),12,31)-DATE(YEAR(Invoer!$A$5),1,1)+1),"jjjjmmdd")</f>
        <v>19460201</v>
      </c>
      <c r="C33" s="9">
        <v>1</v>
      </c>
      <c r="D33" s="14">
        <f t="shared" ca="1" si="0"/>
        <v>0</v>
      </c>
      <c r="E33" s="15">
        <f t="shared" ca="1" si="1"/>
        <v>0</v>
      </c>
    </row>
    <row r="34" spans="1:5" x14ac:dyDescent="0.25">
      <c r="A34" s="8">
        <f ca="1">INDEX(Stations,INT((ROWS(A$2:A34)-1)/(DATE(YEAR(Invoer!$A$5),12,31)-DATE(YEAR(Invoer!$A$5),1,1)+1))+2,1)</f>
        <v>73</v>
      </c>
      <c r="B34" t="str">
        <f ca="1">TEXT(DATE(YEAR(Invoer!$A$5),1,1)+MOD(ROWS(B$2:B34)-1,DATE(YEAR(Invoer!$A$5),12,31)-DATE(YEAR(Invoer!$A$5),1,1)+1),"jjjjmmdd")</f>
        <v>19460202</v>
      </c>
      <c r="C34" s="9">
        <v>1</v>
      </c>
      <c r="D34" s="14">
        <f t="shared" ca="1" si="0"/>
        <v>0</v>
      </c>
      <c r="E34" s="15">
        <f t="shared" ca="1" si="1"/>
        <v>0</v>
      </c>
    </row>
    <row r="35" spans="1:5" x14ac:dyDescent="0.25">
      <c r="A35" s="8">
        <f ca="1">INDEX(Stations,INT((ROWS(A$2:A35)-1)/(DATE(YEAR(Invoer!$A$5),12,31)-DATE(YEAR(Invoer!$A$5),1,1)+1))+2,1)</f>
        <v>73</v>
      </c>
      <c r="B35" t="str">
        <f ca="1">TEXT(DATE(YEAR(Invoer!$A$5),1,1)+MOD(ROWS(B$2:B35)-1,DATE(YEAR(Invoer!$A$5),12,31)-DATE(YEAR(Invoer!$A$5),1,1)+1),"jjjjmmdd")</f>
        <v>19460203</v>
      </c>
      <c r="C35" s="9">
        <v>1</v>
      </c>
      <c r="D35" s="14">
        <f t="shared" ca="1" si="0"/>
        <v>0</v>
      </c>
      <c r="E35" s="15">
        <f t="shared" ca="1" si="1"/>
        <v>0</v>
      </c>
    </row>
    <row r="36" spans="1:5" x14ac:dyDescent="0.25">
      <c r="A36" s="8">
        <f ca="1">INDEX(Stations,INT((ROWS(A$2:A36)-1)/(DATE(YEAR(Invoer!$A$5),12,31)-DATE(YEAR(Invoer!$A$5),1,1)+1))+2,1)</f>
        <v>73</v>
      </c>
      <c r="B36" t="str">
        <f ca="1">TEXT(DATE(YEAR(Invoer!$A$5),1,1)+MOD(ROWS(B$2:B36)-1,DATE(YEAR(Invoer!$A$5),12,31)-DATE(YEAR(Invoer!$A$5),1,1)+1),"jjjjmmdd")</f>
        <v>19460204</v>
      </c>
      <c r="C36" s="9">
        <v>1</v>
      </c>
      <c r="D36" s="14">
        <f t="shared" ca="1" si="0"/>
        <v>68</v>
      </c>
      <c r="E36" s="15">
        <f t="shared" ca="1" si="1"/>
        <v>0</v>
      </c>
    </row>
    <row r="37" spans="1:5" x14ac:dyDescent="0.25">
      <c r="A37" s="8">
        <f ca="1">INDEX(Stations,INT((ROWS(A$2:A37)-1)/(DATE(YEAR(Invoer!$A$5),12,31)-DATE(YEAR(Invoer!$A$5),1,1)+1))+2,1)</f>
        <v>73</v>
      </c>
      <c r="B37" t="str">
        <f ca="1">TEXT(DATE(YEAR(Invoer!$A$5),1,1)+MOD(ROWS(B$2:B37)-1,DATE(YEAR(Invoer!$A$5),12,31)-DATE(YEAR(Invoer!$A$5),1,1)+1),"jjjjmmdd")</f>
        <v>19460205</v>
      </c>
      <c r="C37" s="9">
        <v>1</v>
      </c>
      <c r="D37" s="14">
        <f t="shared" ca="1" si="0"/>
        <v>132</v>
      </c>
      <c r="E37" s="15">
        <f t="shared" ca="1" si="1"/>
        <v>0</v>
      </c>
    </row>
    <row r="38" spans="1:5" x14ac:dyDescent="0.25">
      <c r="A38" s="8">
        <f ca="1">INDEX(Stations,INT((ROWS(A$2:A38)-1)/(DATE(YEAR(Invoer!$A$5),12,31)-DATE(YEAR(Invoer!$A$5),1,1)+1))+2,1)</f>
        <v>73</v>
      </c>
      <c r="B38" t="str">
        <f ca="1">TEXT(DATE(YEAR(Invoer!$A$5),1,1)+MOD(ROWS(B$2:B38)-1,DATE(YEAR(Invoer!$A$5),12,31)-DATE(YEAR(Invoer!$A$5),1,1)+1),"jjjjmmdd")</f>
        <v>19460206</v>
      </c>
      <c r="C38" s="9">
        <v>1</v>
      </c>
      <c r="D38" s="14">
        <f t="shared" ca="1" si="0"/>
        <v>9</v>
      </c>
      <c r="E38" s="15">
        <f t="shared" ca="1" si="1"/>
        <v>0</v>
      </c>
    </row>
    <row r="39" spans="1:5" x14ac:dyDescent="0.25">
      <c r="A39" s="8">
        <f ca="1">INDEX(Stations,INT((ROWS(A$2:A39)-1)/(DATE(YEAR(Invoer!$A$5),12,31)-DATE(YEAR(Invoer!$A$5),1,1)+1))+2,1)</f>
        <v>73</v>
      </c>
      <c r="B39" t="str">
        <f ca="1">TEXT(DATE(YEAR(Invoer!$A$5),1,1)+MOD(ROWS(B$2:B39)-1,DATE(YEAR(Invoer!$A$5),12,31)-DATE(YEAR(Invoer!$A$5),1,1)+1),"jjjjmmdd")</f>
        <v>19460207</v>
      </c>
      <c r="C39" s="9">
        <v>1</v>
      </c>
      <c r="D39" s="14">
        <f t="shared" ca="1" si="0"/>
        <v>0</v>
      </c>
      <c r="E39" s="15">
        <f t="shared" ca="1" si="1"/>
        <v>0</v>
      </c>
    </row>
    <row r="40" spans="1:5" x14ac:dyDescent="0.25">
      <c r="A40" s="8">
        <f ca="1">INDEX(Stations,INT((ROWS(A$2:A40)-1)/(DATE(YEAR(Invoer!$A$5),12,31)-DATE(YEAR(Invoer!$A$5),1,1)+1))+2,1)</f>
        <v>73</v>
      </c>
      <c r="B40" t="str">
        <f ca="1">TEXT(DATE(YEAR(Invoer!$A$5),1,1)+MOD(ROWS(B$2:B40)-1,DATE(YEAR(Invoer!$A$5),12,31)-DATE(YEAR(Invoer!$A$5),1,1)+1),"jjjjmmdd")</f>
        <v>19460208</v>
      </c>
      <c r="C40" s="9">
        <v>1</v>
      </c>
      <c r="D40" s="14">
        <f t="shared" ca="1" si="0"/>
        <v>0</v>
      </c>
      <c r="E40" s="15">
        <f t="shared" ca="1" si="1"/>
        <v>0</v>
      </c>
    </row>
    <row r="41" spans="1:5" x14ac:dyDescent="0.25">
      <c r="A41" s="8">
        <f ca="1">INDEX(Stations,INT((ROWS(A$2:A41)-1)/(DATE(YEAR(Invoer!$A$5),12,31)-DATE(YEAR(Invoer!$A$5),1,1)+1))+2,1)</f>
        <v>73</v>
      </c>
      <c r="B41" t="str">
        <f ca="1">TEXT(DATE(YEAR(Invoer!$A$5),1,1)+MOD(ROWS(B$2:B41)-1,DATE(YEAR(Invoer!$A$5),12,31)-DATE(YEAR(Invoer!$A$5),1,1)+1),"jjjjmmdd")</f>
        <v>19460209</v>
      </c>
      <c r="C41" s="9">
        <v>1</v>
      </c>
      <c r="D41" s="14">
        <f t="shared" ca="1" si="0"/>
        <v>0</v>
      </c>
      <c r="E41" s="15">
        <f t="shared" ca="1" si="1"/>
        <v>0</v>
      </c>
    </row>
    <row r="42" spans="1:5" x14ac:dyDescent="0.25">
      <c r="A42" s="8">
        <f ca="1">INDEX(Stations,INT((ROWS(A$2:A42)-1)/(DATE(YEAR(Invoer!$A$5),12,31)-DATE(YEAR(Invoer!$A$5),1,1)+1))+2,1)</f>
        <v>73</v>
      </c>
      <c r="B42" t="str">
        <f ca="1">TEXT(DATE(YEAR(Invoer!$A$5),1,1)+MOD(ROWS(B$2:B42)-1,DATE(YEAR(Invoer!$A$5),12,31)-DATE(YEAR(Invoer!$A$5),1,1)+1),"jjjjmmdd")</f>
        <v>19460210</v>
      </c>
      <c r="C42" s="9">
        <v>1</v>
      </c>
      <c r="D42" s="14">
        <f t="shared" ca="1" si="0"/>
        <v>0</v>
      </c>
      <c r="E42" s="15">
        <f t="shared" ca="1" si="1"/>
        <v>0</v>
      </c>
    </row>
    <row r="43" spans="1:5" x14ac:dyDescent="0.25">
      <c r="A43" s="8">
        <f ca="1">INDEX(Stations,INT((ROWS(A$2:A43)-1)/(DATE(YEAR(Invoer!$A$5),12,31)-DATE(YEAR(Invoer!$A$5),1,1)+1))+2,1)</f>
        <v>73</v>
      </c>
      <c r="B43" t="str">
        <f ca="1">TEXT(DATE(YEAR(Invoer!$A$5),1,1)+MOD(ROWS(B$2:B43)-1,DATE(YEAR(Invoer!$A$5),12,31)-DATE(YEAR(Invoer!$A$5),1,1)+1),"jjjjmmdd")</f>
        <v>19460211</v>
      </c>
      <c r="C43" s="9">
        <v>1</v>
      </c>
      <c r="D43" s="14">
        <f t="shared" ca="1" si="0"/>
        <v>0</v>
      </c>
      <c r="E43" s="15">
        <f t="shared" ca="1" si="1"/>
        <v>0</v>
      </c>
    </row>
    <row r="44" spans="1:5" x14ac:dyDescent="0.25">
      <c r="A44" s="8">
        <f ca="1">INDEX(Stations,INT((ROWS(A$2:A44)-1)/(DATE(YEAR(Invoer!$A$5),12,31)-DATE(YEAR(Invoer!$A$5),1,1)+1))+2,1)</f>
        <v>73</v>
      </c>
      <c r="B44" t="str">
        <f ca="1">TEXT(DATE(YEAR(Invoer!$A$5),1,1)+MOD(ROWS(B$2:B44)-1,DATE(YEAR(Invoer!$A$5),12,31)-DATE(YEAR(Invoer!$A$5),1,1)+1),"jjjjmmdd")</f>
        <v>19460212</v>
      </c>
      <c r="C44" s="9">
        <v>1</v>
      </c>
      <c r="D44" s="14">
        <f t="shared" ca="1" si="0"/>
        <v>0</v>
      </c>
      <c r="E44" s="15">
        <f t="shared" ca="1" si="1"/>
        <v>0</v>
      </c>
    </row>
    <row r="45" spans="1:5" x14ac:dyDescent="0.25">
      <c r="A45" s="8">
        <f ca="1">INDEX(Stations,INT((ROWS(A$2:A45)-1)/(DATE(YEAR(Invoer!$A$5),12,31)-DATE(YEAR(Invoer!$A$5),1,1)+1))+2,1)</f>
        <v>73</v>
      </c>
      <c r="B45" t="str">
        <f ca="1">TEXT(DATE(YEAR(Invoer!$A$5),1,1)+MOD(ROWS(B$2:B45)-1,DATE(YEAR(Invoer!$A$5),12,31)-DATE(YEAR(Invoer!$A$5),1,1)+1),"jjjjmmdd")</f>
        <v>19460213</v>
      </c>
      <c r="C45" s="9">
        <v>1</v>
      </c>
      <c r="D45" s="14">
        <f t="shared" ca="1" si="0"/>
        <v>61</v>
      </c>
      <c r="E45" s="15">
        <f t="shared" ca="1" si="1"/>
        <v>0</v>
      </c>
    </row>
    <row r="46" spans="1:5" x14ac:dyDescent="0.25">
      <c r="A46" s="8">
        <f ca="1">INDEX(Stations,INT((ROWS(A$2:A46)-1)/(DATE(YEAR(Invoer!$A$5),12,31)-DATE(YEAR(Invoer!$A$5),1,1)+1))+2,1)</f>
        <v>73</v>
      </c>
      <c r="B46" t="str">
        <f ca="1">TEXT(DATE(YEAR(Invoer!$A$5),1,1)+MOD(ROWS(B$2:B46)-1,DATE(YEAR(Invoer!$A$5),12,31)-DATE(YEAR(Invoer!$A$5),1,1)+1),"jjjjmmdd")</f>
        <v>19460214</v>
      </c>
      <c r="C46" s="9">
        <v>1</v>
      </c>
      <c r="D46" s="14">
        <f t="shared" ca="1" si="0"/>
        <v>0</v>
      </c>
      <c r="E46" s="15">
        <f t="shared" ca="1" si="1"/>
        <v>0</v>
      </c>
    </row>
    <row r="47" spans="1:5" x14ac:dyDescent="0.25">
      <c r="A47" s="8">
        <f ca="1">INDEX(Stations,INT((ROWS(A$2:A47)-1)/(DATE(YEAR(Invoer!$A$5),12,31)-DATE(YEAR(Invoer!$A$5),1,1)+1))+2,1)</f>
        <v>73</v>
      </c>
      <c r="B47" t="str">
        <f ca="1">TEXT(DATE(YEAR(Invoer!$A$5),1,1)+MOD(ROWS(B$2:B47)-1,DATE(YEAR(Invoer!$A$5),12,31)-DATE(YEAR(Invoer!$A$5),1,1)+1),"jjjjmmdd")</f>
        <v>19460215</v>
      </c>
      <c r="C47" s="9">
        <v>1</v>
      </c>
      <c r="D47" s="14">
        <f t="shared" ca="1" si="0"/>
        <v>0</v>
      </c>
      <c r="E47" s="15">
        <f t="shared" ca="1" si="1"/>
        <v>0</v>
      </c>
    </row>
    <row r="48" spans="1:5" x14ac:dyDescent="0.25">
      <c r="A48" s="8">
        <f ca="1">INDEX(Stations,INT((ROWS(A$2:A48)-1)/(DATE(YEAR(Invoer!$A$5),12,31)-DATE(YEAR(Invoer!$A$5),1,1)+1))+2,1)</f>
        <v>73</v>
      </c>
      <c r="B48" t="str">
        <f ca="1">TEXT(DATE(YEAR(Invoer!$A$5),1,1)+MOD(ROWS(B$2:B48)-1,DATE(YEAR(Invoer!$A$5),12,31)-DATE(YEAR(Invoer!$A$5),1,1)+1),"jjjjmmdd")</f>
        <v>19460216</v>
      </c>
      <c r="C48" s="9">
        <v>1</v>
      </c>
      <c r="D48" s="14">
        <f t="shared" ca="1" si="0"/>
        <v>26</v>
      </c>
      <c r="E48" s="15">
        <f t="shared" ca="1" si="1"/>
        <v>0</v>
      </c>
    </row>
    <row r="49" spans="1:5" x14ac:dyDescent="0.25">
      <c r="A49" s="8">
        <f ca="1">INDEX(Stations,INT((ROWS(A$2:A49)-1)/(DATE(YEAR(Invoer!$A$5),12,31)-DATE(YEAR(Invoer!$A$5),1,1)+1))+2,1)</f>
        <v>73</v>
      </c>
      <c r="B49" t="str">
        <f ca="1">TEXT(DATE(YEAR(Invoer!$A$5),1,1)+MOD(ROWS(B$2:B49)-1,DATE(YEAR(Invoer!$A$5),12,31)-DATE(YEAR(Invoer!$A$5),1,1)+1),"jjjjmmdd")</f>
        <v>19460217</v>
      </c>
      <c r="C49" s="9">
        <v>1</v>
      </c>
      <c r="D49" s="14">
        <f t="shared" ca="1" si="0"/>
        <v>23</v>
      </c>
      <c r="E49" s="15">
        <f t="shared" ca="1" si="1"/>
        <v>0</v>
      </c>
    </row>
    <row r="50" spans="1:5" x14ac:dyDescent="0.25">
      <c r="A50" s="8">
        <f ca="1">INDEX(Stations,INT((ROWS(A$2:A50)-1)/(DATE(YEAR(Invoer!$A$5),12,31)-DATE(YEAR(Invoer!$A$5),1,1)+1))+2,1)</f>
        <v>73</v>
      </c>
      <c r="B50" t="str">
        <f ca="1">TEXT(DATE(YEAR(Invoer!$A$5),1,1)+MOD(ROWS(B$2:B50)-1,DATE(YEAR(Invoer!$A$5),12,31)-DATE(YEAR(Invoer!$A$5),1,1)+1),"jjjjmmdd")</f>
        <v>19460218</v>
      </c>
      <c r="C50" s="9">
        <v>1</v>
      </c>
      <c r="D50" s="14">
        <f t="shared" ca="1" si="0"/>
        <v>39</v>
      </c>
      <c r="E50" s="15">
        <f t="shared" ca="1" si="1"/>
        <v>0</v>
      </c>
    </row>
    <row r="51" spans="1:5" x14ac:dyDescent="0.25">
      <c r="A51" s="8">
        <f ca="1">INDEX(Stations,INT((ROWS(A$2:A51)-1)/(DATE(YEAR(Invoer!$A$5),12,31)-DATE(YEAR(Invoer!$A$5),1,1)+1))+2,1)</f>
        <v>73</v>
      </c>
      <c r="B51" t="str">
        <f ca="1">TEXT(DATE(YEAR(Invoer!$A$5),1,1)+MOD(ROWS(B$2:B51)-1,DATE(YEAR(Invoer!$A$5),12,31)-DATE(YEAR(Invoer!$A$5),1,1)+1),"jjjjmmdd")</f>
        <v>19460219</v>
      </c>
      <c r="C51" s="9">
        <v>1</v>
      </c>
      <c r="D51" s="14">
        <f t="shared" ca="1" si="0"/>
        <v>0</v>
      </c>
      <c r="E51" s="15">
        <f t="shared" ca="1" si="1"/>
        <v>0</v>
      </c>
    </row>
    <row r="52" spans="1:5" x14ac:dyDescent="0.25">
      <c r="A52" s="8">
        <f ca="1">INDEX(Stations,INT((ROWS(A$2:A52)-1)/(DATE(YEAR(Invoer!$A$5),12,31)-DATE(YEAR(Invoer!$A$5),1,1)+1))+2,1)</f>
        <v>73</v>
      </c>
      <c r="B52" t="str">
        <f ca="1">TEXT(DATE(YEAR(Invoer!$A$5),1,1)+MOD(ROWS(B$2:B52)-1,DATE(YEAR(Invoer!$A$5),12,31)-DATE(YEAR(Invoer!$A$5),1,1)+1),"jjjjmmdd")</f>
        <v>19460220</v>
      </c>
      <c r="C52" s="9">
        <v>1</v>
      </c>
      <c r="D52" s="14">
        <f t="shared" ca="1" si="0"/>
        <v>0</v>
      </c>
      <c r="E52" s="15">
        <f t="shared" ca="1" si="1"/>
        <v>0</v>
      </c>
    </row>
    <row r="53" spans="1:5" x14ac:dyDescent="0.25">
      <c r="A53" s="8">
        <f ca="1">INDEX(Stations,INT((ROWS(A$2:A53)-1)/(DATE(YEAR(Invoer!$A$5),12,31)-DATE(YEAR(Invoer!$A$5),1,1)+1))+2,1)</f>
        <v>73</v>
      </c>
      <c r="B53" t="str">
        <f ca="1">TEXT(DATE(YEAR(Invoer!$A$5),1,1)+MOD(ROWS(B$2:B53)-1,DATE(YEAR(Invoer!$A$5),12,31)-DATE(YEAR(Invoer!$A$5),1,1)+1),"jjjjmmdd")</f>
        <v>19460221</v>
      </c>
      <c r="C53" s="9">
        <v>1</v>
      </c>
      <c r="D53" s="14">
        <f t="shared" ca="1" si="0"/>
        <v>0</v>
      </c>
      <c r="E53" s="15">
        <f t="shared" ca="1" si="1"/>
        <v>0</v>
      </c>
    </row>
    <row r="54" spans="1:5" x14ac:dyDescent="0.25">
      <c r="A54" s="8">
        <f ca="1">INDEX(Stations,INT((ROWS(A$2:A54)-1)/(DATE(YEAR(Invoer!$A$5),12,31)-DATE(YEAR(Invoer!$A$5),1,1)+1))+2,1)</f>
        <v>73</v>
      </c>
      <c r="B54" t="str">
        <f ca="1">TEXT(DATE(YEAR(Invoer!$A$5),1,1)+MOD(ROWS(B$2:B54)-1,DATE(YEAR(Invoer!$A$5),12,31)-DATE(YEAR(Invoer!$A$5),1,1)+1),"jjjjmmdd")</f>
        <v>19460222</v>
      </c>
      <c r="C54" s="9">
        <v>1</v>
      </c>
      <c r="D54" s="14">
        <f t="shared" ca="1" si="0"/>
        <v>0</v>
      </c>
      <c r="E54" s="15">
        <f t="shared" ca="1" si="1"/>
        <v>0</v>
      </c>
    </row>
    <row r="55" spans="1:5" x14ac:dyDescent="0.25">
      <c r="A55" s="8">
        <f ca="1">INDEX(Stations,INT((ROWS(A$2:A55)-1)/(DATE(YEAR(Invoer!$A$5),12,31)-DATE(YEAR(Invoer!$A$5),1,1)+1))+2,1)</f>
        <v>73</v>
      </c>
      <c r="B55" t="str">
        <f ca="1">TEXT(DATE(YEAR(Invoer!$A$5),1,1)+MOD(ROWS(B$2:B55)-1,DATE(YEAR(Invoer!$A$5),12,31)-DATE(YEAR(Invoer!$A$5),1,1)+1),"jjjjmmdd")</f>
        <v>19460223</v>
      </c>
      <c r="C55" s="9">
        <v>1</v>
      </c>
      <c r="D55" s="14">
        <f t="shared" ca="1" si="0"/>
        <v>0</v>
      </c>
      <c r="E55" s="15">
        <f t="shared" ca="1" si="1"/>
        <v>0</v>
      </c>
    </row>
    <row r="56" spans="1:5" x14ac:dyDescent="0.25">
      <c r="A56" s="8">
        <f ca="1">INDEX(Stations,INT((ROWS(A$2:A56)-1)/(DATE(YEAR(Invoer!$A$5),12,31)-DATE(YEAR(Invoer!$A$5),1,1)+1))+2,1)</f>
        <v>73</v>
      </c>
      <c r="B56" t="str">
        <f ca="1">TEXT(DATE(YEAR(Invoer!$A$5),1,1)+MOD(ROWS(B$2:B56)-1,DATE(YEAR(Invoer!$A$5),12,31)-DATE(YEAR(Invoer!$A$5),1,1)+1),"jjjjmmdd")</f>
        <v>19460224</v>
      </c>
      <c r="C56" s="9">
        <v>1</v>
      </c>
      <c r="D56" s="14">
        <f t="shared" ca="1" si="0"/>
        <v>0</v>
      </c>
      <c r="E56" s="15">
        <f t="shared" ca="1" si="1"/>
        <v>0</v>
      </c>
    </row>
    <row r="57" spans="1:5" x14ac:dyDescent="0.25">
      <c r="A57" s="8">
        <f ca="1">INDEX(Stations,INT((ROWS(A$2:A57)-1)/(DATE(YEAR(Invoer!$A$5),12,31)-DATE(YEAR(Invoer!$A$5),1,1)+1))+2,1)</f>
        <v>73</v>
      </c>
      <c r="B57" t="str">
        <f ca="1">TEXT(DATE(YEAR(Invoer!$A$5),1,1)+MOD(ROWS(B$2:B57)-1,DATE(YEAR(Invoer!$A$5),12,31)-DATE(YEAR(Invoer!$A$5),1,1)+1),"jjjjmmdd")</f>
        <v>19460225</v>
      </c>
      <c r="C57" s="9">
        <v>1</v>
      </c>
      <c r="D57" s="14">
        <f t="shared" ca="1" si="0"/>
        <v>0</v>
      </c>
      <c r="E57" s="15">
        <f t="shared" ca="1" si="1"/>
        <v>0</v>
      </c>
    </row>
    <row r="58" spans="1:5" x14ac:dyDescent="0.25">
      <c r="A58" s="8">
        <f ca="1">INDEX(Stations,INT((ROWS(A$2:A58)-1)/(DATE(YEAR(Invoer!$A$5),12,31)-DATE(YEAR(Invoer!$A$5),1,1)+1))+2,1)</f>
        <v>73</v>
      </c>
      <c r="B58" t="str">
        <f ca="1">TEXT(DATE(YEAR(Invoer!$A$5),1,1)+MOD(ROWS(B$2:B58)-1,DATE(YEAR(Invoer!$A$5),12,31)-DATE(YEAR(Invoer!$A$5),1,1)+1),"jjjjmmdd")</f>
        <v>19460226</v>
      </c>
      <c r="C58" s="9">
        <v>1</v>
      </c>
      <c r="D58" s="14">
        <f t="shared" ca="1" si="0"/>
        <v>0</v>
      </c>
      <c r="E58" s="15">
        <f t="shared" ca="1" si="1"/>
        <v>0</v>
      </c>
    </row>
    <row r="59" spans="1:5" x14ac:dyDescent="0.25">
      <c r="A59" s="8">
        <f ca="1">INDEX(Stations,INT((ROWS(A$2:A59)-1)/(DATE(YEAR(Invoer!$A$5),12,31)-DATE(YEAR(Invoer!$A$5),1,1)+1))+2,1)</f>
        <v>73</v>
      </c>
      <c r="B59" t="str">
        <f ca="1">TEXT(DATE(YEAR(Invoer!$A$5),1,1)+MOD(ROWS(B$2:B59)-1,DATE(YEAR(Invoer!$A$5),12,31)-DATE(YEAR(Invoer!$A$5),1,1)+1),"jjjjmmdd")</f>
        <v>19460227</v>
      </c>
      <c r="C59" s="9">
        <v>1</v>
      </c>
      <c r="D59" s="14">
        <f t="shared" ca="1" si="0"/>
        <v>0</v>
      </c>
      <c r="E59" s="15">
        <f t="shared" ca="1" si="1"/>
        <v>0</v>
      </c>
    </row>
    <row r="60" spans="1:5" x14ac:dyDescent="0.25">
      <c r="A60" s="8">
        <f ca="1">INDEX(Stations,INT((ROWS(A$2:A60)-1)/(DATE(YEAR(Invoer!$A$5),12,31)-DATE(YEAR(Invoer!$A$5),1,1)+1))+2,1)</f>
        <v>73</v>
      </c>
      <c r="B60" t="str">
        <f ca="1">TEXT(DATE(YEAR(Invoer!$A$5),1,1)+MOD(ROWS(B$2:B60)-1,DATE(YEAR(Invoer!$A$5),12,31)-DATE(YEAR(Invoer!$A$5),1,1)+1),"jjjjmmdd")</f>
        <v>19460228</v>
      </c>
      <c r="C60" s="9">
        <v>1</v>
      </c>
      <c r="D60" s="14">
        <f t="shared" ca="1" si="0"/>
        <v>0</v>
      </c>
      <c r="E60" s="15">
        <f t="shared" ca="1" si="1"/>
        <v>0</v>
      </c>
    </row>
    <row r="61" spans="1:5" x14ac:dyDescent="0.25">
      <c r="A61" s="8">
        <f ca="1">INDEX(Stations,INT((ROWS(A$2:A61)-1)/(DATE(YEAR(Invoer!$A$5),12,31)-DATE(YEAR(Invoer!$A$5),1,1)+1))+2,1)</f>
        <v>73</v>
      </c>
      <c r="B61" t="str">
        <f ca="1">TEXT(DATE(YEAR(Invoer!$A$5),1,1)+MOD(ROWS(B$2:B61)-1,DATE(YEAR(Invoer!$A$5),12,31)-DATE(YEAR(Invoer!$A$5),1,1)+1),"jjjjmmdd")</f>
        <v>19460301</v>
      </c>
      <c r="C61" s="9">
        <v>1</v>
      </c>
      <c r="D61" s="14">
        <f t="shared" ca="1" si="0"/>
        <v>36</v>
      </c>
      <c r="E61" s="15">
        <f t="shared" ca="1" si="1"/>
        <v>0</v>
      </c>
    </row>
    <row r="62" spans="1:5" x14ac:dyDescent="0.25">
      <c r="A62" s="8">
        <f ca="1">INDEX(Stations,INT((ROWS(A$2:A62)-1)/(DATE(YEAR(Invoer!$A$5),12,31)-DATE(YEAR(Invoer!$A$5),1,1)+1))+2,1)</f>
        <v>73</v>
      </c>
      <c r="B62" t="str">
        <f ca="1">TEXT(DATE(YEAR(Invoer!$A$5),1,1)+MOD(ROWS(B$2:B62)-1,DATE(YEAR(Invoer!$A$5),12,31)-DATE(YEAR(Invoer!$A$5),1,1)+1),"jjjjmmdd")</f>
        <v>19460302</v>
      </c>
      <c r="C62" s="9">
        <v>1</v>
      </c>
      <c r="D62" s="14">
        <f t="shared" ca="1" si="0"/>
        <v>0</v>
      </c>
      <c r="E62" s="15">
        <f t="shared" ca="1" si="1"/>
        <v>0</v>
      </c>
    </row>
    <row r="63" spans="1:5" x14ac:dyDescent="0.25">
      <c r="A63" s="8">
        <f ca="1">INDEX(Stations,INT((ROWS(A$2:A63)-1)/(DATE(YEAR(Invoer!$A$5),12,31)-DATE(YEAR(Invoer!$A$5),1,1)+1))+2,1)</f>
        <v>73</v>
      </c>
      <c r="B63" t="str">
        <f ca="1">TEXT(DATE(YEAR(Invoer!$A$5),1,1)+MOD(ROWS(B$2:B63)-1,DATE(YEAR(Invoer!$A$5),12,31)-DATE(YEAR(Invoer!$A$5),1,1)+1),"jjjjmmdd")</f>
        <v>19460303</v>
      </c>
      <c r="C63" s="9">
        <v>1</v>
      </c>
      <c r="D63" s="14">
        <f t="shared" ca="1" si="0"/>
        <v>30</v>
      </c>
      <c r="E63" s="15">
        <f t="shared" ca="1" si="1"/>
        <v>0</v>
      </c>
    </row>
    <row r="64" spans="1:5" x14ac:dyDescent="0.25">
      <c r="A64" s="8">
        <f ca="1">INDEX(Stations,INT((ROWS(A$2:A64)-1)/(DATE(YEAR(Invoer!$A$5),12,31)-DATE(YEAR(Invoer!$A$5),1,1)+1))+2,1)</f>
        <v>73</v>
      </c>
      <c r="B64" t="str">
        <f ca="1">TEXT(DATE(YEAR(Invoer!$A$5),1,1)+MOD(ROWS(B$2:B64)-1,DATE(YEAR(Invoer!$A$5),12,31)-DATE(YEAR(Invoer!$A$5),1,1)+1),"jjjjmmdd")</f>
        <v>19460304</v>
      </c>
      <c r="C64" s="9">
        <v>1</v>
      </c>
      <c r="D64" s="14">
        <f t="shared" ca="1" si="0"/>
        <v>0</v>
      </c>
      <c r="E64" s="15">
        <f t="shared" ca="1" si="1"/>
        <v>0</v>
      </c>
    </row>
    <row r="65" spans="1:5" x14ac:dyDescent="0.25">
      <c r="A65" s="8">
        <f ca="1">INDEX(Stations,INT((ROWS(A$2:A65)-1)/(DATE(YEAR(Invoer!$A$5),12,31)-DATE(YEAR(Invoer!$A$5),1,1)+1))+2,1)</f>
        <v>73</v>
      </c>
      <c r="B65" t="str">
        <f ca="1">TEXT(DATE(YEAR(Invoer!$A$5),1,1)+MOD(ROWS(B$2:B65)-1,DATE(YEAR(Invoer!$A$5),12,31)-DATE(YEAR(Invoer!$A$5),1,1)+1),"jjjjmmdd")</f>
        <v>19460305</v>
      </c>
      <c r="C65" s="9">
        <v>1</v>
      </c>
      <c r="D65" s="14">
        <f t="shared" ca="1" si="0"/>
        <v>0</v>
      </c>
      <c r="E65" s="15">
        <f t="shared" ca="1" si="1"/>
        <v>0</v>
      </c>
    </row>
    <row r="66" spans="1:5" x14ac:dyDescent="0.25">
      <c r="A66" s="8">
        <f ca="1">INDEX(Stations,INT((ROWS(A$2:A66)-1)/(DATE(YEAR(Invoer!$A$5),12,31)-DATE(YEAR(Invoer!$A$5),1,1)+1))+2,1)</f>
        <v>73</v>
      </c>
      <c r="B66" t="str">
        <f ca="1">TEXT(DATE(YEAR(Invoer!$A$5),1,1)+MOD(ROWS(B$2:B66)-1,DATE(YEAR(Invoer!$A$5),12,31)-DATE(YEAR(Invoer!$A$5),1,1)+1),"jjjjmmdd")</f>
        <v>19460306</v>
      </c>
      <c r="C66" s="9">
        <v>1</v>
      </c>
      <c r="D66" s="14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5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8">
        <f ca="1">INDEX(Stations,INT((ROWS(A$2:A67)-1)/(DATE(YEAR(Invoer!$A$5),12,31)-DATE(YEAR(Invoer!$A$5),1,1)+1))+2,1)</f>
        <v>73</v>
      </c>
      <c r="B67" t="str">
        <f ca="1">TEXT(DATE(YEAR(Invoer!$A$5),1,1)+MOD(ROWS(B$2:B67)-1,DATE(YEAR(Invoer!$A$5),12,31)-DATE(YEAR(Invoer!$A$5),1,1)+1),"jjjjmmdd")</f>
        <v>19460307</v>
      </c>
      <c r="C67" s="9">
        <v>1</v>
      </c>
      <c r="D67" s="14">
        <f t="shared" ca="1" si="2"/>
        <v>29</v>
      </c>
      <c r="E67" s="15">
        <f t="shared" ca="1" si="3"/>
        <v>0</v>
      </c>
    </row>
    <row r="68" spans="1:5" x14ac:dyDescent="0.25">
      <c r="A68" s="8">
        <f ca="1">INDEX(Stations,INT((ROWS(A$2:A68)-1)/(DATE(YEAR(Invoer!$A$5),12,31)-DATE(YEAR(Invoer!$A$5),1,1)+1))+2,1)</f>
        <v>73</v>
      </c>
      <c r="B68" t="str">
        <f ca="1">TEXT(DATE(YEAR(Invoer!$A$5),1,1)+MOD(ROWS(B$2:B68)-1,DATE(YEAR(Invoer!$A$5),12,31)-DATE(YEAR(Invoer!$A$5),1,1)+1),"jjjjmmdd")</f>
        <v>19460308</v>
      </c>
      <c r="C68" s="9">
        <v>1</v>
      </c>
      <c r="D68" s="14">
        <f t="shared" ca="1" si="2"/>
        <v>0</v>
      </c>
      <c r="E68" s="15">
        <f t="shared" ca="1" si="3"/>
        <v>0</v>
      </c>
    </row>
    <row r="69" spans="1:5" x14ac:dyDescent="0.25">
      <c r="A69" s="8">
        <f ca="1">INDEX(Stations,INT((ROWS(A$2:A69)-1)/(DATE(YEAR(Invoer!$A$5),12,31)-DATE(YEAR(Invoer!$A$5),1,1)+1))+2,1)</f>
        <v>73</v>
      </c>
      <c r="B69" t="str">
        <f ca="1">TEXT(DATE(YEAR(Invoer!$A$5),1,1)+MOD(ROWS(B$2:B69)-1,DATE(YEAR(Invoer!$A$5),12,31)-DATE(YEAR(Invoer!$A$5),1,1)+1),"jjjjmmdd")</f>
        <v>19460309</v>
      </c>
      <c r="C69" s="9">
        <v>1</v>
      </c>
      <c r="D69" s="14">
        <f t="shared" ca="1" si="2"/>
        <v>0</v>
      </c>
      <c r="E69" s="15">
        <f t="shared" ca="1" si="3"/>
        <v>0</v>
      </c>
    </row>
    <row r="70" spans="1:5" x14ac:dyDescent="0.25">
      <c r="A70" s="8">
        <f ca="1">INDEX(Stations,INT((ROWS(A$2:A70)-1)/(DATE(YEAR(Invoer!$A$5),12,31)-DATE(YEAR(Invoer!$A$5),1,1)+1))+2,1)</f>
        <v>73</v>
      </c>
      <c r="B70" t="str">
        <f ca="1">TEXT(DATE(YEAR(Invoer!$A$5),1,1)+MOD(ROWS(B$2:B70)-1,DATE(YEAR(Invoer!$A$5),12,31)-DATE(YEAR(Invoer!$A$5),1,1)+1),"jjjjmmdd")</f>
        <v>19460310</v>
      </c>
      <c r="C70" s="9">
        <v>1</v>
      </c>
      <c r="D70" s="14">
        <f t="shared" ca="1" si="2"/>
        <v>0</v>
      </c>
      <c r="E70" s="15">
        <f t="shared" ca="1" si="3"/>
        <v>0</v>
      </c>
    </row>
    <row r="71" spans="1:5" x14ac:dyDescent="0.25">
      <c r="A71" s="8">
        <f ca="1">INDEX(Stations,INT((ROWS(A$2:A71)-1)/(DATE(YEAR(Invoer!$A$5),12,31)-DATE(YEAR(Invoer!$A$5),1,1)+1))+2,1)</f>
        <v>73</v>
      </c>
      <c r="B71" t="str">
        <f ca="1">TEXT(DATE(YEAR(Invoer!$A$5),1,1)+MOD(ROWS(B$2:B71)-1,DATE(YEAR(Invoer!$A$5),12,31)-DATE(YEAR(Invoer!$A$5),1,1)+1),"jjjjmmdd")</f>
        <v>19460311</v>
      </c>
      <c r="C71" s="9">
        <v>1</v>
      </c>
      <c r="D71" s="14">
        <f t="shared" ca="1" si="2"/>
        <v>0</v>
      </c>
      <c r="E71" s="15">
        <f t="shared" ca="1" si="3"/>
        <v>0</v>
      </c>
    </row>
    <row r="72" spans="1:5" x14ac:dyDescent="0.25">
      <c r="A72" s="8">
        <f ca="1">INDEX(Stations,INT((ROWS(A$2:A72)-1)/(DATE(YEAR(Invoer!$A$5),12,31)-DATE(YEAR(Invoer!$A$5),1,1)+1))+2,1)</f>
        <v>73</v>
      </c>
      <c r="B72" t="str">
        <f ca="1">TEXT(DATE(YEAR(Invoer!$A$5),1,1)+MOD(ROWS(B$2:B72)-1,DATE(YEAR(Invoer!$A$5),12,31)-DATE(YEAR(Invoer!$A$5),1,1)+1),"jjjjmmdd")</f>
        <v>19460312</v>
      </c>
      <c r="C72" s="9">
        <v>1</v>
      </c>
      <c r="D72" s="14">
        <f t="shared" ca="1" si="2"/>
        <v>0</v>
      </c>
      <c r="E72" s="15">
        <f t="shared" ca="1" si="3"/>
        <v>0</v>
      </c>
    </row>
    <row r="73" spans="1:5" x14ac:dyDescent="0.25">
      <c r="A73" s="8">
        <f ca="1">INDEX(Stations,INT((ROWS(A$2:A73)-1)/(DATE(YEAR(Invoer!$A$5),12,31)-DATE(YEAR(Invoer!$A$5),1,1)+1))+2,1)</f>
        <v>73</v>
      </c>
      <c r="B73" t="str">
        <f ca="1">TEXT(DATE(YEAR(Invoer!$A$5),1,1)+MOD(ROWS(B$2:B73)-1,DATE(YEAR(Invoer!$A$5),12,31)-DATE(YEAR(Invoer!$A$5),1,1)+1),"jjjjmmdd")</f>
        <v>19460313</v>
      </c>
      <c r="C73" s="9">
        <v>1</v>
      </c>
      <c r="D73" s="14">
        <f t="shared" ca="1" si="2"/>
        <v>0</v>
      </c>
      <c r="E73" s="15">
        <f t="shared" ca="1" si="3"/>
        <v>0</v>
      </c>
    </row>
    <row r="74" spans="1:5" x14ac:dyDescent="0.25">
      <c r="A74" s="8">
        <f ca="1">INDEX(Stations,INT((ROWS(A$2:A74)-1)/(DATE(YEAR(Invoer!$A$5),12,31)-DATE(YEAR(Invoer!$A$5),1,1)+1))+2,1)</f>
        <v>73</v>
      </c>
      <c r="B74" t="str">
        <f ca="1">TEXT(DATE(YEAR(Invoer!$A$5),1,1)+MOD(ROWS(B$2:B74)-1,DATE(YEAR(Invoer!$A$5),12,31)-DATE(YEAR(Invoer!$A$5),1,1)+1),"jjjjmmdd")</f>
        <v>19460314</v>
      </c>
      <c r="C74" s="9">
        <v>1</v>
      </c>
      <c r="D74" s="14">
        <f t="shared" ca="1" si="2"/>
        <v>35</v>
      </c>
      <c r="E74" s="15">
        <f t="shared" ca="1" si="3"/>
        <v>0</v>
      </c>
    </row>
    <row r="75" spans="1:5" x14ac:dyDescent="0.25">
      <c r="A75" s="8">
        <f ca="1">INDEX(Stations,INT((ROWS(A$2:A75)-1)/(DATE(YEAR(Invoer!$A$5),12,31)-DATE(YEAR(Invoer!$A$5),1,1)+1))+2,1)</f>
        <v>73</v>
      </c>
      <c r="B75" t="str">
        <f ca="1">TEXT(DATE(YEAR(Invoer!$A$5),1,1)+MOD(ROWS(B$2:B75)-1,DATE(YEAR(Invoer!$A$5),12,31)-DATE(YEAR(Invoer!$A$5),1,1)+1),"jjjjmmdd")</f>
        <v>19460315</v>
      </c>
      <c r="C75" s="9">
        <v>1</v>
      </c>
      <c r="D75" s="14">
        <f t="shared" ca="1" si="2"/>
        <v>0</v>
      </c>
      <c r="E75" s="15">
        <f t="shared" ca="1" si="3"/>
        <v>0</v>
      </c>
    </row>
    <row r="76" spans="1:5" x14ac:dyDescent="0.25">
      <c r="A76" s="8">
        <f ca="1">INDEX(Stations,INT((ROWS(A$2:A76)-1)/(DATE(YEAR(Invoer!$A$5),12,31)-DATE(YEAR(Invoer!$A$5),1,1)+1))+2,1)</f>
        <v>73</v>
      </c>
      <c r="B76" t="str">
        <f ca="1">TEXT(DATE(YEAR(Invoer!$A$5),1,1)+MOD(ROWS(B$2:B76)-1,DATE(YEAR(Invoer!$A$5),12,31)-DATE(YEAR(Invoer!$A$5),1,1)+1),"jjjjmmdd")</f>
        <v>19460316</v>
      </c>
      <c r="C76" s="9">
        <v>1</v>
      </c>
      <c r="D76" s="14">
        <f t="shared" ca="1" si="2"/>
        <v>0</v>
      </c>
      <c r="E76" s="15">
        <f t="shared" ca="1" si="3"/>
        <v>0</v>
      </c>
    </row>
    <row r="77" spans="1:5" x14ac:dyDescent="0.25">
      <c r="A77" s="8">
        <f ca="1">INDEX(Stations,INT((ROWS(A$2:A77)-1)/(DATE(YEAR(Invoer!$A$5),12,31)-DATE(YEAR(Invoer!$A$5),1,1)+1))+2,1)</f>
        <v>73</v>
      </c>
      <c r="B77" t="str">
        <f ca="1">TEXT(DATE(YEAR(Invoer!$A$5),1,1)+MOD(ROWS(B$2:B77)-1,DATE(YEAR(Invoer!$A$5),12,31)-DATE(YEAR(Invoer!$A$5),1,1)+1),"jjjjmmdd")</f>
        <v>19460317</v>
      </c>
      <c r="C77" s="9">
        <v>1</v>
      </c>
      <c r="D77" s="14">
        <f t="shared" ca="1" si="2"/>
        <v>0</v>
      </c>
      <c r="E77" s="15">
        <f t="shared" ca="1" si="3"/>
        <v>0</v>
      </c>
    </row>
    <row r="78" spans="1:5" x14ac:dyDescent="0.25">
      <c r="A78" s="8">
        <f ca="1">INDEX(Stations,INT((ROWS(A$2:A78)-1)/(DATE(YEAR(Invoer!$A$5),12,31)-DATE(YEAR(Invoer!$A$5),1,1)+1))+2,1)</f>
        <v>73</v>
      </c>
      <c r="B78" t="str">
        <f ca="1">TEXT(DATE(YEAR(Invoer!$A$5),1,1)+MOD(ROWS(B$2:B78)-1,DATE(YEAR(Invoer!$A$5),12,31)-DATE(YEAR(Invoer!$A$5),1,1)+1),"jjjjmmdd")</f>
        <v>19460318</v>
      </c>
      <c r="C78" s="9">
        <v>1</v>
      </c>
      <c r="D78" s="14">
        <f t="shared" ca="1" si="2"/>
        <v>0</v>
      </c>
      <c r="E78" s="15">
        <f t="shared" ca="1" si="3"/>
        <v>0</v>
      </c>
    </row>
    <row r="79" spans="1:5" x14ac:dyDescent="0.25">
      <c r="A79" s="8">
        <f ca="1">INDEX(Stations,INT((ROWS(A$2:A79)-1)/(DATE(YEAR(Invoer!$A$5),12,31)-DATE(YEAR(Invoer!$A$5),1,1)+1))+2,1)</f>
        <v>73</v>
      </c>
      <c r="B79" t="str">
        <f ca="1">TEXT(DATE(YEAR(Invoer!$A$5),1,1)+MOD(ROWS(B$2:B79)-1,DATE(YEAR(Invoer!$A$5),12,31)-DATE(YEAR(Invoer!$A$5),1,1)+1),"jjjjmmdd")</f>
        <v>19460319</v>
      </c>
      <c r="C79" s="9">
        <v>1</v>
      </c>
      <c r="D79" s="14">
        <f t="shared" ca="1" si="2"/>
        <v>0</v>
      </c>
      <c r="E79" s="15">
        <f t="shared" ca="1" si="3"/>
        <v>0</v>
      </c>
    </row>
    <row r="80" spans="1:5" x14ac:dyDescent="0.25">
      <c r="A80" s="8">
        <f ca="1">INDEX(Stations,INT((ROWS(A$2:A80)-1)/(DATE(YEAR(Invoer!$A$5),12,31)-DATE(YEAR(Invoer!$A$5),1,1)+1))+2,1)</f>
        <v>73</v>
      </c>
      <c r="B80" t="str">
        <f ca="1">TEXT(DATE(YEAR(Invoer!$A$5),1,1)+MOD(ROWS(B$2:B80)-1,DATE(YEAR(Invoer!$A$5),12,31)-DATE(YEAR(Invoer!$A$5),1,1)+1),"jjjjmmdd")</f>
        <v>19460320</v>
      </c>
      <c r="C80" s="9">
        <v>1</v>
      </c>
      <c r="D80" s="14">
        <f t="shared" ca="1" si="2"/>
        <v>0</v>
      </c>
      <c r="E80" s="15">
        <f t="shared" ca="1" si="3"/>
        <v>0</v>
      </c>
    </row>
    <row r="81" spans="1:5" x14ac:dyDescent="0.25">
      <c r="A81" s="8">
        <f ca="1">INDEX(Stations,INT((ROWS(A$2:A81)-1)/(DATE(YEAR(Invoer!$A$5),12,31)-DATE(YEAR(Invoer!$A$5),1,1)+1))+2,1)</f>
        <v>73</v>
      </c>
      <c r="B81" t="str">
        <f ca="1">TEXT(DATE(YEAR(Invoer!$A$5),1,1)+MOD(ROWS(B$2:B81)-1,DATE(YEAR(Invoer!$A$5),12,31)-DATE(YEAR(Invoer!$A$5),1,1)+1),"jjjjmmdd")</f>
        <v>19460321</v>
      </c>
      <c r="C81" s="9">
        <v>1</v>
      </c>
      <c r="D81" s="14">
        <f t="shared" ca="1" si="2"/>
        <v>0</v>
      </c>
      <c r="E81" s="15">
        <f t="shared" ca="1" si="3"/>
        <v>0</v>
      </c>
    </row>
    <row r="82" spans="1:5" x14ac:dyDescent="0.25">
      <c r="A82" s="8">
        <f ca="1">INDEX(Stations,INT((ROWS(A$2:A82)-1)/(DATE(YEAR(Invoer!$A$5),12,31)-DATE(YEAR(Invoer!$A$5),1,1)+1))+2,1)</f>
        <v>73</v>
      </c>
      <c r="B82" t="str">
        <f ca="1">TEXT(DATE(YEAR(Invoer!$A$5),1,1)+MOD(ROWS(B$2:B82)-1,DATE(YEAR(Invoer!$A$5),12,31)-DATE(YEAR(Invoer!$A$5),1,1)+1),"jjjjmmdd")</f>
        <v>19460322</v>
      </c>
      <c r="C82" s="9">
        <v>1</v>
      </c>
      <c r="D82" s="14">
        <f t="shared" ca="1" si="2"/>
        <v>0</v>
      </c>
      <c r="E82" s="15">
        <f t="shared" ca="1" si="3"/>
        <v>0</v>
      </c>
    </row>
    <row r="83" spans="1:5" x14ac:dyDescent="0.25">
      <c r="A83" s="8">
        <f ca="1">INDEX(Stations,INT((ROWS(A$2:A83)-1)/(DATE(YEAR(Invoer!$A$5),12,31)-DATE(YEAR(Invoer!$A$5),1,1)+1))+2,1)</f>
        <v>73</v>
      </c>
      <c r="B83" t="str">
        <f ca="1">TEXT(DATE(YEAR(Invoer!$A$5),1,1)+MOD(ROWS(B$2:B83)-1,DATE(YEAR(Invoer!$A$5),12,31)-DATE(YEAR(Invoer!$A$5),1,1)+1),"jjjjmmdd")</f>
        <v>19460323</v>
      </c>
      <c r="C83" s="9">
        <v>1</v>
      </c>
      <c r="D83" s="14">
        <f t="shared" ca="1" si="2"/>
        <v>0</v>
      </c>
      <c r="E83" s="15">
        <f t="shared" ca="1" si="3"/>
        <v>0</v>
      </c>
    </row>
    <row r="84" spans="1:5" x14ac:dyDescent="0.25">
      <c r="A84" s="8">
        <f ca="1">INDEX(Stations,INT((ROWS(A$2:A84)-1)/(DATE(YEAR(Invoer!$A$5),12,31)-DATE(YEAR(Invoer!$A$5),1,1)+1))+2,1)</f>
        <v>73</v>
      </c>
      <c r="B84" t="str">
        <f ca="1">TEXT(DATE(YEAR(Invoer!$A$5),1,1)+MOD(ROWS(B$2:B84)-1,DATE(YEAR(Invoer!$A$5),12,31)-DATE(YEAR(Invoer!$A$5),1,1)+1),"jjjjmmdd")</f>
        <v>19460324</v>
      </c>
      <c r="C84" s="9">
        <v>1</v>
      </c>
      <c r="D84" s="14">
        <f t="shared" ca="1" si="2"/>
        <v>0</v>
      </c>
      <c r="E84" s="15">
        <f t="shared" ca="1" si="3"/>
        <v>0</v>
      </c>
    </row>
    <row r="85" spans="1:5" x14ac:dyDescent="0.25">
      <c r="A85" s="8">
        <f ca="1">INDEX(Stations,INT((ROWS(A$2:A85)-1)/(DATE(YEAR(Invoer!$A$5),12,31)-DATE(YEAR(Invoer!$A$5),1,1)+1))+2,1)</f>
        <v>73</v>
      </c>
      <c r="B85" t="str">
        <f ca="1">TEXT(DATE(YEAR(Invoer!$A$5),1,1)+MOD(ROWS(B$2:B85)-1,DATE(YEAR(Invoer!$A$5),12,31)-DATE(YEAR(Invoer!$A$5),1,1)+1),"jjjjmmdd")</f>
        <v>19460325</v>
      </c>
      <c r="C85" s="9">
        <v>1</v>
      </c>
      <c r="D85" s="14">
        <f t="shared" ca="1" si="2"/>
        <v>46</v>
      </c>
      <c r="E85" s="15">
        <f t="shared" ca="1" si="3"/>
        <v>0</v>
      </c>
    </row>
    <row r="86" spans="1:5" x14ac:dyDescent="0.25">
      <c r="A86" s="8">
        <f ca="1">INDEX(Stations,INT((ROWS(A$2:A86)-1)/(DATE(YEAR(Invoer!$A$5),12,31)-DATE(YEAR(Invoer!$A$5),1,1)+1))+2,1)</f>
        <v>73</v>
      </c>
      <c r="B86" t="str">
        <f ca="1">TEXT(DATE(YEAR(Invoer!$A$5),1,1)+MOD(ROWS(B$2:B86)-1,DATE(YEAR(Invoer!$A$5),12,31)-DATE(YEAR(Invoer!$A$5),1,1)+1),"jjjjmmdd")</f>
        <v>19460326</v>
      </c>
      <c r="C86" s="9">
        <v>1</v>
      </c>
      <c r="D86" s="14">
        <f t="shared" ca="1" si="2"/>
        <v>0</v>
      </c>
      <c r="E86" s="15">
        <f t="shared" ca="1" si="3"/>
        <v>0</v>
      </c>
    </row>
    <row r="87" spans="1:5" x14ac:dyDescent="0.25">
      <c r="A87" s="8">
        <f ca="1">INDEX(Stations,INT((ROWS(A$2:A87)-1)/(DATE(YEAR(Invoer!$A$5),12,31)-DATE(YEAR(Invoer!$A$5),1,1)+1))+2,1)</f>
        <v>73</v>
      </c>
      <c r="B87" t="str">
        <f ca="1">TEXT(DATE(YEAR(Invoer!$A$5),1,1)+MOD(ROWS(B$2:B87)-1,DATE(YEAR(Invoer!$A$5),12,31)-DATE(YEAR(Invoer!$A$5),1,1)+1),"jjjjmmdd")</f>
        <v>19460327</v>
      </c>
      <c r="C87" s="9">
        <v>1</v>
      </c>
      <c r="D87" s="14">
        <f t="shared" ca="1" si="2"/>
        <v>0</v>
      </c>
      <c r="E87" s="15">
        <f t="shared" ca="1" si="3"/>
        <v>0</v>
      </c>
    </row>
    <row r="88" spans="1:5" x14ac:dyDescent="0.25">
      <c r="A88" s="8">
        <f ca="1">INDEX(Stations,INT((ROWS(A$2:A88)-1)/(DATE(YEAR(Invoer!$A$5),12,31)-DATE(YEAR(Invoer!$A$5),1,1)+1))+2,1)</f>
        <v>73</v>
      </c>
      <c r="B88" t="str">
        <f ca="1">TEXT(DATE(YEAR(Invoer!$A$5),1,1)+MOD(ROWS(B$2:B88)-1,DATE(YEAR(Invoer!$A$5),12,31)-DATE(YEAR(Invoer!$A$5),1,1)+1),"jjjjmmdd")</f>
        <v>19460328</v>
      </c>
      <c r="C88" s="9">
        <v>1</v>
      </c>
      <c r="D88" s="14">
        <f t="shared" ca="1" si="2"/>
        <v>12</v>
      </c>
      <c r="E88" s="15">
        <f t="shared" ca="1" si="3"/>
        <v>0</v>
      </c>
    </row>
    <row r="89" spans="1:5" x14ac:dyDescent="0.25">
      <c r="A89" s="8">
        <f ca="1">INDEX(Stations,INT((ROWS(A$2:A89)-1)/(DATE(YEAR(Invoer!$A$5),12,31)-DATE(YEAR(Invoer!$A$5),1,1)+1))+2,1)</f>
        <v>73</v>
      </c>
      <c r="B89" t="str">
        <f ca="1">TEXT(DATE(YEAR(Invoer!$A$5),1,1)+MOD(ROWS(B$2:B89)-1,DATE(YEAR(Invoer!$A$5),12,31)-DATE(YEAR(Invoer!$A$5),1,1)+1),"jjjjmmdd")</f>
        <v>19460329</v>
      </c>
      <c r="C89" s="9">
        <v>1</v>
      </c>
      <c r="D89" s="14">
        <f t="shared" ca="1" si="2"/>
        <v>0</v>
      </c>
      <c r="E89" s="15">
        <f t="shared" ca="1" si="3"/>
        <v>0</v>
      </c>
    </row>
    <row r="90" spans="1:5" x14ac:dyDescent="0.25">
      <c r="A90" s="8">
        <f ca="1">INDEX(Stations,INT((ROWS(A$2:A90)-1)/(DATE(YEAR(Invoer!$A$5),12,31)-DATE(YEAR(Invoer!$A$5),1,1)+1))+2,1)</f>
        <v>73</v>
      </c>
      <c r="B90" t="str">
        <f ca="1">TEXT(DATE(YEAR(Invoer!$A$5),1,1)+MOD(ROWS(B$2:B90)-1,DATE(YEAR(Invoer!$A$5),12,31)-DATE(YEAR(Invoer!$A$5),1,1)+1),"jjjjmmdd")</f>
        <v>19460330</v>
      </c>
      <c r="C90" s="9">
        <v>1</v>
      </c>
      <c r="D90" s="14">
        <f t="shared" ca="1" si="2"/>
        <v>0</v>
      </c>
      <c r="E90" s="15">
        <f t="shared" ca="1" si="3"/>
        <v>0</v>
      </c>
    </row>
    <row r="91" spans="1:5" x14ac:dyDescent="0.25">
      <c r="A91" s="8">
        <f ca="1">INDEX(Stations,INT((ROWS(A$2:A91)-1)/(DATE(YEAR(Invoer!$A$5),12,31)-DATE(YEAR(Invoer!$A$5),1,1)+1))+2,1)</f>
        <v>73</v>
      </c>
      <c r="B91" t="str">
        <f ca="1">TEXT(DATE(YEAR(Invoer!$A$5),1,1)+MOD(ROWS(B$2:B91)-1,DATE(YEAR(Invoer!$A$5),12,31)-DATE(YEAR(Invoer!$A$5),1,1)+1),"jjjjmmdd")</f>
        <v>19460331</v>
      </c>
      <c r="C91" s="9">
        <v>1</v>
      </c>
      <c r="D91" s="14">
        <f t="shared" ca="1" si="2"/>
        <v>8</v>
      </c>
      <c r="E91" s="15">
        <f t="shared" ca="1" si="3"/>
        <v>0</v>
      </c>
    </row>
    <row r="92" spans="1:5" x14ac:dyDescent="0.25">
      <c r="A92" s="8">
        <f ca="1">INDEX(Stations,INT((ROWS(A$2:A92)-1)/(DATE(YEAR(Invoer!$A$5),12,31)-DATE(YEAR(Invoer!$A$5),1,1)+1))+2,1)</f>
        <v>73</v>
      </c>
      <c r="B92" t="str">
        <f ca="1">TEXT(DATE(YEAR(Invoer!$A$5),1,1)+MOD(ROWS(B$2:B92)-1,DATE(YEAR(Invoer!$A$5),12,31)-DATE(YEAR(Invoer!$A$5),1,1)+1),"jjjjmmdd")</f>
        <v>19460401</v>
      </c>
      <c r="C92" s="9">
        <v>1</v>
      </c>
      <c r="D92" s="14">
        <f t="shared" ca="1" si="2"/>
        <v>329</v>
      </c>
      <c r="E92" s="15">
        <f t="shared" ca="1" si="3"/>
        <v>0</v>
      </c>
    </row>
    <row r="93" spans="1:5" x14ac:dyDescent="0.25">
      <c r="A93" s="8">
        <f ca="1">INDEX(Stations,INT((ROWS(A$2:A93)-1)/(DATE(YEAR(Invoer!$A$5),12,31)-DATE(YEAR(Invoer!$A$5),1,1)+1))+2,1)</f>
        <v>73</v>
      </c>
      <c r="B93" t="str">
        <f ca="1">TEXT(DATE(YEAR(Invoer!$A$5),1,1)+MOD(ROWS(B$2:B93)-1,DATE(YEAR(Invoer!$A$5),12,31)-DATE(YEAR(Invoer!$A$5),1,1)+1),"jjjjmmdd")</f>
        <v>19460402</v>
      </c>
      <c r="C93" s="9">
        <v>1</v>
      </c>
      <c r="D93" s="14">
        <f t="shared" ca="1" si="2"/>
        <v>0</v>
      </c>
      <c r="E93" s="15">
        <f t="shared" ca="1" si="3"/>
        <v>0</v>
      </c>
    </row>
    <row r="94" spans="1:5" x14ac:dyDescent="0.25">
      <c r="A94" s="8">
        <f ca="1">INDEX(Stations,INT((ROWS(A$2:A94)-1)/(DATE(YEAR(Invoer!$A$5),12,31)-DATE(YEAR(Invoer!$A$5),1,1)+1))+2,1)</f>
        <v>73</v>
      </c>
      <c r="B94" t="str">
        <f ca="1">TEXT(DATE(YEAR(Invoer!$A$5),1,1)+MOD(ROWS(B$2:B94)-1,DATE(YEAR(Invoer!$A$5),12,31)-DATE(YEAR(Invoer!$A$5),1,1)+1),"jjjjmmdd")</f>
        <v>19460403</v>
      </c>
      <c r="C94" s="9">
        <v>1</v>
      </c>
      <c r="D94" s="14">
        <f t="shared" ca="1" si="2"/>
        <v>0</v>
      </c>
      <c r="E94" s="15">
        <f t="shared" ca="1" si="3"/>
        <v>0</v>
      </c>
    </row>
    <row r="95" spans="1:5" x14ac:dyDescent="0.25">
      <c r="A95" s="8">
        <f ca="1">INDEX(Stations,INT((ROWS(A$2:A95)-1)/(DATE(YEAR(Invoer!$A$5),12,31)-DATE(YEAR(Invoer!$A$5),1,1)+1))+2,1)</f>
        <v>73</v>
      </c>
      <c r="B95" t="str">
        <f ca="1">TEXT(DATE(YEAR(Invoer!$A$5),1,1)+MOD(ROWS(B$2:B95)-1,DATE(YEAR(Invoer!$A$5),12,31)-DATE(YEAR(Invoer!$A$5),1,1)+1),"jjjjmmdd")</f>
        <v>19460404</v>
      </c>
      <c r="C95" s="9">
        <v>1</v>
      </c>
      <c r="D95" s="14">
        <f t="shared" ca="1" si="2"/>
        <v>0</v>
      </c>
      <c r="E95" s="15">
        <f t="shared" ca="1" si="3"/>
        <v>0</v>
      </c>
    </row>
    <row r="96" spans="1:5" x14ac:dyDescent="0.25">
      <c r="A96" s="8">
        <f ca="1">INDEX(Stations,INT((ROWS(A$2:A96)-1)/(DATE(YEAR(Invoer!$A$5),12,31)-DATE(YEAR(Invoer!$A$5),1,1)+1))+2,1)</f>
        <v>73</v>
      </c>
      <c r="B96" t="str">
        <f ca="1">TEXT(DATE(YEAR(Invoer!$A$5),1,1)+MOD(ROWS(B$2:B96)-1,DATE(YEAR(Invoer!$A$5),12,31)-DATE(YEAR(Invoer!$A$5),1,1)+1),"jjjjmmdd")</f>
        <v>19460405</v>
      </c>
      <c r="C96" s="9">
        <v>1</v>
      </c>
      <c r="D96" s="14">
        <f t="shared" ca="1" si="2"/>
        <v>0</v>
      </c>
      <c r="E96" s="15">
        <f t="shared" ca="1" si="3"/>
        <v>0</v>
      </c>
    </row>
    <row r="97" spans="1:5" x14ac:dyDescent="0.25">
      <c r="A97" s="8">
        <f ca="1">INDEX(Stations,INT((ROWS(A$2:A97)-1)/(DATE(YEAR(Invoer!$A$5),12,31)-DATE(YEAR(Invoer!$A$5),1,1)+1))+2,1)</f>
        <v>73</v>
      </c>
      <c r="B97" t="str">
        <f ca="1">TEXT(DATE(YEAR(Invoer!$A$5),1,1)+MOD(ROWS(B$2:B97)-1,DATE(YEAR(Invoer!$A$5),12,31)-DATE(YEAR(Invoer!$A$5),1,1)+1),"jjjjmmdd")</f>
        <v>19460406</v>
      </c>
      <c r="C97" s="9">
        <v>1</v>
      </c>
      <c r="D97" s="14">
        <f t="shared" ca="1" si="2"/>
        <v>0</v>
      </c>
      <c r="E97" s="15">
        <f t="shared" ca="1" si="3"/>
        <v>0</v>
      </c>
    </row>
    <row r="98" spans="1:5" x14ac:dyDescent="0.25">
      <c r="A98" s="8">
        <f ca="1">INDEX(Stations,INT((ROWS(A$2:A98)-1)/(DATE(YEAR(Invoer!$A$5),12,31)-DATE(YEAR(Invoer!$A$5),1,1)+1))+2,1)</f>
        <v>73</v>
      </c>
      <c r="B98" t="str">
        <f ca="1">TEXT(DATE(YEAR(Invoer!$A$5),1,1)+MOD(ROWS(B$2:B98)-1,DATE(YEAR(Invoer!$A$5),12,31)-DATE(YEAR(Invoer!$A$5),1,1)+1),"jjjjmmdd")</f>
        <v>19460407</v>
      </c>
      <c r="C98" s="9">
        <v>1</v>
      </c>
      <c r="D98" s="14">
        <f t="shared" ca="1" si="2"/>
        <v>0</v>
      </c>
      <c r="E98" s="15">
        <f t="shared" ca="1" si="3"/>
        <v>0</v>
      </c>
    </row>
    <row r="99" spans="1:5" x14ac:dyDescent="0.25">
      <c r="A99" s="8">
        <f ca="1">INDEX(Stations,INT((ROWS(A$2:A99)-1)/(DATE(YEAR(Invoer!$A$5),12,31)-DATE(YEAR(Invoer!$A$5),1,1)+1))+2,1)</f>
        <v>73</v>
      </c>
      <c r="B99" t="str">
        <f ca="1">TEXT(DATE(YEAR(Invoer!$A$5),1,1)+MOD(ROWS(B$2:B99)-1,DATE(YEAR(Invoer!$A$5),12,31)-DATE(YEAR(Invoer!$A$5),1,1)+1),"jjjjmmdd")</f>
        <v>19460408</v>
      </c>
      <c r="C99" s="9">
        <v>1</v>
      </c>
      <c r="D99" s="14">
        <f t="shared" ca="1" si="2"/>
        <v>0</v>
      </c>
      <c r="E99" s="15">
        <f t="shared" ca="1" si="3"/>
        <v>0</v>
      </c>
    </row>
    <row r="100" spans="1:5" x14ac:dyDescent="0.25">
      <c r="A100" s="8">
        <f ca="1">INDEX(Stations,INT((ROWS(A$2:A100)-1)/(DATE(YEAR(Invoer!$A$5),12,31)-DATE(YEAR(Invoer!$A$5),1,1)+1))+2,1)</f>
        <v>73</v>
      </c>
      <c r="B100" t="str">
        <f ca="1">TEXT(DATE(YEAR(Invoer!$A$5),1,1)+MOD(ROWS(B$2:B100)-1,DATE(YEAR(Invoer!$A$5),12,31)-DATE(YEAR(Invoer!$A$5),1,1)+1),"jjjjmmdd")</f>
        <v>19460409</v>
      </c>
      <c r="C100" s="9">
        <v>1</v>
      </c>
      <c r="D100" s="14">
        <f t="shared" ca="1" si="2"/>
        <v>0</v>
      </c>
      <c r="E100" s="15">
        <f t="shared" ca="1" si="3"/>
        <v>0</v>
      </c>
    </row>
    <row r="101" spans="1:5" x14ac:dyDescent="0.25">
      <c r="A101" s="8">
        <f ca="1">INDEX(Stations,INT((ROWS(A$2:A101)-1)/(DATE(YEAR(Invoer!$A$5),12,31)-DATE(YEAR(Invoer!$A$5),1,1)+1))+2,1)</f>
        <v>73</v>
      </c>
      <c r="B101" t="str">
        <f ca="1">TEXT(DATE(YEAR(Invoer!$A$5),1,1)+MOD(ROWS(B$2:B101)-1,DATE(YEAR(Invoer!$A$5),12,31)-DATE(YEAR(Invoer!$A$5),1,1)+1),"jjjjmmdd")</f>
        <v>19460410</v>
      </c>
      <c r="C101" s="9">
        <v>1</v>
      </c>
      <c r="D101" s="14">
        <f t="shared" ca="1" si="2"/>
        <v>0</v>
      </c>
      <c r="E101" s="15">
        <f t="shared" ca="1" si="3"/>
        <v>0</v>
      </c>
    </row>
    <row r="102" spans="1:5" x14ac:dyDescent="0.25">
      <c r="A102" s="8">
        <f ca="1">INDEX(Stations,INT((ROWS(A$2:A102)-1)/(DATE(YEAR(Invoer!$A$5),12,31)-DATE(YEAR(Invoer!$A$5),1,1)+1))+2,1)</f>
        <v>73</v>
      </c>
      <c r="B102" t="str">
        <f ca="1">TEXT(DATE(YEAR(Invoer!$A$5),1,1)+MOD(ROWS(B$2:B102)-1,DATE(YEAR(Invoer!$A$5),12,31)-DATE(YEAR(Invoer!$A$5),1,1)+1),"jjjjmmdd")</f>
        <v>19460411</v>
      </c>
      <c r="C102" s="9">
        <v>1</v>
      </c>
      <c r="D102" s="14">
        <f t="shared" ca="1" si="2"/>
        <v>0</v>
      </c>
      <c r="E102" s="15">
        <f t="shared" ca="1" si="3"/>
        <v>0</v>
      </c>
    </row>
    <row r="103" spans="1:5" x14ac:dyDescent="0.25">
      <c r="A103" s="8">
        <f ca="1">INDEX(Stations,INT((ROWS(A$2:A103)-1)/(DATE(YEAR(Invoer!$A$5),12,31)-DATE(YEAR(Invoer!$A$5),1,1)+1))+2,1)</f>
        <v>73</v>
      </c>
      <c r="B103" t="str">
        <f ca="1">TEXT(DATE(YEAR(Invoer!$A$5),1,1)+MOD(ROWS(B$2:B103)-1,DATE(YEAR(Invoer!$A$5),12,31)-DATE(YEAR(Invoer!$A$5),1,1)+1),"jjjjmmdd")</f>
        <v>19460412</v>
      </c>
      <c r="C103" s="9">
        <v>1</v>
      </c>
      <c r="D103" s="14">
        <f t="shared" ca="1" si="2"/>
        <v>0</v>
      </c>
      <c r="E103" s="15">
        <f t="shared" ca="1" si="3"/>
        <v>0</v>
      </c>
    </row>
    <row r="104" spans="1:5" x14ac:dyDescent="0.25">
      <c r="A104" s="8">
        <f ca="1">INDEX(Stations,INT((ROWS(A$2:A104)-1)/(DATE(YEAR(Invoer!$A$5),12,31)-DATE(YEAR(Invoer!$A$5),1,1)+1))+2,1)</f>
        <v>73</v>
      </c>
      <c r="B104" t="str">
        <f ca="1">TEXT(DATE(YEAR(Invoer!$A$5),1,1)+MOD(ROWS(B$2:B104)-1,DATE(YEAR(Invoer!$A$5),12,31)-DATE(YEAR(Invoer!$A$5),1,1)+1),"jjjjmmdd")</f>
        <v>19460413</v>
      </c>
      <c r="C104" s="9">
        <v>1</v>
      </c>
      <c r="D104" s="14">
        <f t="shared" ca="1" si="2"/>
        <v>0</v>
      </c>
      <c r="E104" s="15">
        <f t="shared" ca="1" si="3"/>
        <v>0</v>
      </c>
    </row>
    <row r="105" spans="1:5" x14ac:dyDescent="0.25">
      <c r="A105" s="8">
        <f ca="1">INDEX(Stations,INT((ROWS(A$2:A105)-1)/(DATE(YEAR(Invoer!$A$5),12,31)-DATE(YEAR(Invoer!$A$5),1,1)+1))+2,1)</f>
        <v>73</v>
      </c>
      <c r="B105" t="str">
        <f ca="1">TEXT(DATE(YEAR(Invoer!$A$5),1,1)+MOD(ROWS(B$2:B105)-1,DATE(YEAR(Invoer!$A$5),12,31)-DATE(YEAR(Invoer!$A$5),1,1)+1),"jjjjmmdd")</f>
        <v>19460414</v>
      </c>
      <c r="C105" s="9">
        <v>1</v>
      </c>
      <c r="D105" s="14">
        <f t="shared" ca="1" si="2"/>
        <v>0</v>
      </c>
      <c r="E105" s="15">
        <f t="shared" ca="1" si="3"/>
        <v>0</v>
      </c>
    </row>
    <row r="106" spans="1:5" x14ac:dyDescent="0.25">
      <c r="A106" s="8">
        <f ca="1">INDEX(Stations,INT((ROWS(A$2:A106)-1)/(DATE(YEAR(Invoer!$A$5),12,31)-DATE(YEAR(Invoer!$A$5),1,1)+1))+2,1)</f>
        <v>73</v>
      </c>
      <c r="B106" t="str">
        <f ca="1">TEXT(DATE(YEAR(Invoer!$A$5),1,1)+MOD(ROWS(B$2:B106)-1,DATE(YEAR(Invoer!$A$5),12,31)-DATE(YEAR(Invoer!$A$5),1,1)+1),"jjjjmmdd")</f>
        <v>19460415</v>
      </c>
      <c r="C106" s="9">
        <v>1</v>
      </c>
      <c r="D106" s="14">
        <f t="shared" ca="1" si="2"/>
        <v>12</v>
      </c>
      <c r="E106" s="15">
        <f t="shared" ca="1" si="3"/>
        <v>0</v>
      </c>
    </row>
    <row r="107" spans="1:5" x14ac:dyDescent="0.25">
      <c r="A107" s="8">
        <f ca="1">INDEX(Stations,INT((ROWS(A$2:A107)-1)/(DATE(YEAR(Invoer!$A$5),12,31)-DATE(YEAR(Invoer!$A$5),1,1)+1))+2,1)</f>
        <v>73</v>
      </c>
      <c r="B107" t="str">
        <f ca="1">TEXT(DATE(YEAR(Invoer!$A$5),1,1)+MOD(ROWS(B$2:B107)-1,DATE(YEAR(Invoer!$A$5),12,31)-DATE(YEAR(Invoer!$A$5),1,1)+1),"jjjjmmdd")</f>
        <v>19460416</v>
      </c>
      <c r="C107" s="9">
        <v>1</v>
      </c>
      <c r="D107" s="14">
        <f t="shared" ca="1" si="2"/>
        <v>0</v>
      </c>
      <c r="E107" s="15">
        <f t="shared" ca="1" si="3"/>
        <v>0</v>
      </c>
    </row>
    <row r="108" spans="1:5" x14ac:dyDescent="0.25">
      <c r="A108" s="8">
        <f ca="1">INDEX(Stations,INT((ROWS(A$2:A108)-1)/(DATE(YEAR(Invoer!$A$5),12,31)-DATE(YEAR(Invoer!$A$5),1,1)+1))+2,1)</f>
        <v>73</v>
      </c>
      <c r="B108" t="str">
        <f ca="1">TEXT(DATE(YEAR(Invoer!$A$5),1,1)+MOD(ROWS(B$2:B108)-1,DATE(YEAR(Invoer!$A$5),12,31)-DATE(YEAR(Invoer!$A$5),1,1)+1),"jjjjmmdd")</f>
        <v>19460417</v>
      </c>
      <c r="C108" s="9">
        <v>1</v>
      </c>
      <c r="D108" s="14">
        <f t="shared" ca="1" si="2"/>
        <v>0</v>
      </c>
      <c r="E108" s="15">
        <f t="shared" ca="1" si="3"/>
        <v>0</v>
      </c>
    </row>
    <row r="109" spans="1:5" x14ac:dyDescent="0.25">
      <c r="A109" s="8">
        <f ca="1">INDEX(Stations,INT((ROWS(A$2:A109)-1)/(DATE(YEAR(Invoer!$A$5),12,31)-DATE(YEAR(Invoer!$A$5),1,1)+1))+2,1)</f>
        <v>73</v>
      </c>
      <c r="B109" t="str">
        <f ca="1">TEXT(DATE(YEAR(Invoer!$A$5),1,1)+MOD(ROWS(B$2:B109)-1,DATE(YEAR(Invoer!$A$5),12,31)-DATE(YEAR(Invoer!$A$5),1,1)+1),"jjjjmmdd")</f>
        <v>19460418</v>
      </c>
      <c r="C109" s="9">
        <v>1</v>
      </c>
      <c r="D109" s="14">
        <f t="shared" ca="1" si="2"/>
        <v>0</v>
      </c>
      <c r="E109" s="15">
        <f t="shared" ca="1" si="3"/>
        <v>0</v>
      </c>
    </row>
    <row r="110" spans="1:5" x14ac:dyDescent="0.25">
      <c r="A110" s="8">
        <f ca="1">INDEX(Stations,INT((ROWS(A$2:A110)-1)/(DATE(YEAR(Invoer!$A$5),12,31)-DATE(YEAR(Invoer!$A$5),1,1)+1))+2,1)</f>
        <v>73</v>
      </c>
      <c r="B110" t="str">
        <f ca="1">TEXT(DATE(YEAR(Invoer!$A$5),1,1)+MOD(ROWS(B$2:B110)-1,DATE(YEAR(Invoer!$A$5),12,31)-DATE(YEAR(Invoer!$A$5),1,1)+1),"jjjjmmdd")</f>
        <v>19460419</v>
      </c>
      <c r="C110" s="9">
        <v>1</v>
      </c>
      <c r="D110" s="14">
        <f t="shared" ca="1" si="2"/>
        <v>0</v>
      </c>
      <c r="E110" s="15">
        <f t="shared" ca="1" si="3"/>
        <v>0</v>
      </c>
    </row>
    <row r="111" spans="1:5" x14ac:dyDescent="0.25">
      <c r="A111" s="8">
        <f ca="1">INDEX(Stations,INT((ROWS(A$2:A111)-1)/(DATE(YEAR(Invoer!$A$5),12,31)-DATE(YEAR(Invoer!$A$5),1,1)+1))+2,1)</f>
        <v>73</v>
      </c>
      <c r="B111" t="str">
        <f ca="1">TEXT(DATE(YEAR(Invoer!$A$5),1,1)+MOD(ROWS(B$2:B111)-1,DATE(YEAR(Invoer!$A$5),12,31)-DATE(YEAR(Invoer!$A$5),1,1)+1),"jjjjmmdd")</f>
        <v>19460420</v>
      </c>
      <c r="C111" s="9">
        <v>1</v>
      </c>
      <c r="D111" s="14">
        <f t="shared" ca="1" si="2"/>
        <v>39</v>
      </c>
      <c r="E111" s="15">
        <f t="shared" ca="1" si="3"/>
        <v>0</v>
      </c>
    </row>
    <row r="112" spans="1:5" x14ac:dyDescent="0.25">
      <c r="A112" s="8">
        <f ca="1">INDEX(Stations,INT((ROWS(A$2:A112)-1)/(DATE(YEAR(Invoer!$A$5),12,31)-DATE(YEAR(Invoer!$A$5),1,1)+1))+2,1)</f>
        <v>73</v>
      </c>
      <c r="B112" t="str">
        <f ca="1">TEXT(DATE(YEAR(Invoer!$A$5),1,1)+MOD(ROWS(B$2:B112)-1,DATE(YEAR(Invoer!$A$5),12,31)-DATE(YEAR(Invoer!$A$5),1,1)+1),"jjjjmmdd")</f>
        <v>19460421</v>
      </c>
      <c r="C112" s="9">
        <v>1</v>
      </c>
      <c r="D112" s="14">
        <f t="shared" ca="1" si="2"/>
        <v>0</v>
      </c>
      <c r="E112" s="15">
        <f t="shared" ca="1" si="3"/>
        <v>0</v>
      </c>
    </row>
    <row r="113" spans="1:5" x14ac:dyDescent="0.25">
      <c r="A113" s="8">
        <f ca="1">INDEX(Stations,INT((ROWS(A$2:A113)-1)/(DATE(YEAR(Invoer!$A$5),12,31)-DATE(YEAR(Invoer!$A$5),1,1)+1))+2,1)</f>
        <v>73</v>
      </c>
      <c r="B113" t="str">
        <f ca="1">TEXT(DATE(YEAR(Invoer!$A$5),1,1)+MOD(ROWS(B$2:B113)-1,DATE(YEAR(Invoer!$A$5),12,31)-DATE(YEAR(Invoer!$A$5),1,1)+1),"jjjjmmdd")</f>
        <v>19460422</v>
      </c>
      <c r="C113" s="9">
        <v>1</v>
      </c>
      <c r="D113" s="14">
        <f t="shared" ca="1" si="2"/>
        <v>0</v>
      </c>
      <c r="E113" s="15">
        <f t="shared" ca="1" si="3"/>
        <v>0</v>
      </c>
    </row>
    <row r="114" spans="1:5" x14ac:dyDescent="0.25">
      <c r="A114" s="8">
        <f ca="1">INDEX(Stations,INT((ROWS(A$2:A114)-1)/(DATE(YEAR(Invoer!$A$5),12,31)-DATE(YEAR(Invoer!$A$5),1,1)+1))+2,1)</f>
        <v>73</v>
      </c>
      <c r="B114" t="str">
        <f ca="1">TEXT(DATE(YEAR(Invoer!$A$5),1,1)+MOD(ROWS(B$2:B114)-1,DATE(YEAR(Invoer!$A$5),12,31)-DATE(YEAR(Invoer!$A$5),1,1)+1),"jjjjmmdd")</f>
        <v>19460423</v>
      </c>
      <c r="C114" s="9">
        <v>1</v>
      </c>
      <c r="D114" s="14">
        <f t="shared" ca="1" si="2"/>
        <v>0</v>
      </c>
      <c r="E114" s="15">
        <f t="shared" ca="1" si="3"/>
        <v>0</v>
      </c>
    </row>
    <row r="115" spans="1:5" x14ac:dyDescent="0.25">
      <c r="A115" s="8">
        <f ca="1">INDEX(Stations,INT((ROWS(A$2:A115)-1)/(DATE(YEAR(Invoer!$A$5),12,31)-DATE(YEAR(Invoer!$A$5),1,1)+1))+2,1)</f>
        <v>73</v>
      </c>
      <c r="B115" t="str">
        <f ca="1">TEXT(DATE(YEAR(Invoer!$A$5),1,1)+MOD(ROWS(B$2:B115)-1,DATE(YEAR(Invoer!$A$5),12,31)-DATE(YEAR(Invoer!$A$5),1,1)+1),"jjjjmmdd")</f>
        <v>19460424</v>
      </c>
      <c r="C115" s="9">
        <v>1</v>
      </c>
      <c r="D115" s="14">
        <f t="shared" ca="1" si="2"/>
        <v>0</v>
      </c>
      <c r="E115" s="15">
        <f t="shared" ca="1" si="3"/>
        <v>0</v>
      </c>
    </row>
    <row r="116" spans="1:5" x14ac:dyDescent="0.25">
      <c r="A116" s="8">
        <f ca="1">INDEX(Stations,INT((ROWS(A$2:A116)-1)/(DATE(YEAR(Invoer!$A$5),12,31)-DATE(YEAR(Invoer!$A$5),1,1)+1))+2,1)</f>
        <v>73</v>
      </c>
      <c r="B116" t="str">
        <f ca="1">TEXT(DATE(YEAR(Invoer!$A$5),1,1)+MOD(ROWS(B$2:B116)-1,DATE(YEAR(Invoer!$A$5),12,31)-DATE(YEAR(Invoer!$A$5),1,1)+1),"jjjjmmdd")</f>
        <v>19460425</v>
      </c>
      <c r="C116" s="9">
        <v>1</v>
      </c>
      <c r="D116" s="14">
        <f t="shared" ca="1" si="2"/>
        <v>0</v>
      </c>
      <c r="E116" s="15">
        <f t="shared" ca="1" si="3"/>
        <v>0</v>
      </c>
    </row>
    <row r="117" spans="1:5" x14ac:dyDescent="0.25">
      <c r="A117" s="8">
        <f ca="1">INDEX(Stations,INT((ROWS(A$2:A117)-1)/(DATE(YEAR(Invoer!$A$5),12,31)-DATE(YEAR(Invoer!$A$5),1,1)+1))+2,1)</f>
        <v>73</v>
      </c>
      <c r="B117" t="str">
        <f ca="1">TEXT(DATE(YEAR(Invoer!$A$5),1,1)+MOD(ROWS(B$2:B117)-1,DATE(YEAR(Invoer!$A$5),12,31)-DATE(YEAR(Invoer!$A$5),1,1)+1),"jjjjmmdd")</f>
        <v>19460426</v>
      </c>
      <c r="C117" s="9">
        <v>1</v>
      </c>
      <c r="D117" s="14">
        <f t="shared" ca="1" si="2"/>
        <v>0</v>
      </c>
      <c r="E117" s="15">
        <f t="shared" ca="1" si="3"/>
        <v>0</v>
      </c>
    </row>
    <row r="118" spans="1:5" x14ac:dyDescent="0.25">
      <c r="A118" s="8">
        <f ca="1">INDEX(Stations,INT((ROWS(A$2:A118)-1)/(DATE(YEAR(Invoer!$A$5),12,31)-DATE(YEAR(Invoer!$A$5),1,1)+1))+2,1)</f>
        <v>73</v>
      </c>
      <c r="B118" t="str">
        <f ca="1">TEXT(DATE(YEAR(Invoer!$A$5),1,1)+MOD(ROWS(B$2:B118)-1,DATE(YEAR(Invoer!$A$5),12,31)-DATE(YEAR(Invoer!$A$5),1,1)+1),"jjjjmmdd")</f>
        <v>19460427</v>
      </c>
      <c r="C118" s="9">
        <v>1</v>
      </c>
      <c r="D118" s="14">
        <f t="shared" ca="1" si="2"/>
        <v>0</v>
      </c>
      <c r="E118" s="15">
        <f t="shared" ca="1" si="3"/>
        <v>0</v>
      </c>
    </row>
    <row r="119" spans="1:5" x14ac:dyDescent="0.25">
      <c r="A119" s="8">
        <f ca="1">INDEX(Stations,INT((ROWS(A$2:A119)-1)/(DATE(YEAR(Invoer!$A$5),12,31)-DATE(YEAR(Invoer!$A$5),1,1)+1))+2,1)</f>
        <v>73</v>
      </c>
      <c r="B119" t="str">
        <f ca="1">TEXT(DATE(YEAR(Invoer!$A$5),1,1)+MOD(ROWS(B$2:B119)-1,DATE(YEAR(Invoer!$A$5),12,31)-DATE(YEAR(Invoer!$A$5),1,1)+1),"jjjjmmdd")</f>
        <v>19460428</v>
      </c>
      <c r="C119" s="9">
        <v>1</v>
      </c>
      <c r="D119" s="14">
        <f t="shared" ca="1" si="2"/>
        <v>0</v>
      </c>
      <c r="E119" s="15">
        <f t="shared" ca="1" si="3"/>
        <v>0</v>
      </c>
    </row>
    <row r="120" spans="1:5" x14ac:dyDescent="0.25">
      <c r="A120" s="8">
        <f ca="1">INDEX(Stations,INT((ROWS(A$2:A120)-1)/(DATE(YEAR(Invoer!$A$5),12,31)-DATE(YEAR(Invoer!$A$5),1,1)+1))+2,1)</f>
        <v>73</v>
      </c>
      <c r="B120" t="str">
        <f ca="1">TEXT(DATE(YEAR(Invoer!$A$5),1,1)+MOD(ROWS(B$2:B120)-1,DATE(YEAR(Invoer!$A$5),12,31)-DATE(YEAR(Invoer!$A$5),1,1)+1),"jjjjmmdd")</f>
        <v>19460429</v>
      </c>
      <c r="C120" s="9">
        <v>1</v>
      </c>
      <c r="D120" s="14">
        <f t="shared" ca="1" si="2"/>
        <v>332</v>
      </c>
      <c r="E120" s="15">
        <f t="shared" ca="1" si="3"/>
        <v>0</v>
      </c>
    </row>
    <row r="121" spans="1:5" x14ac:dyDescent="0.25">
      <c r="A121" s="8">
        <f ca="1">INDEX(Stations,INT((ROWS(A$2:A121)-1)/(DATE(YEAR(Invoer!$A$5),12,31)-DATE(YEAR(Invoer!$A$5),1,1)+1))+2,1)</f>
        <v>73</v>
      </c>
      <c r="B121" t="str">
        <f ca="1">TEXT(DATE(YEAR(Invoer!$A$5),1,1)+MOD(ROWS(B$2:B121)-1,DATE(YEAR(Invoer!$A$5),12,31)-DATE(YEAR(Invoer!$A$5),1,1)+1),"jjjjmmdd")</f>
        <v>19460430</v>
      </c>
      <c r="C121" s="9">
        <v>1</v>
      </c>
      <c r="D121" s="14">
        <f t="shared" ca="1" si="2"/>
        <v>0</v>
      </c>
      <c r="E121" s="15">
        <f t="shared" ca="1" si="3"/>
        <v>0</v>
      </c>
    </row>
    <row r="122" spans="1:5" x14ac:dyDescent="0.25">
      <c r="A122" s="8">
        <f ca="1">INDEX(Stations,INT((ROWS(A$2:A122)-1)/(DATE(YEAR(Invoer!$A$5),12,31)-DATE(YEAR(Invoer!$A$5),1,1)+1))+2,1)</f>
        <v>73</v>
      </c>
      <c r="B122" t="str">
        <f ca="1">TEXT(DATE(YEAR(Invoer!$A$5),1,1)+MOD(ROWS(B$2:B122)-1,DATE(YEAR(Invoer!$A$5),12,31)-DATE(YEAR(Invoer!$A$5),1,1)+1),"jjjjmmdd")</f>
        <v>19460501</v>
      </c>
      <c r="C122" s="9">
        <v>1</v>
      </c>
      <c r="D122" s="14">
        <f t="shared" ca="1" si="2"/>
        <v>24</v>
      </c>
      <c r="E122" s="15">
        <f t="shared" ca="1" si="3"/>
        <v>0</v>
      </c>
    </row>
    <row r="123" spans="1:5" x14ac:dyDescent="0.25">
      <c r="A123" s="8">
        <f ca="1">INDEX(Stations,INT((ROWS(A$2:A123)-1)/(DATE(YEAR(Invoer!$A$5),12,31)-DATE(YEAR(Invoer!$A$5),1,1)+1))+2,1)</f>
        <v>73</v>
      </c>
      <c r="B123" t="str">
        <f ca="1">TEXT(DATE(YEAR(Invoer!$A$5),1,1)+MOD(ROWS(B$2:B123)-1,DATE(YEAR(Invoer!$A$5),12,31)-DATE(YEAR(Invoer!$A$5),1,1)+1),"jjjjmmdd")</f>
        <v>19460502</v>
      </c>
      <c r="C123" s="9">
        <v>1</v>
      </c>
      <c r="D123" s="14">
        <f t="shared" ca="1" si="2"/>
        <v>30</v>
      </c>
      <c r="E123" s="15">
        <f t="shared" ca="1" si="3"/>
        <v>0</v>
      </c>
    </row>
    <row r="124" spans="1:5" x14ac:dyDescent="0.25">
      <c r="A124" s="8">
        <f ca="1">INDEX(Stations,INT((ROWS(A$2:A124)-1)/(DATE(YEAR(Invoer!$A$5),12,31)-DATE(YEAR(Invoer!$A$5),1,1)+1))+2,1)</f>
        <v>73</v>
      </c>
      <c r="B124" t="str">
        <f ca="1">TEXT(DATE(YEAR(Invoer!$A$5),1,1)+MOD(ROWS(B$2:B124)-1,DATE(YEAR(Invoer!$A$5),12,31)-DATE(YEAR(Invoer!$A$5),1,1)+1),"jjjjmmdd")</f>
        <v>19460503</v>
      </c>
      <c r="C124" s="9">
        <v>1</v>
      </c>
      <c r="D124" s="14">
        <f t="shared" ca="1" si="2"/>
        <v>0</v>
      </c>
      <c r="E124" s="15">
        <f t="shared" ca="1" si="3"/>
        <v>0</v>
      </c>
    </row>
    <row r="125" spans="1:5" x14ac:dyDescent="0.25">
      <c r="A125" s="8">
        <f ca="1">INDEX(Stations,INT((ROWS(A$2:A125)-1)/(DATE(YEAR(Invoer!$A$5),12,31)-DATE(YEAR(Invoer!$A$5),1,1)+1))+2,1)</f>
        <v>73</v>
      </c>
      <c r="B125" t="str">
        <f ca="1">TEXT(DATE(YEAR(Invoer!$A$5),1,1)+MOD(ROWS(B$2:B125)-1,DATE(YEAR(Invoer!$A$5),12,31)-DATE(YEAR(Invoer!$A$5),1,1)+1),"jjjjmmdd")</f>
        <v>19460504</v>
      </c>
      <c r="C125" s="9">
        <v>1</v>
      </c>
      <c r="D125" s="14">
        <f t="shared" ca="1" si="2"/>
        <v>0</v>
      </c>
      <c r="E125" s="15">
        <f t="shared" ca="1" si="3"/>
        <v>0</v>
      </c>
    </row>
    <row r="126" spans="1:5" x14ac:dyDescent="0.25">
      <c r="A126" s="8">
        <f ca="1">INDEX(Stations,INT((ROWS(A$2:A126)-1)/(DATE(YEAR(Invoer!$A$5),12,31)-DATE(YEAR(Invoer!$A$5),1,1)+1))+2,1)</f>
        <v>73</v>
      </c>
      <c r="B126" t="str">
        <f ca="1">TEXT(DATE(YEAR(Invoer!$A$5),1,1)+MOD(ROWS(B$2:B126)-1,DATE(YEAR(Invoer!$A$5),12,31)-DATE(YEAR(Invoer!$A$5),1,1)+1),"jjjjmmdd")</f>
        <v>19460505</v>
      </c>
      <c r="C126" s="9">
        <v>1</v>
      </c>
      <c r="D126" s="14">
        <f t="shared" ca="1" si="2"/>
        <v>0</v>
      </c>
      <c r="E126" s="15">
        <f t="shared" ca="1" si="3"/>
        <v>0</v>
      </c>
    </row>
    <row r="127" spans="1:5" x14ac:dyDescent="0.25">
      <c r="A127" s="8">
        <f ca="1">INDEX(Stations,INT((ROWS(A$2:A127)-1)/(DATE(YEAR(Invoer!$A$5),12,31)-DATE(YEAR(Invoer!$A$5),1,1)+1))+2,1)</f>
        <v>73</v>
      </c>
      <c r="B127" t="str">
        <f ca="1">TEXT(DATE(YEAR(Invoer!$A$5),1,1)+MOD(ROWS(B$2:B127)-1,DATE(YEAR(Invoer!$A$5),12,31)-DATE(YEAR(Invoer!$A$5),1,1)+1),"jjjjmmdd")</f>
        <v>19460506</v>
      </c>
      <c r="C127" s="9">
        <v>1</v>
      </c>
      <c r="D127" s="14">
        <f t="shared" ca="1" si="2"/>
        <v>0</v>
      </c>
      <c r="E127" s="15">
        <f t="shared" ca="1" si="3"/>
        <v>0</v>
      </c>
    </row>
    <row r="128" spans="1:5" x14ac:dyDescent="0.25">
      <c r="A128" s="8">
        <f ca="1">INDEX(Stations,INT((ROWS(A$2:A128)-1)/(DATE(YEAR(Invoer!$A$5),12,31)-DATE(YEAR(Invoer!$A$5),1,1)+1))+2,1)</f>
        <v>73</v>
      </c>
      <c r="B128" t="str">
        <f ca="1">TEXT(DATE(YEAR(Invoer!$A$5),1,1)+MOD(ROWS(B$2:B128)-1,DATE(YEAR(Invoer!$A$5),12,31)-DATE(YEAR(Invoer!$A$5),1,1)+1),"jjjjmmdd")</f>
        <v>19460507</v>
      </c>
      <c r="C128" s="9">
        <v>1</v>
      </c>
      <c r="D128" s="14">
        <f t="shared" ca="1" si="2"/>
        <v>0</v>
      </c>
      <c r="E128" s="15">
        <f t="shared" ca="1" si="3"/>
        <v>0</v>
      </c>
    </row>
    <row r="129" spans="1:5" x14ac:dyDescent="0.25">
      <c r="A129" s="8">
        <f ca="1">INDEX(Stations,INT((ROWS(A$2:A129)-1)/(DATE(YEAR(Invoer!$A$5),12,31)-DATE(YEAR(Invoer!$A$5),1,1)+1))+2,1)</f>
        <v>73</v>
      </c>
      <c r="B129" t="str">
        <f ca="1">TEXT(DATE(YEAR(Invoer!$A$5),1,1)+MOD(ROWS(B$2:B129)-1,DATE(YEAR(Invoer!$A$5),12,31)-DATE(YEAR(Invoer!$A$5),1,1)+1),"jjjjmmdd")</f>
        <v>19460508</v>
      </c>
      <c r="C129" s="9">
        <v>1</v>
      </c>
      <c r="D129" s="14">
        <f t="shared" ca="1" si="2"/>
        <v>0</v>
      </c>
      <c r="E129" s="15">
        <f t="shared" ca="1" si="3"/>
        <v>0</v>
      </c>
    </row>
    <row r="130" spans="1:5" x14ac:dyDescent="0.25">
      <c r="A130" s="8">
        <f ca="1">INDEX(Stations,INT((ROWS(A$2:A130)-1)/(DATE(YEAR(Invoer!$A$5),12,31)-DATE(YEAR(Invoer!$A$5),1,1)+1))+2,1)</f>
        <v>73</v>
      </c>
      <c r="B130" t="str">
        <f ca="1">TEXT(DATE(YEAR(Invoer!$A$5),1,1)+MOD(ROWS(B$2:B130)-1,DATE(YEAR(Invoer!$A$5),12,31)-DATE(YEAR(Invoer!$A$5),1,1)+1),"jjjjmmdd")</f>
        <v>19460509</v>
      </c>
      <c r="C130" s="9">
        <v>1</v>
      </c>
      <c r="D130" s="14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5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8">
        <f ca="1">INDEX(Stations,INT((ROWS(A$2:A131)-1)/(DATE(YEAR(Invoer!$A$5),12,31)-DATE(YEAR(Invoer!$A$5),1,1)+1))+2,1)</f>
        <v>73</v>
      </c>
      <c r="B131" t="str">
        <f ca="1">TEXT(DATE(YEAR(Invoer!$A$5),1,1)+MOD(ROWS(B$2:B131)-1,DATE(YEAR(Invoer!$A$5),12,31)-DATE(YEAR(Invoer!$A$5),1,1)+1),"jjjjmmdd")</f>
        <v>19460510</v>
      </c>
      <c r="C131" s="9">
        <v>1</v>
      </c>
      <c r="D131" s="14">
        <f t="shared" ca="1" si="4"/>
        <v>0</v>
      </c>
      <c r="E131" s="15">
        <f t="shared" ca="1" si="5"/>
        <v>0</v>
      </c>
    </row>
    <row r="132" spans="1:5" x14ac:dyDescent="0.25">
      <c r="A132" s="8">
        <f ca="1">INDEX(Stations,INT((ROWS(A$2:A132)-1)/(DATE(YEAR(Invoer!$A$5),12,31)-DATE(YEAR(Invoer!$A$5),1,1)+1))+2,1)</f>
        <v>73</v>
      </c>
      <c r="B132" t="str">
        <f ca="1">TEXT(DATE(YEAR(Invoer!$A$5),1,1)+MOD(ROWS(B$2:B132)-1,DATE(YEAR(Invoer!$A$5),12,31)-DATE(YEAR(Invoer!$A$5),1,1)+1),"jjjjmmdd")</f>
        <v>19460511</v>
      </c>
      <c r="C132" s="9">
        <v>1</v>
      </c>
      <c r="D132" s="14">
        <f t="shared" ca="1" si="4"/>
        <v>0</v>
      </c>
      <c r="E132" s="15">
        <f t="shared" ca="1" si="5"/>
        <v>0</v>
      </c>
    </row>
    <row r="133" spans="1:5" x14ac:dyDescent="0.25">
      <c r="A133" s="8">
        <f ca="1">INDEX(Stations,INT((ROWS(A$2:A133)-1)/(DATE(YEAR(Invoer!$A$5),12,31)-DATE(YEAR(Invoer!$A$5),1,1)+1))+2,1)</f>
        <v>73</v>
      </c>
      <c r="B133" t="str">
        <f ca="1">TEXT(DATE(YEAR(Invoer!$A$5),1,1)+MOD(ROWS(B$2:B133)-1,DATE(YEAR(Invoer!$A$5),12,31)-DATE(YEAR(Invoer!$A$5),1,1)+1),"jjjjmmdd")</f>
        <v>19460512</v>
      </c>
      <c r="C133" s="9">
        <v>1</v>
      </c>
      <c r="D133" s="14">
        <f t="shared" ca="1" si="4"/>
        <v>0</v>
      </c>
      <c r="E133" s="15">
        <f t="shared" ca="1" si="5"/>
        <v>0</v>
      </c>
    </row>
    <row r="134" spans="1:5" x14ac:dyDescent="0.25">
      <c r="A134" s="8">
        <f ca="1">INDEX(Stations,INT((ROWS(A$2:A134)-1)/(DATE(YEAR(Invoer!$A$5),12,31)-DATE(YEAR(Invoer!$A$5),1,1)+1))+2,1)</f>
        <v>73</v>
      </c>
      <c r="B134" t="str">
        <f ca="1">TEXT(DATE(YEAR(Invoer!$A$5),1,1)+MOD(ROWS(B$2:B134)-1,DATE(YEAR(Invoer!$A$5),12,31)-DATE(YEAR(Invoer!$A$5),1,1)+1),"jjjjmmdd")</f>
        <v>19460513</v>
      </c>
      <c r="C134" s="9">
        <v>1</v>
      </c>
      <c r="D134" s="14">
        <f t="shared" ca="1" si="4"/>
        <v>5</v>
      </c>
      <c r="E134" s="15">
        <f t="shared" ca="1" si="5"/>
        <v>0</v>
      </c>
    </row>
    <row r="135" spans="1:5" x14ac:dyDescent="0.25">
      <c r="A135" s="8">
        <f ca="1">INDEX(Stations,INT((ROWS(A$2:A135)-1)/(DATE(YEAR(Invoer!$A$5),12,31)-DATE(YEAR(Invoer!$A$5),1,1)+1))+2,1)</f>
        <v>73</v>
      </c>
      <c r="B135" t="str">
        <f ca="1">TEXT(DATE(YEAR(Invoer!$A$5),1,1)+MOD(ROWS(B$2:B135)-1,DATE(YEAR(Invoer!$A$5),12,31)-DATE(YEAR(Invoer!$A$5),1,1)+1),"jjjjmmdd")</f>
        <v>19460514</v>
      </c>
      <c r="C135" s="9">
        <v>1</v>
      </c>
      <c r="D135" s="14">
        <f t="shared" ca="1" si="4"/>
        <v>0</v>
      </c>
      <c r="E135" s="15">
        <f t="shared" ca="1" si="5"/>
        <v>0</v>
      </c>
    </row>
    <row r="136" spans="1:5" x14ac:dyDescent="0.25">
      <c r="A136" s="8">
        <f ca="1">INDEX(Stations,INT((ROWS(A$2:A136)-1)/(DATE(YEAR(Invoer!$A$5),12,31)-DATE(YEAR(Invoer!$A$5),1,1)+1))+2,1)</f>
        <v>73</v>
      </c>
      <c r="B136" t="str">
        <f ca="1">TEXT(DATE(YEAR(Invoer!$A$5),1,1)+MOD(ROWS(B$2:B136)-1,DATE(YEAR(Invoer!$A$5),12,31)-DATE(YEAR(Invoer!$A$5),1,1)+1),"jjjjmmdd")</f>
        <v>19460515</v>
      </c>
      <c r="C136" s="9">
        <v>1</v>
      </c>
      <c r="D136" s="14">
        <f t="shared" ca="1" si="4"/>
        <v>0</v>
      </c>
      <c r="E136" s="15">
        <f t="shared" ca="1" si="5"/>
        <v>0</v>
      </c>
    </row>
    <row r="137" spans="1:5" x14ac:dyDescent="0.25">
      <c r="A137" s="8">
        <f ca="1">INDEX(Stations,INT((ROWS(A$2:A137)-1)/(DATE(YEAR(Invoer!$A$5),12,31)-DATE(YEAR(Invoer!$A$5),1,1)+1))+2,1)</f>
        <v>73</v>
      </c>
      <c r="B137" t="str">
        <f ca="1">TEXT(DATE(YEAR(Invoer!$A$5),1,1)+MOD(ROWS(B$2:B137)-1,DATE(YEAR(Invoer!$A$5),12,31)-DATE(YEAR(Invoer!$A$5),1,1)+1),"jjjjmmdd")</f>
        <v>19460516</v>
      </c>
      <c r="C137" s="9">
        <v>1</v>
      </c>
      <c r="D137" s="14">
        <f t="shared" ca="1" si="4"/>
        <v>0</v>
      </c>
      <c r="E137" s="15">
        <f t="shared" ca="1" si="5"/>
        <v>0</v>
      </c>
    </row>
    <row r="138" spans="1:5" x14ac:dyDescent="0.25">
      <c r="A138" s="8">
        <f ca="1">INDEX(Stations,INT((ROWS(A$2:A138)-1)/(DATE(YEAR(Invoer!$A$5),12,31)-DATE(YEAR(Invoer!$A$5),1,1)+1))+2,1)</f>
        <v>73</v>
      </c>
      <c r="B138" t="str">
        <f ca="1">TEXT(DATE(YEAR(Invoer!$A$5),1,1)+MOD(ROWS(B$2:B138)-1,DATE(YEAR(Invoer!$A$5),12,31)-DATE(YEAR(Invoer!$A$5),1,1)+1),"jjjjmmdd")</f>
        <v>19460517</v>
      </c>
      <c r="C138" s="9">
        <v>1</v>
      </c>
      <c r="D138" s="14">
        <f t="shared" ca="1" si="4"/>
        <v>0</v>
      </c>
      <c r="E138" s="15">
        <f t="shared" ca="1" si="5"/>
        <v>0</v>
      </c>
    </row>
    <row r="139" spans="1:5" x14ac:dyDescent="0.25">
      <c r="A139" s="8">
        <f ca="1">INDEX(Stations,INT((ROWS(A$2:A139)-1)/(DATE(YEAR(Invoer!$A$5),12,31)-DATE(YEAR(Invoer!$A$5),1,1)+1))+2,1)</f>
        <v>73</v>
      </c>
      <c r="B139" t="str">
        <f ca="1">TEXT(DATE(YEAR(Invoer!$A$5),1,1)+MOD(ROWS(B$2:B139)-1,DATE(YEAR(Invoer!$A$5),12,31)-DATE(YEAR(Invoer!$A$5),1,1)+1),"jjjjmmdd")</f>
        <v>19460518</v>
      </c>
      <c r="C139" s="9">
        <v>1</v>
      </c>
      <c r="D139" s="14">
        <f t="shared" ca="1" si="4"/>
        <v>0</v>
      </c>
      <c r="E139" s="15">
        <f t="shared" ca="1" si="5"/>
        <v>0</v>
      </c>
    </row>
    <row r="140" spans="1:5" x14ac:dyDescent="0.25">
      <c r="A140" s="8">
        <f ca="1">INDEX(Stations,INT((ROWS(A$2:A140)-1)/(DATE(YEAR(Invoer!$A$5),12,31)-DATE(YEAR(Invoer!$A$5),1,1)+1))+2,1)</f>
        <v>73</v>
      </c>
      <c r="B140" t="str">
        <f ca="1">TEXT(DATE(YEAR(Invoer!$A$5),1,1)+MOD(ROWS(B$2:B140)-1,DATE(YEAR(Invoer!$A$5),12,31)-DATE(YEAR(Invoer!$A$5),1,1)+1),"jjjjmmdd")</f>
        <v>19460519</v>
      </c>
      <c r="C140" s="9">
        <v>1</v>
      </c>
      <c r="D140" s="14">
        <f t="shared" ca="1" si="4"/>
        <v>0</v>
      </c>
      <c r="E140" s="15">
        <f t="shared" ca="1" si="5"/>
        <v>0</v>
      </c>
    </row>
    <row r="141" spans="1:5" x14ac:dyDescent="0.25">
      <c r="A141" s="8">
        <f ca="1">INDEX(Stations,INT((ROWS(A$2:A141)-1)/(DATE(YEAR(Invoer!$A$5),12,31)-DATE(YEAR(Invoer!$A$5),1,1)+1))+2,1)</f>
        <v>73</v>
      </c>
      <c r="B141" t="str">
        <f ca="1">TEXT(DATE(YEAR(Invoer!$A$5),1,1)+MOD(ROWS(B$2:B141)-1,DATE(YEAR(Invoer!$A$5),12,31)-DATE(YEAR(Invoer!$A$5),1,1)+1),"jjjjmmdd")</f>
        <v>19460520</v>
      </c>
      <c r="C141" s="9">
        <v>1</v>
      </c>
      <c r="D141" s="14">
        <f t="shared" ca="1" si="4"/>
        <v>0</v>
      </c>
      <c r="E141" s="15">
        <f t="shared" ca="1" si="5"/>
        <v>0</v>
      </c>
    </row>
    <row r="142" spans="1:5" x14ac:dyDescent="0.25">
      <c r="A142" s="8">
        <f ca="1">INDEX(Stations,INT((ROWS(A$2:A142)-1)/(DATE(YEAR(Invoer!$A$5),12,31)-DATE(YEAR(Invoer!$A$5),1,1)+1))+2,1)</f>
        <v>73</v>
      </c>
      <c r="B142" t="str">
        <f ca="1">TEXT(DATE(YEAR(Invoer!$A$5),1,1)+MOD(ROWS(B$2:B142)-1,DATE(YEAR(Invoer!$A$5),12,31)-DATE(YEAR(Invoer!$A$5),1,1)+1),"jjjjmmdd")</f>
        <v>19460521</v>
      </c>
      <c r="C142" s="9">
        <v>1</v>
      </c>
      <c r="D142" s="14">
        <f t="shared" ca="1" si="4"/>
        <v>0</v>
      </c>
      <c r="E142" s="15">
        <f t="shared" ca="1" si="5"/>
        <v>0</v>
      </c>
    </row>
    <row r="143" spans="1:5" x14ac:dyDescent="0.25">
      <c r="A143" s="8">
        <f ca="1">INDEX(Stations,INT((ROWS(A$2:A143)-1)/(DATE(YEAR(Invoer!$A$5),12,31)-DATE(YEAR(Invoer!$A$5),1,1)+1))+2,1)</f>
        <v>73</v>
      </c>
      <c r="B143" t="str">
        <f ca="1">TEXT(DATE(YEAR(Invoer!$A$5),1,1)+MOD(ROWS(B$2:B143)-1,DATE(YEAR(Invoer!$A$5),12,31)-DATE(YEAR(Invoer!$A$5),1,1)+1),"jjjjmmdd")</f>
        <v>19460522</v>
      </c>
      <c r="C143" s="9">
        <v>1</v>
      </c>
      <c r="D143" s="14">
        <f t="shared" ca="1" si="4"/>
        <v>0</v>
      </c>
      <c r="E143" s="15">
        <f t="shared" ca="1" si="5"/>
        <v>0</v>
      </c>
    </row>
    <row r="144" spans="1:5" x14ac:dyDescent="0.25">
      <c r="A144" s="8">
        <f ca="1">INDEX(Stations,INT((ROWS(A$2:A144)-1)/(DATE(YEAR(Invoer!$A$5),12,31)-DATE(YEAR(Invoer!$A$5),1,1)+1))+2,1)</f>
        <v>73</v>
      </c>
      <c r="B144" t="str">
        <f ca="1">TEXT(DATE(YEAR(Invoer!$A$5),1,1)+MOD(ROWS(B$2:B144)-1,DATE(YEAR(Invoer!$A$5),12,31)-DATE(YEAR(Invoer!$A$5),1,1)+1),"jjjjmmdd")</f>
        <v>19460523</v>
      </c>
      <c r="C144" s="9">
        <v>1</v>
      </c>
      <c r="D144" s="14">
        <f t="shared" ca="1" si="4"/>
        <v>0</v>
      </c>
      <c r="E144" s="15">
        <f t="shared" ca="1" si="5"/>
        <v>0</v>
      </c>
    </row>
    <row r="145" spans="1:5" x14ac:dyDescent="0.25">
      <c r="A145" s="8">
        <f ca="1">INDEX(Stations,INT((ROWS(A$2:A145)-1)/(DATE(YEAR(Invoer!$A$5),12,31)-DATE(YEAR(Invoer!$A$5),1,1)+1))+2,1)</f>
        <v>73</v>
      </c>
      <c r="B145" t="str">
        <f ca="1">TEXT(DATE(YEAR(Invoer!$A$5),1,1)+MOD(ROWS(B$2:B145)-1,DATE(YEAR(Invoer!$A$5),12,31)-DATE(YEAR(Invoer!$A$5),1,1)+1),"jjjjmmdd")</f>
        <v>19460524</v>
      </c>
      <c r="C145" s="9">
        <v>1</v>
      </c>
      <c r="D145" s="14">
        <f t="shared" ca="1" si="4"/>
        <v>34</v>
      </c>
      <c r="E145" s="15">
        <f t="shared" ca="1" si="5"/>
        <v>0</v>
      </c>
    </row>
    <row r="146" spans="1:5" x14ac:dyDescent="0.25">
      <c r="A146" s="8">
        <f ca="1">INDEX(Stations,INT((ROWS(A$2:A146)-1)/(DATE(YEAR(Invoer!$A$5),12,31)-DATE(YEAR(Invoer!$A$5),1,1)+1))+2,1)</f>
        <v>73</v>
      </c>
      <c r="B146" t="str">
        <f ca="1">TEXT(DATE(YEAR(Invoer!$A$5),1,1)+MOD(ROWS(B$2:B146)-1,DATE(YEAR(Invoer!$A$5),12,31)-DATE(YEAR(Invoer!$A$5),1,1)+1),"jjjjmmdd")</f>
        <v>19460525</v>
      </c>
      <c r="C146" s="9">
        <v>1</v>
      </c>
      <c r="D146" s="14">
        <f t="shared" ca="1" si="4"/>
        <v>0</v>
      </c>
      <c r="E146" s="15">
        <f t="shared" ca="1" si="5"/>
        <v>0</v>
      </c>
    </row>
    <row r="147" spans="1:5" x14ac:dyDescent="0.25">
      <c r="A147" s="8">
        <f ca="1">INDEX(Stations,INT((ROWS(A$2:A147)-1)/(DATE(YEAR(Invoer!$A$5),12,31)-DATE(YEAR(Invoer!$A$5),1,1)+1))+2,1)</f>
        <v>73</v>
      </c>
      <c r="B147" t="str">
        <f ca="1">TEXT(DATE(YEAR(Invoer!$A$5),1,1)+MOD(ROWS(B$2:B147)-1,DATE(YEAR(Invoer!$A$5),12,31)-DATE(YEAR(Invoer!$A$5),1,1)+1),"jjjjmmdd")</f>
        <v>19460526</v>
      </c>
      <c r="C147" s="9">
        <v>1</v>
      </c>
      <c r="D147" s="14">
        <f t="shared" ca="1" si="4"/>
        <v>48</v>
      </c>
      <c r="E147" s="15">
        <f t="shared" ca="1" si="5"/>
        <v>0</v>
      </c>
    </row>
    <row r="148" spans="1:5" x14ac:dyDescent="0.25">
      <c r="A148" s="8">
        <f ca="1">INDEX(Stations,INT((ROWS(A$2:A148)-1)/(DATE(YEAR(Invoer!$A$5),12,31)-DATE(YEAR(Invoer!$A$5),1,1)+1))+2,1)</f>
        <v>73</v>
      </c>
      <c r="B148" t="str">
        <f ca="1">TEXT(DATE(YEAR(Invoer!$A$5),1,1)+MOD(ROWS(B$2:B148)-1,DATE(YEAR(Invoer!$A$5),12,31)-DATE(YEAR(Invoer!$A$5),1,1)+1),"jjjjmmdd")</f>
        <v>19460527</v>
      </c>
      <c r="C148" s="9">
        <v>1</v>
      </c>
      <c r="D148" s="14">
        <f t="shared" ca="1" si="4"/>
        <v>0</v>
      </c>
      <c r="E148" s="15">
        <f t="shared" ca="1" si="5"/>
        <v>0</v>
      </c>
    </row>
    <row r="149" spans="1:5" x14ac:dyDescent="0.25">
      <c r="A149" s="8">
        <f ca="1">INDEX(Stations,INT((ROWS(A$2:A149)-1)/(DATE(YEAR(Invoer!$A$5),12,31)-DATE(YEAR(Invoer!$A$5),1,1)+1))+2,1)</f>
        <v>73</v>
      </c>
      <c r="B149" t="str">
        <f ca="1">TEXT(DATE(YEAR(Invoer!$A$5),1,1)+MOD(ROWS(B$2:B149)-1,DATE(YEAR(Invoer!$A$5),12,31)-DATE(YEAR(Invoer!$A$5),1,1)+1),"jjjjmmdd")</f>
        <v>19460528</v>
      </c>
      <c r="C149" s="9">
        <v>1</v>
      </c>
      <c r="D149" s="14">
        <f t="shared" ca="1" si="4"/>
        <v>0</v>
      </c>
      <c r="E149" s="15">
        <f t="shared" ca="1" si="5"/>
        <v>0</v>
      </c>
    </row>
    <row r="150" spans="1:5" x14ac:dyDescent="0.25">
      <c r="A150" s="8">
        <f ca="1">INDEX(Stations,INT((ROWS(A$2:A150)-1)/(DATE(YEAR(Invoer!$A$5),12,31)-DATE(YEAR(Invoer!$A$5),1,1)+1))+2,1)</f>
        <v>73</v>
      </c>
      <c r="B150" t="str">
        <f ca="1">TEXT(DATE(YEAR(Invoer!$A$5),1,1)+MOD(ROWS(B$2:B150)-1,DATE(YEAR(Invoer!$A$5),12,31)-DATE(YEAR(Invoer!$A$5),1,1)+1),"jjjjmmdd")</f>
        <v>19460529</v>
      </c>
      <c r="C150" s="9">
        <v>1</v>
      </c>
      <c r="D150" s="14">
        <f t="shared" ca="1" si="4"/>
        <v>0</v>
      </c>
      <c r="E150" s="15">
        <f t="shared" ca="1" si="5"/>
        <v>0</v>
      </c>
    </row>
    <row r="151" spans="1:5" x14ac:dyDescent="0.25">
      <c r="A151" s="8">
        <f ca="1">INDEX(Stations,INT((ROWS(A$2:A151)-1)/(DATE(YEAR(Invoer!$A$5),12,31)-DATE(YEAR(Invoer!$A$5),1,1)+1))+2,1)</f>
        <v>73</v>
      </c>
      <c r="B151" t="str">
        <f ca="1">TEXT(DATE(YEAR(Invoer!$A$5),1,1)+MOD(ROWS(B$2:B151)-1,DATE(YEAR(Invoer!$A$5),12,31)-DATE(YEAR(Invoer!$A$5),1,1)+1),"jjjjmmdd")</f>
        <v>19460530</v>
      </c>
      <c r="C151" s="9">
        <v>1</v>
      </c>
      <c r="D151" s="14">
        <f t="shared" ca="1" si="4"/>
        <v>0</v>
      </c>
      <c r="E151" s="15">
        <f t="shared" ca="1" si="5"/>
        <v>0</v>
      </c>
    </row>
    <row r="152" spans="1:5" x14ac:dyDescent="0.25">
      <c r="A152" s="8">
        <f ca="1">INDEX(Stations,INT((ROWS(A$2:A152)-1)/(DATE(YEAR(Invoer!$A$5),12,31)-DATE(YEAR(Invoer!$A$5),1,1)+1))+2,1)</f>
        <v>73</v>
      </c>
      <c r="B152" t="str">
        <f ca="1">TEXT(DATE(YEAR(Invoer!$A$5),1,1)+MOD(ROWS(B$2:B152)-1,DATE(YEAR(Invoer!$A$5),12,31)-DATE(YEAR(Invoer!$A$5),1,1)+1),"jjjjmmdd")</f>
        <v>19460531</v>
      </c>
      <c r="C152" s="9">
        <v>1</v>
      </c>
      <c r="D152" s="14">
        <f t="shared" ca="1" si="4"/>
        <v>0</v>
      </c>
      <c r="E152" s="15">
        <f t="shared" ca="1" si="5"/>
        <v>0</v>
      </c>
    </row>
    <row r="153" spans="1:5" x14ac:dyDescent="0.25">
      <c r="A153" s="8">
        <f ca="1">INDEX(Stations,INT((ROWS(A$2:A153)-1)/(DATE(YEAR(Invoer!$A$5),12,31)-DATE(YEAR(Invoer!$A$5),1,1)+1))+2,1)</f>
        <v>73</v>
      </c>
      <c r="B153" t="str">
        <f ca="1">TEXT(DATE(YEAR(Invoer!$A$5),1,1)+MOD(ROWS(B$2:B153)-1,DATE(YEAR(Invoer!$A$5),12,31)-DATE(YEAR(Invoer!$A$5),1,1)+1),"jjjjmmdd")</f>
        <v>19460601</v>
      </c>
      <c r="C153" s="9">
        <v>1</v>
      </c>
      <c r="D153" s="14">
        <f t="shared" ca="1" si="4"/>
        <v>0</v>
      </c>
      <c r="E153" s="15">
        <f t="shared" ca="1" si="5"/>
        <v>0</v>
      </c>
    </row>
    <row r="154" spans="1:5" x14ac:dyDescent="0.25">
      <c r="A154" s="8">
        <f ca="1">INDEX(Stations,INT((ROWS(A$2:A154)-1)/(DATE(YEAR(Invoer!$A$5),12,31)-DATE(YEAR(Invoer!$A$5),1,1)+1))+2,1)</f>
        <v>73</v>
      </c>
      <c r="B154" t="str">
        <f ca="1">TEXT(DATE(YEAR(Invoer!$A$5),1,1)+MOD(ROWS(B$2:B154)-1,DATE(YEAR(Invoer!$A$5),12,31)-DATE(YEAR(Invoer!$A$5),1,1)+1),"jjjjmmdd")</f>
        <v>19460602</v>
      </c>
      <c r="C154" s="9">
        <v>1</v>
      </c>
      <c r="D154" s="14">
        <f t="shared" ca="1" si="4"/>
        <v>0</v>
      </c>
      <c r="E154" s="15">
        <f t="shared" ca="1" si="5"/>
        <v>0</v>
      </c>
    </row>
    <row r="155" spans="1:5" x14ac:dyDescent="0.25">
      <c r="A155" s="8">
        <f ca="1">INDEX(Stations,INT((ROWS(A$2:A155)-1)/(DATE(YEAR(Invoer!$A$5),12,31)-DATE(YEAR(Invoer!$A$5),1,1)+1))+2,1)</f>
        <v>73</v>
      </c>
      <c r="B155" t="str">
        <f ca="1">TEXT(DATE(YEAR(Invoer!$A$5),1,1)+MOD(ROWS(B$2:B155)-1,DATE(YEAR(Invoer!$A$5),12,31)-DATE(YEAR(Invoer!$A$5),1,1)+1),"jjjjmmdd")</f>
        <v>19460603</v>
      </c>
      <c r="C155" s="9">
        <v>1</v>
      </c>
      <c r="D155" s="14">
        <f t="shared" ca="1" si="4"/>
        <v>0</v>
      </c>
      <c r="E155" s="15">
        <f t="shared" ca="1" si="5"/>
        <v>0</v>
      </c>
    </row>
    <row r="156" spans="1:5" x14ac:dyDescent="0.25">
      <c r="A156" s="8">
        <f ca="1">INDEX(Stations,INT((ROWS(A$2:A156)-1)/(DATE(YEAR(Invoer!$A$5),12,31)-DATE(YEAR(Invoer!$A$5),1,1)+1))+2,1)</f>
        <v>73</v>
      </c>
      <c r="B156" t="str">
        <f ca="1">TEXT(DATE(YEAR(Invoer!$A$5),1,1)+MOD(ROWS(B$2:B156)-1,DATE(YEAR(Invoer!$A$5),12,31)-DATE(YEAR(Invoer!$A$5),1,1)+1),"jjjjmmdd")</f>
        <v>19460604</v>
      </c>
      <c r="C156" s="9">
        <v>1</v>
      </c>
      <c r="D156" s="14">
        <f t="shared" ca="1" si="4"/>
        <v>0</v>
      </c>
      <c r="E156" s="15">
        <f t="shared" ca="1" si="5"/>
        <v>0</v>
      </c>
    </row>
    <row r="157" spans="1:5" x14ac:dyDescent="0.25">
      <c r="A157" s="8">
        <f ca="1">INDEX(Stations,INT((ROWS(A$2:A157)-1)/(DATE(YEAR(Invoer!$A$5),12,31)-DATE(YEAR(Invoer!$A$5),1,1)+1))+2,1)</f>
        <v>73</v>
      </c>
      <c r="B157" t="str">
        <f ca="1">TEXT(DATE(YEAR(Invoer!$A$5),1,1)+MOD(ROWS(B$2:B157)-1,DATE(YEAR(Invoer!$A$5),12,31)-DATE(YEAR(Invoer!$A$5),1,1)+1),"jjjjmmdd")</f>
        <v>19460605</v>
      </c>
      <c r="C157" s="9">
        <v>1</v>
      </c>
      <c r="D157" s="14">
        <f t="shared" ca="1" si="4"/>
        <v>0</v>
      </c>
      <c r="E157" s="15">
        <f t="shared" ca="1" si="5"/>
        <v>0</v>
      </c>
    </row>
    <row r="158" spans="1:5" x14ac:dyDescent="0.25">
      <c r="A158" s="8">
        <f ca="1">INDEX(Stations,INT((ROWS(A$2:A158)-1)/(DATE(YEAR(Invoer!$A$5),12,31)-DATE(YEAR(Invoer!$A$5),1,1)+1))+2,1)</f>
        <v>73</v>
      </c>
      <c r="B158" t="str">
        <f ca="1">TEXT(DATE(YEAR(Invoer!$A$5),1,1)+MOD(ROWS(B$2:B158)-1,DATE(YEAR(Invoer!$A$5),12,31)-DATE(YEAR(Invoer!$A$5),1,1)+1),"jjjjmmdd")</f>
        <v>19460606</v>
      </c>
      <c r="C158" s="9">
        <v>1</v>
      </c>
      <c r="D158" s="14">
        <f t="shared" ca="1" si="4"/>
        <v>270</v>
      </c>
      <c r="E158" s="15">
        <f t="shared" ca="1" si="5"/>
        <v>0</v>
      </c>
    </row>
    <row r="159" spans="1:5" x14ac:dyDescent="0.25">
      <c r="A159" s="8">
        <f ca="1">INDEX(Stations,INT((ROWS(A$2:A159)-1)/(DATE(YEAR(Invoer!$A$5),12,31)-DATE(YEAR(Invoer!$A$5),1,1)+1))+2,1)</f>
        <v>73</v>
      </c>
      <c r="B159" t="str">
        <f ca="1">TEXT(DATE(YEAR(Invoer!$A$5),1,1)+MOD(ROWS(B$2:B159)-1,DATE(YEAR(Invoer!$A$5),12,31)-DATE(YEAR(Invoer!$A$5),1,1)+1),"jjjjmmdd")</f>
        <v>19460607</v>
      </c>
      <c r="C159" s="9">
        <v>1</v>
      </c>
      <c r="D159" s="14">
        <f t="shared" ca="1" si="4"/>
        <v>53</v>
      </c>
      <c r="E159" s="15">
        <f t="shared" ca="1" si="5"/>
        <v>0</v>
      </c>
    </row>
    <row r="160" spans="1:5" x14ac:dyDescent="0.25">
      <c r="A160" s="8">
        <f ca="1">INDEX(Stations,INT((ROWS(A$2:A160)-1)/(DATE(YEAR(Invoer!$A$5),12,31)-DATE(YEAR(Invoer!$A$5),1,1)+1))+2,1)</f>
        <v>73</v>
      </c>
      <c r="B160" t="str">
        <f ca="1">TEXT(DATE(YEAR(Invoer!$A$5),1,1)+MOD(ROWS(B$2:B160)-1,DATE(YEAR(Invoer!$A$5),12,31)-DATE(YEAR(Invoer!$A$5),1,1)+1),"jjjjmmdd")</f>
        <v>19460608</v>
      </c>
      <c r="C160" s="9">
        <v>1</v>
      </c>
      <c r="D160" s="14">
        <f t="shared" ca="1" si="4"/>
        <v>0</v>
      </c>
      <c r="E160" s="15">
        <f t="shared" ca="1" si="5"/>
        <v>0</v>
      </c>
    </row>
    <row r="161" spans="1:5" x14ac:dyDescent="0.25">
      <c r="A161" s="8">
        <f ca="1">INDEX(Stations,INT((ROWS(A$2:A161)-1)/(DATE(YEAR(Invoer!$A$5),12,31)-DATE(YEAR(Invoer!$A$5),1,1)+1))+2,1)</f>
        <v>73</v>
      </c>
      <c r="B161" t="str">
        <f ca="1">TEXT(DATE(YEAR(Invoer!$A$5),1,1)+MOD(ROWS(B$2:B161)-1,DATE(YEAR(Invoer!$A$5),12,31)-DATE(YEAR(Invoer!$A$5),1,1)+1),"jjjjmmdd")</f>
        <v>19460609</v>
      </c>
      <c r="C161" s="9">
        <v>1</v>
      </c>
      <c r="D161" s="14">
        <f t="shared" ca="1" si="4"/>
        <v>0</v>
      </c>
      <c r="E161" s="15">
        <f t="shared" ca="1" si="5"/>
        <v>0</v>
      </c>
    </row>
    <row r="162" spans="1:5" x14ac:dyDescent="0.25">
      <c r="A162" s="8">
        <f ca="1">INDEX(Stations,INT((ROWS(A$2:A162)-1)/(DATE(YEAR(Invoer!$A$5),12,31)-DATE(YEAR(Invoer!$A$5),1,1)+1))+2,1)</f>
        <v>73</v>
      </c>
      <c r="B162" t="str">
        <f ca="1">TEXT(DATE(YEAR(Invoer!$A$5),1,1)+MOD(ROWS(B$2:B162)-1,DATE(YEAR(Invoer!$A$5),12,31)-DATE(YEAR(Invoer!$A$5),1,1)+1),"jjjjmmdd")</f>
        <v>19460610</v>
      </c>
      <c r="C162" s="9">
        <v>1</v>
      </c>
      <c r="D162" s="14">
        <f t="shared" ca="1" si="4"/>
        <v>0</v>
      </c>
      <c r="E162" s="15">
        <f t="shared" ca="1" si="5"/>
        <v>0</v>
      </c>
    </row>
    <row r="163" spans="1:5" x14ac:dyDescent="0.25">
      <c r="A163" s="8">
        <f ca="1">INDEX(Stations,INT((ROWS(A$2:A163)-1)/(DATE(YEAR(Invoer!$A$5),12,31)-DATE(YEAR(Invoer!$A$5),1,1)+1))+2,1)</f>
        <v>73</v>
      </c>
      <c r="B163" t="str">
        <f ca="1">TEXT(DATE(YEAR(Invoer!$A$5),1,1)+MOD(ROWS(B$2:B163)-1,DATE(YEAR(Invoer!$A$5),12,31)-DATE(YEAR(Invoer!$A$5),1,1)+1),"jjjjmmdd")</f>
        <v>19460611</v>
      </c>
      <c r="C163" s="9">
        <v>1</v>
      </c>
      <c r="D163" s="14">
        <f t="shared" ca="1" si="4"/>
        <v>0</v>
      </c>
      <c r="E163" s="15">
        <f t="shared" ca="1" si="5"/>
        <v>0</v>
      </c>
    </row>
    <row r="164" spans="1:5" x14ac:dyDescent="0.25">
      <c r="A164" s="8">
        <f ca="1">INDEX(Stations,INT((ROWS(A$2:A164)-1)/(DATE(YEAR(Invoer!$A$5),12,31)-DATE(YEAR(Invoer!$A$5),1,1)+1))+2,1)</f>
        <v>73</v>
      </c>
      <c r="B164" t="str">
        <f ca="1">TEXT(DATE(YEAR(Invoer!$A$5),1,1)+MOD(ROWS(B$2:B164)-1,DATE(YEAR(Invoer!$A$5),12,31)-DATE(YEAR(Invoer!$A$5),1,1)+1),"jjjjmmdd")</f>
        <v>19460612</v>
      </c>
      <c r="C164" s="9">
        <v>1</v>
      </c>
      <c r="D164" s="14">
        <f t="shared" ca="1" si="4"/>
        <v>0</v>
      </c>
      <c r="E164" s="15">
        <f t="shared" ca="1" si="5"/>
        <v>0</v>
      </c>
    </row>
    <row r="165" spans="1:5" x14ac:dyDescent="0.25">
      <c r="A165" s="8">
        <f ca="1">INDEX(Stations,INT((ROWS(A$2:A165)-1)/(DATE(YEAR(Invoer!$A$5),12,31)-DATE(YEAR(Invoer!$A$5),1,1)+1))+2,1)</f>
        <v>73</v>
      </c>
      <c r="B165" t="str">
        <f ca="1">TEXT(DATE(YEAR(Invoer!$A$5),1,1)+MOD(ROWS(B$2:B165)-1,DATE(YEAR(Invoer!$A$5),12,31)-DATE(YEAR(Invoer!$A$5),1,1)+1),"jjjjmmdd")</f>
        <v>19460613</v>
      </c>
      <c r="C165" s="9">
        <v>1</v>
      </c>
      <c r="D165" s="14">
        <f t="shared" ca="1" si="4"/>
        <v>29</v>
      </c>
      <c r="E165" s="15">
        <f t="shared" ca="1" si="5"/>
        <v>0</v>
      </c>
    </row>
    <row r="166" spans="1:5" x14ac:dyDescent="0.25">
      <c r="A166" s="8">
        <f ca="1">INDEX(Stations,INT((ROWS(A$2:A166)-1)/(DATE(YEAR(Invoer!$A$5),12,31)-DATE(YEAR(Invoer!$A$5),1,1)+1))+2,1)</f>
        <v>73</v>
      </c>
      <c r="B166" t="str">
        <f ca="1">TEXT(DATE(YEAR(Invoer!$A$5),1,1)+MOD(ROWS(B$2:B166)-1,DATE(YEAR(Invoer!$A$5),12,31)-DATE(YEAR(Invoer!$A$5),1,1)+1),"jjjjmmdd")</f>
        <v>19460614</v>
      </c>
      <c r="C166" s="9">
        <v>1</v>
      </c>
      <c r="D166" s="14">
        <f t="shared" ca="1" si="4"/>
        <v>0</v>
      </c>
      <c r="E166" s="15">
        <f t="shared" ca="1" si="5"/>
        <v>0</v>
      </c>
    </row>
    <row r="167" spans="1:5" x14ac:dyDescent="0.25">
      <c r="A167" s="8">
        <f ca="1">INDEX(Stations,INT((ROWS(A$2:A167)-1)/(DATE(YEAR(Invoer!$A$5),12,31)-DATE(YEAR(Invoer!$A$5),1,1)+1))+2,1)</f>
        <v>73</v>
      </c>
      <c r="B167" t="str">
        <f ca="1">TEXT(DATE(YEAR(Invoer!$A$5),1,1)+MOD(ROWS(B$2:B167)-1,DATE(YEAR(Invoer!$A$5),12,31)-DATE(YEAR(Invoer!$A$5),1,1)+1),"jjjjmmdd")</f>
        <v>19460615</v>
      </c>
      <c r="C167" s="9">
        <v>1</v>
      </c>
      <c r="D167" s="14">
        <f t="shared" ca="1" si="4"/>
        <v>0</v>
      </c>
      <c r="E167" s="15">
        <f t="shared" ca="1" si="5"/>
        <v>0</v>
      </c>
    </row>
    <row r="168" spans="1:5" x14ac:dyDescent="0.25">
      <c r="A168" s="8">
        <f ca="1">INDEX(Stations,INT((ROWS(A$2:A168)-1)/(DATE(YEAR(Invoer!$A$5),12,31)-DATE(YEAR(Invoer!$A$5),1,1)+1))+2,1)</f>
        <v>73</v>
      </c>
      <c r="B168" t="str">
        <f ca="1">TEXT(DATE(YEAR(Invoer!$A$5),1,1)+MOD(ROWS(B$2:B168)-1,DATE(YEAR(Invoer!$A$5),12,31)-DATE(YEAR(Invoer!$A$5),1,1)+1),"jjjjmmdd")</f>
        <v>19460616</v>
      </c>
      <c r="C168" s="9">
        <v>1</v>
      </c>
      <c r="D168" s="14">
        <f t="shared" ca="1" si="4"/>
        <v>53</v>
      </c>
      <c r="E168" s="15">
        <f t="shared" ca="1" si="5"/>
        <v>0</v>
      </c>
    </row>
    <row r="169" spans="1:5" x14ac:dyDescent="0.25">
      <c r="A169" s="8">
        <f ca="1">INDEX(Stations,INT((ROWS(A$2:A169)-1)/(DATE(YEAR(Invoer!$A$5),12,31)-DATE(YEAR(Invoer!$A$5),1,1)+1))+2,1)</f>
        <v>73</v>
      </c>
      <c r="B169" t="str">
        <f ca="1">TEXT(DATE(YEAR(Invoer!$A$5),1,1)+MOD(ROWS(B$2:B169)-1,DATE(YEAR(Invoer!$A$5),12,31)-DATE(YEAR(Invoer!$A$5),1,1)+1),"jjjjmmdd")</f>
        <v>19460617</v>
      </c>
      <c r="C169" s="9">
        <v>1</v>
      </c>
      <c r="D169" s="14">
        <f t="shared" ca="1" si="4"/>
        <v>27</v>
      </c>
      <c r="E169" s="15">
        <f t="shared" ca="1" si="5"/>
        <v>0</v>
      </c>
    </row>
    <row r="170" spans="1:5" x14ac:dyDescent="0.25">
      <c r="A170" s="8">
        <f ca="1">INDEX(Stations,INT((ROWS(A$2:A170)-1)/(DATE(YEAR(Invoer!$A$5),12,31)-DATE(YEAR(Invoer!$A$5),1,1)+1))+2,1)</f>
        <v>73</v>
      </c>
      <c r="B170" t="str">
        <f ca="1">TEXT(DATE(YEAR(Invoer!$A$5),1,1)+MOD(ROWS(B$2:B170)-1,DATE(YEAR(Invoer!$A$5),12,31)-DATE(YEAR(Invoer!$A$5),1,1)+1),"jjjjmmdd")</f>
        <v>19460618</v>
      </c>
      <c r="C170" s="9">
        <v>1</v>
      </c>
      <c r="D170" s="14">
        <f t="shared" ca="1" si="4"/>
        <v>0</v>
      </c>
      <c r="E170" s="15">
        <f t="shared" ca="1" si="5"/>
        <v>0</v>
      </c>
    </row>
    <row r="171" spans="1:5" x14ac:dyDescent="0.25">
      <c r="A171" s="8">
        <f ca="1">INDEX(Stations,INT((ROWS(A$2:A171)-1)/(DATE(YEAR(Invoer!$A$5),12,31)-DATE(YEAR(Invoer!$A$5),1,1)+1))+2,1)</f>
        <v>73</v>
      </c>
      <c r="B171" t="str">
        <f ca="1">TEXT(DATE(YEAR(Invoer!$A$5),1,1)+MOD(ROWS(B$2:B171)-1,DATE(YEAR(Invoer!$A$5),12,31)-DATE(YEAR(Invoer!$A$5),1,1)+1),"jjjjmmdd")</f>
        <v>19460619</v>
      </c>
      <c r="C171" s="9">
        <v>1</v>
      </c>
      <c r="D171" s="14">
        <f t="shared" ca="1" si="4"/>
        <v>0</v>
      </c>
      <c r="E171" s="15">
        <f t="shared" ca="1" si="5"/>
        <v>0</v>
      </c>
    </row>
    <row r="172" spans="1:5" x14ac:dyDescent="0.25">
      <c r="A172" s="8">
        <f ca="1">INDEX(Stations,INT((ROWS(A$2:A172)-1)/(DATE(YEAR(Invoer!$A$5),12,31)-DATE(YEAR(Invoer!$A$5),1,1)+1))+2,1)</f>
        <v>73</v>
      </c>
      <c r="B172" t="str">
        <f ca="1">TEXT(DATE(YEAR(Invoer!$A$5),1,1)+MOD(ROWS(B$2:B172)-1,DATE(YEAR(Invoer!$A$5),12,31)-DATE(YEAR(Invoer!$A$5),1,1)+1),"jjjjmmdd")</f>
        <v>19460620</v>
      </c>
      <c r="C172" s="9">
        <v>1</v>
      </c>
      <c r="D172" s="14">
        <f t="shared" ca="1" si="4"/>
        <v>0</v>
      </c>
      <c r="E172" s="15">
        <f t="shared" ca="1" si="5"/>
        <v>0</v>
      </c>
    </row>
    <row r="173" spans="1:5" x14ac:dyDescent="0.25">
      <c r="A173" s="8">
        <f ca="1">INDEX(Stations,INT((ROWS(A$2:A173)-1)/(DATE(YEAR(Invoer!$A$5),12,31)-DATE(YEAR(Invoer!$A$5),1,1)+1))+2,1)</f>
        <v>73</v>
      </c>
      <c r="B173" t="str">
        <f ca="1">TEXT(DATE(YEAR(Invoer!$A$5),1,1)+MOD(ROWS(B$2:B173)-1,DATE(YEAR(Invoer!$A$5),12,31)-DATE(YEAR(Invoer!$A$5),1,1)+1),"jjjjmmdd")</f>
        <v>19460621</v>
      </c>
      <c r="C173" s="9">
        <v>1</v>
      </c>
      <c r="D173" s="14">
        <f t="shared" ca="1" si="4"/>
        <v>0</v>
      </c>
      <c r="E173" s="15">
        <f t="shared" ca="1" si="5"/>
        <v>0</v>
      </c>
    </row>
    <row r="174" spans="1:5" x14ac:dyDescent="0.25">
      <c r="A174" s="8">
        <f ca="1">INDEX(Stations,INT((ROWS(A$2:A174)-1)/(DATE(YEAR(Invoer!$A$5),12,31)-DATE(YEAR(Invoer!$A$5),1,1)+1))+2,1)</f>
        <v>73</v>
      </c>
      <c r="B174" t="str">
        <f ca="1">TEXT(DATE(YEAR(Invoer!$A$5),1,1)+MOD(ROWS(B$2:B174)-1,DATE(YEAR(Invoer!$A$5),12,31)-DATE(YEAR(Invoer!$A$5),1,1)+1),"jjjjmmdd")</f>
        <v>19460622</v>
      </c>
      <c r="C174" s="9">
        <v>1</v>
      </c>
      <c r="D174" s="14">
        <f t="shared" ca="1" si="4"/>
        <v>0</v>
      </c>
      <c r="E174" s="15">
        <f t="shared" ca="1" si="5"/>
        <v>0</v>
      </c>
    </row>
    <row r="175" spans="1:5" x14ac:dyDescent="0.25">
      <c r="A175" s="8">
        <f ca="1">INDEX(Stations,INT((ROWS(A$2:A175)-1)/(DATE(YEAR(Invoer!$A$5),12,31)-DATE(YEAR(Invoer!$A$5),1,1)+1))+2,1)</f>
        <v>73</v>
      </c>
      <c r="B175" t="str">
        <f ca="1">TEXT(DATE(YEAR(Invoer!$A$5),1,1)+MOD(ROWS(B$2:B175)-1,DATE(YEAR(Invoer!$A$5),12,31)-DATE(YEAR(Invoer!$A$5),1,1)+1),"jjjjmmdd")</f>
        <v>19460623</v>
      </c>
      <c r="C175" s="9">
        <v>1</v>
      </c>
      <c r="D175" s="14">
        <f t="shared" ca="1" si="4"/>
        <v>0</v>
      </c>
      <c r="E175" s="15">
        <f t="shared" ca="1" si="5"/>
        <v>0</v>
      </c>
    </row>
    <row r="176" spans="1:5" x14ac:dyDescent="0.25">
      <c r="A176" s="8">
        <f ca="1">INDEX(Stations,INT((ROWS(A$2:A176)-1)/(DATE(YEAR(Invoer!$A$5),12,31)-DATE(YEAR(Invoer!$A$5),1,1)+1))+2,1)</f>
        <v>73</v>
      </c>
      <c r="B176" t="str">
        <f ca="1">TEXT(DATE(YEAR(Invoer!$A$5),1,1)+MOD(ROWS(B$2:B176)-1,DATE(YEAR(Invoer!$A$5),12,31)-DATE(YEAR(Invoer!$A$5),1,1)+1),"jjjjmmdd")</f>
        <v>19460624</v>
      </c>
      <c r="C176" s="9">
        <v>1</v>
      </c>
      <c r="D176" s="14">
        <f t="shared" ca="1" si="4"/>
        <v>0</v>
      </c>
      <c r="E176" s="15">
        <f t="shared" ca="1" si="5"/>
        <v>0</v>
      </c>
    </row>
    <row r="177" spans="1:5" x14ac:dyDescent="0.25">
      <c r="A177" s="8">
        <f ca="1">INDEX(Stations,INT((ROWS(A$2:A177)-1)/(DATE(YEAR(Invoer!$A$5),12,31)-DATE(YEAR(Invoer!$A$5),1,1)+1))+2,1)</f>
        <v>73</v>
      </c>
      <c r="B177" t="str">
        <f ca="1">TEXT(DATE(YEAR(Invoer!$A$5),1,1)+MOD(ROWS(B$2:B177)-1,DATE(YEAR(Invoer!$A$5),12,31)-DATE(YEAR(Invoer!$A$5),1,1)+1),"jjjjmmdd")</f>
        <v>19460625</v>
      </c>
      <c r="C177" s="9">
        <v>1</v>
      </c>
      <c r="D177" s="14">
        <f t="shared" ca="1" si="4"/>
        <v>0</v>
      </c>
      <c r="E177" s="15">
        <f t="shared" ca="1" si="5"/>
        <v>0</v>
      </c>
    </row>
    <row r="178" spans="1:5" x14ac:dyDescent="0.25">
      <c r="A178" s="8">
        <f ca="1">INDEX(Stations,INT((ROWS(A$2:A178)-1)/(DATE(YEAR(Invoer!$A$5),12,31)-DATE(YEAR(Invoer!$A$5),1,1)+1))+2,1)</f>
        <v>73</v>
      </c>
      <c r="B178" t="str">
        <f ca="1">TEXT(DATE(YEAR(Invoer!$A$5),1,1)+MOD(ROWS(B$2:B178)-1,DATE(YEAR(Invoer!$A$5),12,31)-DATE(YEAR(Invoer!$A$5),1,1)+1),"jjjjmmdd")</f>
        <v>19460626</v>
      </c>
      <c r="C178" s="9">
        <v>1</v>
      </c>
      <c r="D178" s="14">
        <f t="shared" ca="1" si="4"/>
        <v>0</v>
      </c>
      <c r="E178" s="15">
        <f t="shared" ca="1" si="5"/>
        <v>0</v>
      </c>
    </row>
    <row r="179" spans="1:5" x14ac:dyDescent="0.25">
      <c r="A179" s="8">
        <f ca="1">INDEX(Stations,INT((ROWS(A$2:A179)-1)/(DATE(YEAR(Invoer!$A$5),12,31)-DATE(YEAR(Invoer!$A$5),1,1)+1))+2,1)</f>
        <v>73</v>
      </c>
      <c r="B179" t="str">
        <f ca="1">TEXT(DATE(YEAR(Invoer!$A$5),1,1)+MOD(ROWS(B$2:B179)-1,DATE(YEAR(Invoer!$A$5),12,31)-DATE(YEAR(Invoer!$A$5),1,1)+1),"jjjjmmdd")</f>
        <v>19460627</v>
      </c>
      <c r="C179" s="9">
        <v>1</v>
      </c>
      <c r="D179" s="14">
        <f t="shared" ca="1" si="4"/>
        <v>53</v>
      </c>
      <c r="E179" s="15">
        <f t="shared" ca="1" si="5"/>
        <v>0</v>
      </c>
    </row>
    <row r="180" spans="1:5" x14ac:dyDescent="0.25">
      <c r="A180" s="8">
        <f ca="1">INDEX(Stations,INT((ROWS(A$2:A180)-1)/(DATE(YEAR(Invoer!$A$5),12,31)-DATE(YEAR(Invoer!$A$5),1,1)+1))+2,1)</f>
        <v>73</v>
      </c>
      <c r="B180" t="str">
        <f ca="1">TEXT(DATE(YEAR(Invoer!$A$5),1,1)+MOD(ROWS(B$2:B180)-1,DATE(YEAR(Invoer!$A$5),12,31)-DATE(YEAR(Invoer!$A$5),1,1)+1),"jjjjmmdd")</f>
        <v>19460628</v>
      </c>
      <c r="C180" s="9">
        <v>1</v>
      </c>
      <c r="D180" s="14">
        <f t="shared" ca="1" si="4"/>
        <v>22</v>
      </c>
      <c r="E180" s="15">
        <f t="shared" ca="1" si="5"/>
        <v>0</v>
      </c>
    </row>
    <row r="181" spans="1:5" x14ac:dyDescent="0.25">
      <c r="A181" s="8">
        <f ca="1">INDEX(Stations,INT((ROWS(A$2:A181)-1)/(DATE(YEAR(Invoer!$A$5),12,31)-DATE(YEAR(Invoer!$A$5),1,1)+1))+2,1)</f>
        <v>73</v>
      </c>
      <c r="B181" t="str">
        <f ca="1">TEXT(DATE(YEAR(Invoer!$A$5),1,1)+MOD(ROWS(B$2:B181)-1,DATE(YEAR(Invoer!$A$5),12,31)-DATE(YEAR(Invoer!$A$5),1,1)+1),"jjjjmmdd")</f>
        <v>19460629</v>
      </c>
      <c r="C181" s="9">
        <v>1</v>
      </c>
      <c r="D181" s="14">
        <f t="shared" ca="1" si="4"/>
        <v>0</v>
      </c>
      <c r="E181" s="15">
        <f t="shared" ca="1" si="5"/>
        <v>0</v>
      </c>
    </row>
    <row r="182" spans="1:5" x14ac:dyDescent="0.25">
      <c r="A182" s="8">
        <f ca="1">INDEX(Stations,INT((ROWS(A$2:A182)-1)/(DATE(YEAR(Invoer!$A$5),12,31)-DATE(YEAR(Invoer!$A$5),1,1)+1))+2,1)</f>
        <v>73</v>
      </c>
      <c r="B182" t="str">
        <f ca="1">TEXT(DATE(YEAR(Invoer!$A$5),1,1)+MOD(ROWS(B$2:B182)-1,DATE(YEAR(Invoer!$A$5),12,31)-DATE(YEAR(Invoer!$A$5),1,1)+1),"jjjjmmdd")</f>
        <v>19460630</v>
      </c>
      <c r="C182" s="9">
        <v>1</v>
      </c>
      <c r="D182" s="14">
        <f t="shared" ca="1" si="4"/>
        <v>0</v>
      </c>
      <c r="E182" s="15">
        <f t="shared" ca="1" si="5"/>
        <v>0</v>
      </c>
    </row>
    <row r="183" spans="1:5" x14ac:dyDescent="0.25">
      <c r="A183" s="8">
        <f ca="1">INDEX(Stations,INT((ROWS(A$2:A183)-1)/(DATE(YEAR(Invoer!$A$5),12,31)-DATE(YEAR(Invoer!$A$5),1,1)+1))+2,1)</f>
        <v>73</v>
      </c>
      <c r="B183" t="str">
        <f ca="1">TEXT(DATE(YEAR(Invoer!$A$5),1,1)+MOD(ROWS(B$2:B183)-1,DATE(YEAR(Invoer!$A$5),12,31)-DATE(YEAR(Invoer!$A$5),1,1)+1),"jjjjmmdd")</f>
        <v>19460701</v>
      </c>
      <c r="C183" s="9">
        <v>1</v>
      </c>
      <c r="D183" s="14">
        <f t="shared" ca="1" si="4"/>
        <v>0</v>
      </c>
      <c r="E183" s="15">
        <f t="shared" ca="1" si="5"/>
        <v>0</v>
      </c>
    </row>
    <row r="184" spans="1:5" x14ac:dyDescent="0.25">
      <c r="A184" s="8">
        <f ca="1">INDEX(Stations,INT((ROWS(A$2:A184)-1)/(DATE(YEAR(Invoer!$A$5),12,31)-DATE(YEAR(Invoer!$A$5),1,1)+1))+2,1)</f>
        <v>73</v>
      </c>
      <c r="B184" t="str">
        <f ca="1">TEXT(DATE(YEAR(Invoer!$A$5),1,1)+MOD(ROWS(B$2:B184)-1,DATE(YEAR(Invoer!$A$5),12,31)-DATE(YEAR(Invoer!$A$5),1,1)+1),"jjjjmmdd")</f>
        <v>19460702</v>
      </c>
      <c r="C184" s="9">
        <v>1</v>
      </c>
      <c r="D184" s="14">
        <f t="shared" ca="1" si="4"/>
        <v>0</v>
      </c>
      <c r="E184" s="15">
        <f t="shared" ca="1" si="5"/>
        <v>0</v>
      </c>
    </row>
    <row r="185" spans="1:5" x14ac:dyDescent="0.25">
      <c r="A185" s="8">
        <f ca="1">INDEX(Stations,INT((ROWS(A$2:A185)-1)/(DATE(YEAR(Invoer!$A$5),12,31)-DATE(YEAR(Invoer!$A$5),1,1)+1))+2,1)</f>
        <v>73</v>
      </c>
      <c r="B185" t="str">
        <f ca="1">TEXT(DATE(YEAR(Invoer!$A$5),1,1)+MOD(ROWS(B$2:B185)-1,DATE(YEAR(Invoer!$A$5),12,31)-DATE(YEAR(Invoer!$A$5),1,1)+1),"jjjjmmdd")</f>
        <v>19460703</v>
      </c>
      <c r="C185" s="9">
        <v>1</v>
      </c>
      <c r="D185" s="14">
        <f t="shared" ca="1" si="4"/>
        <v>0</v>
      </c>
      <c r="E185" s="15">
        <f t="shared" ca="1" si="5"/>
        <v>0</v>
      </c>
    </row>
    <row r="186" spans="1:5" x14ac:dyDescent="0.25">
      <c r="A186" s="8">
        <f ca="1">INDEX(Stations,INT((ROWS(A$2:A186)-1)/(DATE(YEAR(Invoer!$A$5),12,31)-DATE(YEAR(Invoer!$A$5),1,1)+1))+2,1)</f>
        <v>73</v>
      </c>
      <c r="B186" t="str">
        <f ca="1">TEXT(DATE(YEAR(Invoer!$A$5),1,1)+MOD(ROWS(B$2:B186)-1,DATE(YEAR(Invoer!$A$5),12,31)-DATE(YEAR(Invoer!$A$5),1,1)+1),"jjjjmmdd")</f>
        <v>19460704</v>
      </c>
      <c r="C186" s="9">
        <v>1</v>
      </c>
      <c r="D186" s="14">
        <f t="shared" ca="1" si="4"/>
        <v>0</v>
      </c>
      <c r="E186" s="15">
        <f t="shared" ca="1" si="5"/>
        <v>0</v>
      </c>
    </row>
    <row r="187" spans="1:5" x14ac:dyDescent="0.25">
      <c r="A187" s="8">
        <f ca="1">INDEX(Stations,INT((ROWS(A$2:A187)-1)/(DATE(YEAR(Invoer!$A$5),12,31)-DATE(YEAR(Invoer!$A$5),1,1)+1))+2,1)</f>
        <v>73</v>
      </c>
      <c r="B187" t="str">
        <f ca="1">TEXT(DATE(YEAR(Invoer!$A$5),1,1)+MOD(ROWS(B$2:B187)-1,DATE(YEAR(Invoer!$A$5),12,31)-DATE(YEAR(Invoer!$A$5),1,1)+1),"jjjjmmdd")</f>
        <v>19460705</v>
      </c>
      <c r="C187" s="9">
        <v>1</v>
      </c>
      <c r="D187" s="14">
        <f t="shared" ca="1" si="4"/>
        <v>0</v>
      </c>
      <c r="E187" s="15">
        <f t="shared" ca="1" si="5"/>
        <v>0</v>
      </c>
    </row>
    <row r="188" spans="1:5" x14ac:dyDescent="0.25">
      <c r="A188" s="8">
        <f ca="1">INDEX(Stations,INT((ROWS(A$2:A188)-1)/(DATE(YEAR(Invoer!$A$5),12,31)-DATE(YEAR(Invoer!$A$5),1,1)+1))+2,1)</f>
        <v>73</v>
      </c>
      <c r="B188" t="str">
        <f ca="1">TEXT(DATE(YEAR(Invoer!$A$5),1,1)+MOD(ROWS(B$2:B188)-1,DATE(YEAR(Invoer!$A$5),12,31)-DATE(YEAR(Invoer!$A$5),1,1)+1),"jjjjmmdd")</f>
        <v>19460706</v>
      </c>
      <c r="C188" s="9">
        <v>1</v>
      </c>
      <c r="D188" s="14">
        <f t="shared" ca="1" si="4"/>
        <v>0</v>
      </c>
      <c r="E188" s="15">
        <f t="shared" ca="1" si="5"/>
        <v>0</v>
      </c>
    </row>
    <row r="189" spans="1:5" x14ac:dyDescent="0.25">
      <c r="A189" s="8">
        <f ca="1">INDEX(Stations,INT((ROWS(A$2:A189)-1)/(DATE(YEAR(Invoer!$A$5),12,31)-DATE(YEAR(Invoer!$A$5),1,1)+1))+2,1)</f>
        <v>73</v>
      </c>
      <c r="B189" t="str">
        <f ca="1">TEXT(DATE(YEAR(Invoer!$A$5),1,1)+MOD(ROWS(B$2:B189)-1,DATE(YEAR(Invoer!$A$5),12,31)-DATE(YEAR(Invoer!$A$5),1,1)+1),"jjjjmmdd")</f>
        <v>19460707</v>
      </c>
      <c r="C189" s="9">
        <v>1</v>
      </c>
      <c r="D189" s="14">
        <f t="shared" ca="1" si="4"/>
        <v>0</v>
      </c>
      <c r="E189" s="15">
        <f t="shared" ca="1" si="5"/>
        <v>0</v>
      </c>
    </row>
    <row r="190" spans="1:5" x14ac:dyDescent="0.25">
      <c r="A190" s="8">
        <f ca="1">INDEX(Stations,INT((ROWS(A$2:A190)-1)/(DATE(YEAR(Invoer!$A$5),12,31)-DATE(YEAR(Invoer!$A$5),1,1)+1))+2,1)</f>
        <v>73</v>
      </c>
      <c r="B190" t="str">
        <f ca="1">TEXT(DATE(YEAR(Invoer!$A$5),1,1)+MOD(ROWS(B$2:B190)-1,DATE(YEAR(Invoer!$A$5),12,31)-DATE(YEAR(Invoer!$A$5),1,1)+1),"jjjjmmdd")</f>
        <v>19460708</v>
      </c>
      <c r="C190" s="9">
        <v>1</v>
      </c>
      <c r="D190" s="14">
        <f t="shared" ca="1" si="4"/>
        <v>35</v>
      </c>
      <c r="E190" s="15">
        <f t="shared" ca="1" si="5"/>
        <v>0</v>
      </c>
    </row>
    <row r="191" spans="1:5" x14ac:dyDescent="0.25">
      <c r="A191" s="8">
        <f ca="1">INDEX(Stations,INT((ROWS(A$2:A191)-1)/(DATE(YEAR(Invoer!$A$5),12,31)-DATE(YEAR(Invoer!$A$5),1,1)+1))+2,1)</f>
        <v>73</v>
      </c>
      <c r="B191" t="str">
        <f ca="1">TEXT(DATE(YEAR(Invoer!$A$5),1,1)+MOD(ROWS(B$2:B191)-1,DATE(YEAR(Invoer!$A$5),12,31)-DATE(YEAR(Invoer!$A$5),1,1)+1),"jjjjmmdd")</f>
        <v>19460709</v>
      </c>
      <c r="C191" s="9">
        <v>1</v>
      </c>
      <c r="D191" s="14">
        <f t="shared" ca="1" si="4"/>
        <v>0</v>
      </c>
      <c r="E191" s="15">
        <f t="shared" ca="1" si="5"/>
        <v>0</v>
      </c>
    </row>
    <row r="192" spans="1:5" x14ac:dyDescent="0.25">
      <c r="A192" s="8">
        <f ca="1">INDEX(Stations,INT((ROWS(A$2:A192)-1)/(DATE(YEAR(Invoer!$A$5),12,31)-DATE(YEAR(Invoer!$A$5),1,1)+1))+2,1)</f>
        <v>73</v>
      </c>
      <c r="B192" t="str">
        <f ca="1">TEXT(DATE(YEAR(Invoer!$A$5),1,1)+MOD(ROWS(B$2:B192)-1,DATE(YEAR(Invoer!$A$5),12,31)-DATE(YEAR(Invoer!$A$5),1,1)+1),"jjjjmmdd")</f>
        <v>19460710</v>
      </c>
      <c r="C192" s="9">
        <v>1</v>
      </c>
      <c r="D192" s="14">
        <f t="shared" ca="1" si="4"/>
        <v>0</v>
      </c>
      <c r="E192" s="15">
        <f t="shared" ca="1" si="5"/>
        <v>0</v>
      </c>
    </row>
    <row r="193" spans="1:5" x14ac:dyDescent="0.25">
      <c r="A193" s="8">
        <f ca="1">INDEX(Stations,INT((ROWS(A$2:A193)-1)/(DATE(YEAR(Invoer!$A$5),12,31)-DATE(YEAR(Invoer!$A$5),1,1)+1))+2,1)</f>
        <v>73</v>
      </c>
      <c r="B193" t="str">
        <f ca="1">TEXT(DATE(YEAR(Invoer!$A$5),1,1)+MOD(ROWS(B$2:B193)-1,DATE(YEAR(Invoer!$A$5),12,31)-DATE(YEAR(Invoer!$A$5),1,1)+1),"jjjjmmdd")</f>
        <v>19460711</v>
      </c>
      <c r="C193" s="9">
        <v>1</v>
      </c>
      <c r="D193" s="14">
        <f t="shared" ca="1" si="4"/>
        <v>0</v>
      </c>
      <c r="E193" s="15">
        <f t="shared" ca="1" si="5"/>
        <v>0</v>
      </c>
    </row>
    <row r="194" spans="1:5" x14ac:dyDescent="0.25">
      <c r="A194" s="8">
        <f ca="1">INDEX(Stations,INT((ROWS(A$2:A194)-1)/(DATE(YEAR(Invoer!$A$5),12,31)-DATE(YEAR(Invoer!$A$5),1,1)+1))+2,1)</f>
        <v>73</v>
      </c>
      <c r="B194" t="str">
        <f ca="1">TEXT(DATE(YEAR(Invoer!$A$5),1,1)+MOD(ROWS(B$2:B194)-1,DATE(YEAR(Invoer!$A$5),12,31)-DATE(YEAR(Invoer!$A$5),1,1)+1),"jjjjmmdd")</f>
        <v>19460712</v>
      </c>
      <c r="C194" s="9">
        <v>1</v>
      </c>
      <c r="D194" s="14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5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8">
        <f ca="1">INDEX(Stations,INT((ROWS(A$2:A195)-1)/(DATE(YEAR(Invoer!$A$5),12,31)-DATE(YEAR(Invoer!$A$5),1,1)+1))+2,1)</f>
        <v>73</v>
      </c>
      <c r="B195" t="str">
        <f ca="1">TEXT(DATE(YEAR(Invoer!$A$5),1,1)+MOD(ROWS(B$2:B195)-1,DATE(YEAR(Invoer!$A$5),12,31)-DATE(YEAR(Invoer!$A$5),1,1)+1),"jjjjmmdd")</f>
        <v>19460713</v>
      </c>
      <c r="C195" s="9">
        <v>1</v>
      </c>
      <c r="D195" s="14">
        <f t="shared" ca="1" si="6"/>
        <v>0</v>
      </c>
      <c r="E195" s="15">
        <f t="shared" ca="1" si="7"/>
        <v>0</v>
      </c>
    </row>
    <row r="196" spans="1:5" x14ac:dyDescent="0.25">
      <c r="A196" s="8">
        <f ca="1">INDEX(Stations,INT((ROWS(A$2:A196)-1)/(DATE(YEAR(Invoer!$A$5),12,31)-DATE(YEAR(Invoer!$A$5),1,1)+1))+2,1)</f>
        <v>73</v>
      </c>
      <c r="B196" t="str">
        <f ca="1">TEXT(DATE(YEAR(Invoer!$A$5),1,1)+MOD(ROWS(B$2:B196)-1,DATE(YEAR(Invoer!$A$5),12,31)-DATE(YEAR(Invoer!$A$5),1,1)+1),"jjjjmmdd")</f>
        <v>19460714</v>
      </c>
      <c r="C196" s="9">
        <v>1</v>
      </c>
      <c r="D196" s="14">
        <f t="shared" ca="1" si="6"/>
        <v>0</v>
      </c>
      <c r="E196" s="15">
        <f t="shared" ca="1" si="7"/>
        <v>0</v>
      </c>
    </row>
    <row r="197" spans="1:5" x14ac:dyDescent="0.25">
      <c r="A197" s="8">
        <f ca="1">INDEX(Stations,INT((ROWS(A$2:A197)-1)/(DATE(YEAR(Invoer!$A$5),12,31)-DATE(YEAR(Invoer!$A$5),1,1)+1))+2,1)</f>
        <v>73</v>
      </c>
      <c r="B197" t="str">
        <f ca="1">TEXT(DATE(YEAR(Invoer!$A$5),1,1)+MOD(ROWS(B$2:B197)-1,DATE(YEAR(Invoer!$A$5),12,31)-DATE(YEAR(Invoer!$A$5),1,1)+1),"jjjjmmdd")</f>
        <v>19460715</v>
      </c>
      <c r="C197" s="9">
        <v>1</v>
      </c>
      <c r="D197" s="14">
        <f t="shared" ca="1" si="6"/>
        <v>0</v>
      </c>
      <c r="E197" s="15">
        <f t="shared" ca="1" si="7"/>
        <v>0</v>
      </c>
    </row>
    <row r="198" spans="1:5" x14ac:dyDescent="0.25">
      <c r="A198" s="8">
        <f ca="1">INDEX(Stations,INT((ROWS(A$2:A198)-1)/(DATE(YEAR(Invoer!$A$5),12,31)-DATE(YEAR(Invoer!$A$5),1,1)+1))+2,1)</f>
        <v>73</v>
      </c>
      <c r="B198" t="str">
        <f ca="1">TEXT(DATE(YEAR(Invoer!$A$5),1,1)+MOD(ROWS(B$2:B198)-1,DATE(YEAR(Invoer!$A$5),12,31)-DATE(YEAR(Invoer!$A$5),1,1)+1),"jjjjmmdd")</f>
        <v>19460716</v>
      </c>
      <c r="C198" s="9">
        <v>1</v>
      </c>
      <c r="D198" s="14">
        <f t="shared" ca="1" si="6"/>
        <v>0</v>
      </c>
      <c r="E198" s="15">
        <f t="shared" ca="1" si="7"/>
        <v>0</v>
      </c>
    </row>
    <row r="199" spans="1:5" x14ac:dyDescent="0.25">
      <c r="A199" s="8">
        <f ca="1">INDEX(Stations,INT((ROWS(A$2:A199)-1)/(DATE(YEAR(Invoer!$A$5),12,31)-DATE(YEAR(Invoer!$A$5),1,1)+1))+2,1)</f>
        <v>73</v>
      </c>
      <c r="B199" t="str">
        <f ca="1">TEXT(DATE(YEAR(Invoer!$A$5),1,1)+MOD(ROWS(B$2:B199)-1,DATE(YEAR(Invoer!$A$5),12,31)-DATE(YEAR(Invoer!$A$5),1,1)+1),"jjjjmmdd")</f>
        <v>19460717</v>
      </c>
      <c r="C199" s="9">
        <v>1</v>
      </c>
      <c r="D199" s="14">
        <f t="shared" ca="1" si="6"/>
        <v>94</v>
      </c>
      <c r="E199" s="15">
        <f t="shared" ca="1" si="7"/>
        <v>0</v>
      </c>
    </row>
    <row r="200" spans="1:5" x14ac:dyDescent="0.25">
      <c r="A200" s="8">
        <f ca="1">INDEX(Stations,INT((ROWS(A$2:A200)-1)/(DATE(YEAR(Invoer!$A$5),12,31)-DATE(YEAR(Invoer!$A$5),1,1)+1))+2,1)</f>
        <v>73</v>
      </c>
      <c r="B200" t="str">
        <f ca="1">TEXT(DATE(YEAR(Invoer!$A$5),1,1)+MOD(ROWS(B$2:B200)-1,DATE(YEAR(Invoer!$A$5),12,31)-DATE(YEAR(Invoer!$A$5),1,1)+1),"jjjjmmdd")</f>
        <v>19460718</v>
      </c>
      <c r="C200" s="9">
        <v>1</v>
      </c>
      <c r="D200" s="14">
        <f t="shared" ca="1" si="6"/>
        <v>0</v>
      </c>
      <c r="E200" s="15">
        <f t="shared" ca="1" si="7"/>
        <v>0</v>
      </c>
    </row>
    <row r="201" spans="1:5" x14ac:dyDescent="0.25">
      <c r="A201" s="8">
        <f ca="1">INDEX(Stations,INT((ROWS(A$2:A201)-1)/(DATE(YEAR(Invoer!$A$5),12,31)-DATE(YEAR(Invoer!$A$5),1,1)+1))+2,1)</f>
        <v>73</v>
      </c>
      <c r="B201" t="str">
        <f ca="1">TEXT(DATE(YEAR(Invoer!$A$5),1,1)+MOD(ROWS(B$2:B201)-1,DATE(YEAR(Invoer!$A$5),12,31)-DATE(YEAR(Invoer!$A$5),1,1)+1),"jjjjmmdd")</f>
        <v>19460719</v>
      </c>
      <c r="C201" s="9">
        <v>1</v>
      </c>
      <c r="D201" s="14">
        <f t="shared" ca="1" si="6"/>
        <v>0</v>
      </c>
      <c r="E201" s="15">
        <f t="shared" ca="1" si="7"/>
        <v>0</v>
      </c>
    </row>
    <row r="202" spans="1:5" x14ac:dyDescent="0.25">
      <c r="A202" s="8">
        <f ca="1">INDEX(Stations,INT((ROWS(A$2:A202)-1)/(DATE(YEAR(Invoer!$A$5),12,31)-DATE(YEAR(Invoer!$A$5),1,1)+1))+2,1)</f>
        <v>73</v>
      </c>
      <c r="B202" t="str">
        <f ca="1">TEXT(DATE(YEAR(Invoer!$A$5),1,1)+MOD(ROWS(B$2:B202)-1,DATE(YEAR(Invoer!$A$5),12,31)-DATE(YEAR(Invoer!$A$5),1,1)+1),"jjjjmmdd")</f>
        <v>19460720</v>
      </c>
      <c r="C202" s="9">
        <v>1</v>
      </c>
      <c r="D202" s="14">
        <f t="shared" ca="1" si="6"/>
        <v>0</v>
      </c>
      <c r="E202" s="15">
        <f t="shared" ca="1" si="7"/>
        <v>0</v>
      </c>
    </row>
    <row r="203" spans="1:5" x14ac:dyDescent="0.25">
      <c r="A203" s="8">
        <f ca="1">INDEX(Stations,INT((ROWS(A$2:A203)-1)/(DATE(YEAR(Invoer!$A$5),12,31)-DATE(YEAR(Invoer!$A$5),1,1)+1))+2,1)</f>
        <v>73</v>
      </c>
      <c r="B203" t="str">
        <f ca="1">TEXT(DATE(YEAR(Invoer!$A$5),1,1)+MOD(ROWS(B$2:B203)-1,DATE(YEAR(Invoer!$A$5),12,31)-DATE(YEAR(Invoer!$A$5),1,1)+1),"jjjjmmdd")</f>
        <v>19460721</v>
      </c>
      <c r="C203" s="9">
        <v>1</v>
      </c>
      <c r="D203" s="14">
        <f t="shared" ca="1" si="6"/>
        <v>0</v>
      </c>
      <c r="E203" s="15">
        <f t="shared" ca="1" si="7"/>
        <v>0</v>
      </c>
    </row>
    <row r="204" spans="1:5" x14ac:dyDescent="0.25">
      <c r="A204" s="8">
        <f ca="1">INDEX(Stations,INT((ROWS(A$2:A204)-1)/(DATE(YEAR(Invoer!$A$5),12,31)-DATE(YEAR(Invoer!$A$5),1,1)+1))+2,1)</f>
        <v>73</v>
      </c>
      <c r="B204" t="str">
        <f ca="1">TEXT(DATE(YEAR(Invoer!$A$5),1,1)+MOD(ROWS(B$2:B204)-1,DATE(YEAR(Invoer!$A$5),12,31)-DATE(YEAR(Invoer!$A$5),1,1)+1),"jjjjmmdd")</f>
        <v>19460722</v>
      </c>
      <c r="C204" s="9">
        <v>1</v>
      </c>
      <c r="D204" s="14">
        <f t="shared" ca="1" si="6"/>
        <v>0</v>
      </c>
      <c r="E204" s="15">
        <f t="shared" ca="1" si="7"/>
        <v>0</v>
      </c>
    </row>
    <row r="205" spans="1:5" x14ac:dyDescent="0.25">
      <c r="A205" s="8">
        <f ca="1">INDEX(Stations,INT((ROWS(A$2:A205)-1)/(DATE(YEAR(Invoer!$A$5),12,31)-DATE(YEAR(Invoer!$A$5),1,1)+1))+2,1)</f>
        <v>73</v>
      </c>
      <c r="B205" t="str">
        <f ca="1">TEXT(DATE(YEAR(Invoer!$A$5),1,1)+MOD(ROWS(B$2:B205)-1,DATE(YEAR(Invoer!$A$5),12,31)-DATE(YEAR(Invoer!$A$5),1,1)+1),"jjjjmmdd")</f>
        <v>19460723</v>
      </c>
      <c r="C205" s="9">
        <v>1</v>
      </c>
      <c r="D205" s="14">
        <f t="shared" ca="1" si="6"/>
        <v>0</v>
      </c>
      <c r="E205" s="15">
        <f t="shared" ca="1" si="7"/>
        <v>0</v>
      </c>
    </row>
    <row r="206" spans="1:5" x14ac:dyDescent="0.25">
      <c r="A206" s="8">
        <f ca="1">INDEX(Stations,INT((ROWS(A$2:A206)-1)/(DATE(YEAR(Invoer!$A$5),12,31)-DATE(YEAR(Invoer!$A$5),1,1)+1))+2,1)</f>
        <v>73</v>
      </c>
      <c r="B206" t="str">
        <f ca="1">TEXT(DATE(YEAR(Invoer!$A$5),1,1)+MOD(ROWS(B$2:B206)-1,DATE(YEAR(Invoer!$A$5),12,31)-DATE(YEAR(Invoer!$A$5),1,1)+1),"jjjjmmdd")</f>
        <v>19460724</v>
      </c>
      <c r="C206" s="9">
        <v>1</v>
      </c>
      <c r="D206" s="14">
        <f t="shared" ca="1" si="6"/>
        <v>0</v>
      </c>
      <c r="E206" s="15">
        <f t="shared" ca="1" si="7"/>
        <v>0</v>
      </c>
    </row>
    <row r="207" spans="1:5" x14ac:dyDescent="0.25">
      <c r="A207" s="8">
        <f ca="1">INDEX(Stations,INT((ROWS(A$2:A207)-1)/(DATE(YEAR(Invoer!$A$5),12,31)-DATE(YEAR(Invoer!$A$5),1,1)+1))+2,1)</f>
        <v>73</v>
      </c>
      <c r="B207" t="str">
        <f ca="1">TEXT(DATE(YEAR(Invoer!$A$5),1,1)+MOD(ROWS(B$2:B207)-1,DATE(YEAR(Invoer!$A$5),12,31)-DATE(YEAR(Invoer!$A$5),1,1)+1),"jjjjmmdd")</f>
        <v>19460725</v>
      </c>
      <c r="C207" s="9">
        <v>1</v>
      </c>
      <c r="D207" s="14">
        <f t="shared" ca="1" si="6"/>
        <v>0</v>
      </c>
      <c r="E207" s="15">
        <f t="shared" ca="1" si="7"/>
        <v>0</v>
      </c>
    </row>
    <row r="208" spans="1:5" x14ac:dyDescent="0.25">
      <c r="A208" s="8">
        <f ca="1">INDEX(Stations,INT((ROWS(A$2:A208)-1)/(DATE(YEAR(Invoer!$A$5),12,31)-DATE(YEAR(Invoer!$A$5),1,1)+1))+2,1)</f>
        <v>73</v>
      </c>
      <c r="B208" t="str">
        <f ca="1">TEXT(DATE(YEAR(Invoer!$A$5),1,1)+MOD(ROWS(B$2:B208)-1,DATE(YEAR(Invoer!$A$5),12,31)-DATE(YEAR(Invoer!$A$5),1,1)+1),"jjjjmmdd")</f>
        <v>19460726</v>
      </c>
      <c r="C208" s="9">
        <v>1</v>
      </c>
      <c r="D208" s="14">
        <f t="shared" ca="1" si="6"/>
        <v>411</v>
      </c>
      <c r="E208" s="15">
        <f t="shared" ca="1" si="7"/>
        <v>0</v>
      </c>
    </row>
    <row r="209" spans="1:5" x14ac:dyDescent="0.25">
      <c r="A209" s="8">
        <f ca="1">INDEX(Stations,INT((ROWS(A$2:A209)-1)/(DATE(YEAR(Invoer!$A$5),12,31)-DATE(YEAR(Invoer!$A$5),1,1)+1))+2,1)</f>
        <v>73</v>
      </c>
      <c r="B209" t="str">
        <f ca="1">TEXT(DATE(YEAR(Invoer!$A$5),1,1)+MOD(ROWS(B$2:B209)-1,DATE(YEAR(Invoer!$A$5),12,31)-DATE(YEAR(Invoer!$A$5),1,1)+1),"jjjjmmdd")</f>
        <v>19460727</v>
      </c>
      <c r="C209" s="9">
        <v>1</v>
      </c>
      <c r="D209" s="14">
        <f t="shared" ca="1" si="6"/>
        <v>47</v>
      </c>
      <c r="E209" s="15">
        <f t="shared" ca="1" si="7"/>
        <v>0</v>
      </c>
    </row>
    <row r="210" spans="1:5" x14ac:dyDescent="0.25">
      <c r="A210" s="8">
        <f ca="1">INDEX(Stations,INT((ROWS(A$2:A210)-1)/(DATE(YEAR(Invoer!$A$5),12,31)-DATE(YEAR(Invoer!$A$5),1,1)+1))+2,1)</f>
        <v>73</v>
      </c>
      <c r="B210" t="str">
        <f ca="1">TEXT(DATE(YEAR(Invoer!$A$5),1,1)+MOD(ROWS(B$2:B210)-1,DATE(YEAR(Invoer!$A$5),12,31)-DATE(YEAR(Invoer!$A$5),1,1)+1),"jjjjmmdd")</f>
        <v>19460728</v>
      </c>
      <c r="C210" s="9">
        <v>1</v>
      </c>
      <c r="D210" s="14">
        <f t="shared" ca="1" si="6"/>
        <v>8</v>
      </c>
      <c r="E210" s="15">
        <f t="shared" ca="1" si="7"/>
        <v>0</v>
      </c>
    </row>
    <row r="211" spans="1:5" x14ac:dyDescent="0.25">
      <c r="A211" s="8">
        <f ca="1">INDEX(Stations,INT((ROWS(A$2:A211)-1)/(DATE(YEAR(Invoer!$A$5),12,31)-DATE(YEAR(Invoer!$A$5),1,1)+1))+2,1)</f>
        <v>73</v>
      </c>
      <c r="B211" t="str">
        <f ca="1">TEXT(DATE(YEAR(Invoer!$A$5),1,1)+MOD(ROWS(B$2:B211)-1,DATE(YEAR(Invoer!$A$5),12,31)-DATE(YEAR(Invoer!$A$5),1,1)+1),"jjjjmmdd")</f>
        <v>19460729</v>
      </c>
      <c r="C211" s="9">
        <v>1</v>
      </c>
      <c r="D211" s="14">
        <f t="shared" ca="1" si="6"/>
        <v>13</v>
      </c>
      <c r="E211" s="15">
        <f t="shared" ca="1" si="7"/>
        <v>0</v>
      </c>
    </row>
    <row r="212" spans="1:5" x14ac:dyDescent="0.25">
      <c r="A212" s="8">
        <f ca="1">INDEX(Stations,INT((ROWS(A$2:A212)-1)/(DATE(YEAR(Invoer!$A$5),12,31)-DATE(YEAR(Invoer!$A$5),1,1)+1))+2,1)</f>
        <v>73</v>
      </c>
      <c r="B212" t="str">
        <f ca="1">TEXT(DATE(YEAR(Invoer!$A$5),1,1)+MOD(ROWS(B$2:B212)-1,DATE(YEAR(Invoer!$A$5),12,31)-DATE(YEAR(Invoer!$A$5),1,1)+1),"jjjjmmdd")</f>
        <v>19460730</v>
      </c>
      <c r="C212" s="9">
        <v>1</v>
      </c>
      <c r="D212" s="14">
        <f t="shared" ca="1" si="6"/>
        <v>0</v>
      </c>
      <c r="E212" s="15">
        <f t="shared" ca="1" si="7"/>
        <v>0</v>
      </c>
    </row>
    <row r="213" spans="1:5" x14ac:dyDescent="0.25">
      <c r="A213" s="8">
        <f ca="1">INDEX(Stations,INT((ROWS(A$2:A213)-1)/(DATE(YEAR(Invoer!$A$5),12,31)-DATE(YEAR(Invoer!$A$5),1,1)+1))+2,1)</f>
        <v>73</v>
      </c>
      <c r="B213" t="str">
        <f ca="1">TEXT(DATE(YEAR(Invoer!$A$5),1,1)+MOD(ROWS(B$2:B213)-1,DATE(YEAR(Invoer!$A$5),12,31)-DATE(YEAR(Invoer!$A$5),1,1)+1),"jjjjmmdd")</f>
        <v>19460731</v>
      </c>
      <c r="C213" s="9">
        <v>1</v>
      </c>
      <c r="D213" s="14">
        <f t="shared" ca="1" si="6"/>
        <v>0</v>
      </c>
      <c r="E213" s="15">
        <f t="shared" ca="1" si="7"/>
        <v>0</v>
      </c>
    </row>
    <row r="214" spans="1:5" x14ac:dyDescent="0.25">
      <c r="A214" s="8">
        <f ca="1">INDEX(Stations,INT((ROWS(A$2:A214)-1)/(DATE(YEAR(Invoer!$A$5),12,31)-DATE(YEAR(Invoer!$A$5),1,1)+1))+2,1)</f>
        <v>73</v>
      </c>
      <c r="B214" t="str">
        <f ca="1">TEXT(DATE(YEAR(Invoer!$A$5),1,1)+MOD(ROWS(B$2:B214)-1,DATE(YEAR(Invoer!$A$5),12,31)-DATE(YEAR(Invoer!$A$5),1,1)+1),"jjjjmmdd")</f>
        <v>19460801</v>
      </c>
      <c r="C214" s="9">
        <v>1</v>
      </c>
      <c r="D214" s="14">
        <f t="shared" ca="1" si="6"/>
        <v>0</v>
      </c>
      <c r="E214" s="15">
        <f t="shared" ca="1" si="7"/>
        <v>0</v>
      </c>
    </row>
    <row r="215" spans="1:5" x14ac:dyDescent="0.25">
      <c r="A215" s="8">
        <f ca="1">INDEX(Stations,INT((ROWS(A$2:A215)-1)/(DATE(YEAR(Invoer!$A$5),12,31)-DATE(YEAR(Invoer!$A$5),1,1)+1))+2,1)</f>
        <v>73</v>
      </c>
      <c r="B215" t="str">
        <f ca="1">TEXT(DATE(YEAR(Invoer!$A$5),1,1)+MOD(ROWS(B$2:B215)-1,DATE(YEAR(Invoer!$A$5),12,31)-DATE(YEAR(Invoer!$A$5),1,1)+1),"jjjjmmdd")</f>
        <v>19460802</v>
      </c>
      <c r="C215" s="9">
        <v>1</v>
      </c>
      <c r="D215" s="14">
        <f t="shared" ca="1" si="6"/>
        <v>0</v>
      </c>
      <c r="E215" s="15">
        <f t="shared" ca="1" si="7"/>
        <v>0</v>
      </c>
    </row>
    <row r="216" spans="1:5" x14ac:dyDescent="0.25">
      <c r="A216" s="8">
        <f ca="1">INDEX(Stations,INT((ROWS(A$2:A216)-1)/(DATE(YEAR(Invoer!$A$5),12,31)-DATE(YEAR(Invoer!$A$5),1,1)+1))+2,1)</f>
        <v>73</v>
      </c>
      <c r="B216" t="str">
        <f ca="1">TEXT(DATE(YEAR(Invoer!$A$5),1,1)+MOD(ROWS(B$2:B216)-1,DATE(YEAR(Invoer!$A$5),12,31)-DATE(YEAR(Invoer!$A$5),1,1)+1),"jjjjmmdd")</f>
        <v>19460803</v>
      </c>
      <c r="C216" s="9">
        <v>1</v>
      </c>
      <c r="D216" s="14">
        <f t="shared" ca="1" si="6"/>
        <v>63</v>
      </c>
      <c r="E216" s="15">
        <f t="shared" ca="1" si="7"/>
        <v>0</v>
      </c>
    </row>
    <row r="217" spans="1:5" x14ac:dyDescent="0.25">
      <c r="A217" s="8">
        <f ca="1">INDEX(Stations,INT((ROWS(A$2:A217)-1)/(DATE(YEAR(Invoer!$A$5),12,31)-DATE(YEAR(Invoer!$A$5),1,1)+1))+2,1)</f>
        <v>73</v>
      </c>
      <c r="B217" t="str">
        <f ca="1">TEXT(DATE(YEAR(Invoer!$A$5),1,1)+MOD(ROWS(B$2:B217)-1,DATE(YEAR(Invoer!$A$5),12,31)-DATE(YEAR(Invoer!$A$5),1,1)+1),"jjjjmmdd")</f>
        <v>19460804</v>
      </c>
      <c r="C217" s="9">
        <v>1</v>
      </c>
      <c r="D217" s="14">
        <f t="shared" ca="1" si="6"/>
        <v>83</v>
      </c>
      <c r="E217" s="15">
        <f t="shared" ca="1" si="7"/>
        <v>0</v>
      </c>
    </row>
    <row r="218" spans="1:5" x14ac:dyDescent="0.25">
      <c r="A218" s="8">
        <f ca="1">INDEX(Stations,INT((ROWS(A$2:A218)-1)/(DATE(YEAR(Invoer!$A$5),12,31)-DATE(YEAR(Invoer!$A$5),1,1)+1))+2,1)</f>
        <v>73</v>
      </c>
      <c r="B218" t="str">
        <f ca="1">TEXT(DATE(YEAR(Invoer!$A$5),1,1)+MOD(ROWS(B$2:B218)-1,DATE(YEAR(Invoer!$A$5),12,31)-DATE(YEAR(Invoer!$A$5),1,1)+1),"jjjjmmdd")</f>
        <v>19460805</v>
      </c>
      <c r="C218" s="9">
        <v>1</v>
      </c>
      <c r="D218" s="14">
        <f t="shared" ca="1" si="6"/>
        <v>0</v>
      </c>
      <c r="E218" s="15">
        <f t="shared" ca="1" si="7"/>
        <v>0</v>
      </c>
    </row>
    <row r="219" spans="1:5" x14ac:dyDescent="0.25">
      <c r="A219" s="8">
        <f ca="1">INDEX(Stations,INT((ROWS(A$2:A219)-1)/(DATE(YEAR(Invoer!$A$5),12,31)-DATE(YEAR(Invoer!$A$5),1,1)+1))+2,1)</f>
        <v>73</v>
      </c>
      <c r="B219" t="str">
        <f ca="1">TEXT(DATE(YEAR(Invoer!$A$5),1,1)+MOD(ROWS(B$2:B219)-1,DATE(YEAR(Invoer!$A$5),12,31)-DATE(YEAR(Invoer!$A$5),1,1)+1),"jjjjmmdd")</f>
        <v>19460806</v>
      </c>
      <c r="C219" s="9">
        <v>1</v>
      </c>
      <c r="D219" s="14">
        <f t="shared" ca="1" si="6"/>
        <v>0</v>
      </c>
      <c r="E219" s="15">
        <f t="shared" ca="1" si="7"/>
        <v>0</v>
      </c>
    </row>
    <row r="220" spans="1:5" x14ac:dyDescent="0.25">
      <c r="A220" s="8">
        <f ca="1">INDEX(Stations,INT((ROWS(A$2:A220)-1)/(DATE(YEAR(Invoer!$A$5),12,31)-DATE(YEAR(Invoer!$A$5),1,1)+1))+2,1)</f>
        <v>73</v>
      </c>
      <c r="B220" t="str">
        <f ca="1">TEXT(DATE(YEAR(Invoer!$A$5),1,1)+MOD(ROWS(B$2:B220)-1,DATE(YEAR(Invoer!$A$5),12,31)-DATE(YEAR(Invoer!$A$5),1,1)+1),"jjjjmmdd")</f>
        <v>19460807</v>
      </c>
      <c r="C220" s="9">
        <v>1</v>
      </c>
      <c r="D220" s="14">
        <f t="shared" ca="1" si="6"/>
        <v>0</v>
      </c>
      <c r="E220" s="15">
        <f t="shared" ca="1" si="7"/>
        <v>0</v>
      </c>
    </row>
    <row r="221" spans="1:5" x14ac:dyDescent="0.25">
      <c r="A221" s="8">
        <f ca="1">INDEX(Stations,INT((ROWS(A$2:A221)-1)/(DATE(YEAR(Invoer!$A$5),12,31)-DATE(YEAR(Invoer!$A$5),1,1)+1))+2,1)</f>
        <v>73</v>
      </c>
      <c r="B221" t="str">
        <f ca="1">TEXT(DATE(YEAR(Invoer!$A$5),1,1)+MOD(ROWS(B$2:B221)-1,DATE(YEAR(Invoer!$A$5),12,31)-DATE(YEAR(Invoer!$A$5),1,1)+1),"jjjjmmdd")</f>
        <v>19460808</v>
      </c>
      <c r="C221" s="9">
        <v>1</v>
      </c>
      <c r="D221" s="14">
        <f t="shared" ca="1" si="6"/>
        <v>644</v>
      </c>
      <c r="E221" s="15">
        <f t="shared" ca="1" si="7"/>
        <v>0</v>
      </c>
    </row>
    <row r="222" spans="1:5" x14ac:dyDescent="0.25">
      <c r="A222" s="8">
        <f ca="1">INDEX(Stations,INT((ROWS(A$2:A222)-1)/(DATE(YEAR(Invoer!$A$5),12,31)-DATE(YEAR(Invoer!$A$5),1,1)+1))+2,1)</f>
        <v>73</v>
      </c>
      <c r="B222" t="str">
        <f ca="1">TEXT(DATE(YEAR(Invoer!$A$5),1,1)+MOD(ROWS(B$2:B222)-1,DATE(YEAR(Invoer!$A$5),12,31)-DATE(YEAR(Invoer!$A$5),1,1)+1),"jjjjmmdd")</f>
        <v>19460809</v>
      </c>
      <c r="C222" s="9">
        <v>1</v>
      </c>
      <c r="D222" s="14">
        <f t="shared" ca="1" si="6"/>
        <v>25</v>
      </c>
      <c r="E222" s="15">
        <f t="shared" ca="1" si="7"/>
        <v>0</v>
      </c>
    </row>
    <row r="223" spans="1:5" x14ac:dyDescent="0.25">
      <c r="A223" s="8">
        <f ca="1">INDEX(Stations,INT((ROWS(A$2:A223)-1)/(DATE(YEAR(Invoer!$A$5),12,31)-DATE(YEAR(Invoer!$A$5),1,1)+1))+2,1)</f>
        <v>73</v>
      </c>
      <c r="B223" t="str">
        <f ca="1">TEXT(DATE(YEAR(Invoer!$A$5),1,1)+MOD(ROWS(B$2:B223)-1,DATE(YEAR(Invoer!$A$5),12,31)-DATE(YEAR(Invoer!$A$5),1,1)+1),"jjjjmmdd")</f>
        <v>19460810</v>
      </c>
      <c r="C223" s="9">
        <v>1</v>
      </c>
      <c r="D223" s="14">
        <f t="shared" ca="1" si="6"/>
        <v>0</v>
      </c>
      <c r="E223" s="15">
        <f t="shared" ca="1" si="7"/>
        <v>0</v>
      </c>
    </row>
    <row r="224" spans="1:5" x14ac:dyDescent="0.25">
      <c r="A224" s="8">
        <f ca="1">INDEX(Stations,INT((ROWS(A$2:A224)-1)/(DATE(YEAR(Invoer!$A$5),12,31)-DATE(YEAR(Invoer!$A$5),1,1)+1))+2,1)</f>
        <v>73</v>
      </c>
      <c r="B224" t="str">
        <f ca="1">TEXT(DATE(YEAR(Invoer!$A$5),1,1)+MOD(ROWS(B$2:B224)-1,DATE(YEAR(Invoer!$A$5),12,31)-DATE(YEAR(Invoer!$A$5),1,1)+1),"jjjjmmdd")</f>
        <v>19460811</v>
      </c>
      <c r="C224" s="9">
        <v>1</v>
      </c>
      <c r="D224" s="14">
        <f t="shared" ca="1" si="6"/>
        <v>0</v>
      </c>
      <c r="E224" s="15">
        <f t="shared" ca="1" si="7"/>
        <v>0</v>
      </c>
    </row>
    <row r="225" spans="1:5" x14ac:dyDescent="0.25">
      <c r="A225" s="8">
        <f ca="1">INDEX(Stations,INT((ROWS(A$2:A225)-1)/(DATE(YEAR(Invoer!$A$5),12,31)-DATE(YEAR(Invoer!$A$5),1,1)+1))+2,1)</f>
        <v>73</v>
      </c>
      <c r="B225" t="str">
        <f ca="1">TEXT(DATE(YEAR(Invoer!$A$5),1,1)+MOD(ROWS(B$2:B225)-1,DATE(YEAR(Invoer!$A$5),12,31)-DATE(YEAR(Invoer!$A$5),1,1)+1),"jjjjmmdd")</f>
        <v>19460812</v>
      </c>
      <c r="C225" s="9">
        <v>1</v>
      </c>
      <c r="D225" s="14">
        <f t="shared" ca="1" si="6"/>
        <v>29</v>
      </c>
      <c r="E225" s="15">
        <f t="shared" ca="1" si="7"/>
        <v>0</v>
      </c>
    </row>
    <row r="226" spans="1:5" x14ac:dyDescent="0.25">
      <c r="A226" s="8">
        <f ca="1">INDEX(Stations,INT((ROWS(A$2:A226)-1)/(DATE(YEAR(Invoer!$A$5),12,31)-DATE(YEAR(Invoer!$A$5),1,1)+1))+2,1)</f>
        <v>73</v>
      </c>
      <c r="B226" t="str">
        <f ca="1">TEXT(DATE(YEAR(Invoer!$A$5),1,1)+MOD(ROWS(B$2:B226)-1,DATE(YEAR(Invoer!$A$5),12,31)-DATE(YEAR(Invoer!$A$5),1,1)+1),"jjjjmmdd")</f>
        <v>19460813</v>
      </c>
      <c r="C226" s="9">
        <v>1</v>
      </c>
      <c r="D226" s="14">
        <f t="shared" ca="1" si="6"/>
        <v>10</v>
      </c>
      <c r="E226" s="15">
        <f t="shared" ca="1" si="7"/>
        <v>0</v>
      </c>
    </row>
    <row r="227" spans="1:5" x14ac:dyDescent="0.25">
      <c r="A227" s="8">
        <f ca="1">INDEX(Stations,INT((ROWS(A$2:A227)-1)/(DATE(YEAR(Invoer!$A$5),12,31)-DATE(YEAR(Invoer!$A$5),1,1)+1))+2,1)</f>
        <v>73</v>
      </c>
      <c r="B227" t="str">
        <f ca="1">TEXT(DATE(YEAR(Invoer!$A$5),1,1)+MOD(ROWS(B$2:B227)-1,DATE(YEAR(Invoer!$A$5),12,31)-DATE(YEAR(Invoer!$A$5),1,1)+1),"jjjjmmdd")</f>
        <v>19460814</v>
      </c>
      <c r="C227" s="9">
        <v>1</v>
      </c>
      <c r="D227" s="14">
        <f t="shared" ca="1" si="6"/>
        <v>100</v>
      </c>
      <c r="E227" s="15">
        <f t="shared" ca="1" si="7"/>
        <v>0</v>
      </c>
    </row>
    <row r="228" spans="1:5" x14ac:dyDescent="0.25">
      <c r="A228" s="8">
        <f ca="1">INDEX(Stations,INT((ROWS(A$2:A228)-1)/(DATE(YEAR(Invoer!$A$5),12,31)-DATE(YEAR(Invoer!$A$5),1,1)+1))+2,1)</f>
        <v>73</v>
      </c>
      <c r="B228" t="str">
        <f ca="1">TEXT(DATE(YEAR(Invoer!$A$5),1,1)+MOD(ROWS(B$2:B228)-1,DATE(YEAR(Invoer!$A$5),12,31)-DATE(YEAR(Invoer!$A$5),1,1)+1),"jjjjmmdd")</f>
        <v>19460815</v>
      </c>
      <c r="C228" s="9">
        <v>1</v>
      </c>
      <c r="D228" s="14">
        <f t="shared" ca="1" si="6"/>
        <v>56</v>
      </c>
      <c r="E228" s="15">
        <f t="shared" ca="1" si="7"/>
        <v>0</v>
      </c>
    </row>
    <row r="229" spans="1:5" x14ac:dyDescent="0.25">
      <c r="A229" s="8">
        <f ca="1">INDEX(Stations,INT((ROWS(A$2:A229)-1)/(DATE(YEAR(Invoer!$A$5),12,31)-DATE(YEAR(Invoer!$A$5),1,1)+1))+2,1)</f>
        <v>73</v>
      </c>
      <c r="B229" t="str">
        <f ca="1">TEXT(DATE(YEAR(Invoer!$A$5),1,1)+MOD(ROWS(B$2:B229)-1,DATE(YEAR(Invoer!$A$5),12,31)-DATE(YEAR(Invoer!$A$5),1,1)+1),"jjjjmmdd")</f>
        <v>19460816</v>
      </c>
      <c r="C229" s="9">
        <v>1</v>
      </c>
      <c r="D229" s="14">
        <f t="shared" ca="1" si="6"/>
        <v>0</v>
      </c>
      <c r="E229" s="15">
        <f t="shared" ca="1" si="7"/>
        <v>0</v>
      </c>
    </row>
    <row r="230" spans="1:5" x14ac:dyDescent="0.25">
      <c r="A230" s="8">
        <f ca="1">INDEX(Stations,INT((ROWS(A$2:A230)-1)/(DATE(YEAR(Invoer!$A$5),12,31)-DATE(YEAR(Invoer!$A$5),1,1)+1))+2,1)</f>
        <v>73</v>
      </c>
      <c r="B230" t="str">
        <f ca="1">TEXT(DATE(YEAR(Invoer!$A$5),1,1)+MOD(ROWS(B$2:B230)-1,DATE(YEAR(Invoer!$A$5),12,31)-DATE(YEAR(Invoer!$A$5),1,1)+1),"jjjjmmdd")</f>
        <v>19460817</v>
      </c>
      <c r="C230" s="9">
        <v>1</v>
      </c>
      <c r="D230" s="14">
        <f t="shared" ca="1" si="6"/>
        <v>106</v>
      </c>
      <c r="E230" s="15">
        <f t="shared" ca="1" si="7"/>
        <v>0</v>
      </c>
    </row>
    <row r="231" spans="1:5" x14ac:dyDescent="0.25">
      <c r="A231" s="8">
        <f ca="1">INDEX(Stations,INT((ROWS(A$2:A231)-1)/(DATE(YEAR(Invoer!$A$5),12,31)-DATE(YEAR(Invoer!$A$5),1,1)+1))+2,1)</f>
        <v>73</v>
      </c>
      <c r="B231" t="str">
        <f ca="1">TEXT(DATE(YEAR(Invoer!$A$5),1,1)+MOD(ROWS(B$2:B231)-1,DATE(YEAR(Invoer!$A$5),12,31)-DATE(YEAR(Invoer!$A$5),1,1)+1),"jjjjmmdd")</f>
        <v>19460818</v>
      </c>
      <c r="C231" s="9">
        <v>1</v>
      </c>
      <c r="D231" s="14">
        <f t="shared" ca="1" si="6"/>
        <v>173</v>
      </c>
      <c r="E231" s="15">
        <f t="shared" ca="1" si="7"/>
        <v>0</v>
      </c>
    </row>
    <row r="232" spans="1:5" x14ac:dyDescent="0.25">
      <c r="A232" s="8">
        <f ca="1">INDEX(Stations,INT((ROWS(A$2:A232)-1)/(DATE(YEAR(Invoer!$A$5),12,31)-DATE(YEAR(Invoer!$A$5),1,1)+1))+2,1)</f>
        <v>73</v>
      </c>
      <c r="B232" t="str">
        <f ca="1">TEXT(DATE(YEAR(Invoer!$A$5),1,1)+MOD(ROWS(B$2:B232)-1,DATE(YEAR(Invoer!$A$5),12,31)-DATE(YEAR(Invoer!$A$5),1,1)+1),"jjjjmmdd")</f>
        <v>19460819</v>
      </c>
      <c r="C232" s="9">
        <v>1</v>
      </c>
      <c r="D232" s="14">
        <f t="shared" ca="1" si="6"/>
        <v>0</v>
      </c>
      <c r="E232" s="15">
        <f t="shared" ca="1" si="7"/>
        <v>0</v>
      </c>
    </row>
    <row r="233" spans="1:5" x14ac:dyDescent="0.25">
      <c r="A233" s="8">
        <f ca="1">INDEX(Stations,INT((ROWS(A$2:A233)-1)/(DATE(YEAR(Invoer!$A$5),12,31)-DATE(YEAR(Invoer!$A$5),1,1)+1))+2,1)</f>
        <v>73</v>
      </c>
      <c r="B233" t="str">
        <f ca="1">TEXT(DATE(YEAR(Invoer!$A$5),1,1)+MOD(ROWS(B$2:B233)-1,DATE(YEAR(Invoer!$A$5),12,31)-DATE(YEAR(Invoer!$A$5),1,1)+1),"jjjjmmdd")</f>
        <v>19460820</v>
      </c>
      <c r="C233" s="9">
        <v>1</v>
      </c>
      <c r="D233" s="14">
        <f t="shared" ca="1" si="6"/>
        <v>0</v>
      </c>
      <c r="E233" s="15">
        <f t="shared" ca="1" si="7"/>
        <v>0</v>
      </c>
    </row>
    <row r="234" spans="1:5" x14ac:dyDescent="0.25">
      <c r="A234" s="8">
        <f ca="1">INDEX(Stations,INT((ROWS(A$2:A234)-1)/(DATE(YEAR(Invoer!$A$5),12,31)-DATE(YEAR(Invoer!$A$5),1,1)+1))+2,1)</f>
        <v>73</v>
      </c>
      <c r="B234" t="str">
        <f ca="1">TEXT(DATE(YEAR(Invoer!$A$5),1,1)+MOD(ROWS(B$2:B234)-1,DATE(YEAR(Invoer!$A$5),12,31)-DATE(YEAR(Invoer!$A$5),1,1)+1),"jjjjmmdd")</f>
        <v>19460821</v>
      </c>
      <c r="C234" s="9">
        <v>1</v>
      </c>
      <c r="D234" s="14">
        <f t="shared" ca="1" si="6"/>
        <v>0</v>
      </c>
      <c r="E234" s="15">
        <f t="shared" ca="1" si="7"/>
        <v>0</v>
      </c>
    </row>
    <row r="235" spans="1:5" x14ac:dyDescent="0.25">
      <c r="A235" s="8">
        <f ca="1">INDEX(Stations,INT((ROWS(A$2:A235)-1)/(DATE(YEAR(Invoer!$A$5),12,31)-DATE(YEAR(Invoer!$A$5),1,1)+1))+2,1)</f>
        <v>73</v>
      </c>
      <c r="B235" t="str">
        <f ca="1">TEXT(DATE(YEAR(Invoer!$A$5),1,1)+MOD(ROWS(B$2:B235)-1,DATE(YEAR(Invoer!$A$5),12,31)-DATE(YEAR(Invoer!$A$5),1,1)+1),"jjjjmmdd")</f>
        <v>19460822</v>
      </c>
      <c r="C235" s="9">
        <v>1</v>
      </c>
      <c r="D235" s="14">
        <f t="shared" ca="1" si="6"/>
        <v>1</v>
      </c>
      <c r="E235" s="15">
        <f t="shared" ca="1" si="7"/>
        <v>0</v>
      </c>
    </row>
    <row r="236" spans="1:5" x14ac:dyDescent="0.25">
      <c r="A236" s="8">
        <f ca="1">INDEX(Stations,INT((ROWS(A$2:A236)-1)/(DATE(YEAR(Invoer!$A$5),12,31)-DATE(YEAR(Invoer!$A$5),1,1)+1))+2,1)</f>
        <v>73</v>
      </c>
      <c r="B236" t="str">
        <f ca="1">TEXT(DATE(YEAR(Invoer!$A$5),1,1)+MOD(ROWS(B$2:B236)-1,DATE(YEAR(Invoer!$A$5),12,31)-DATE(YEAR(Invoer!$A$5),1,1)+1),"jjjjmmdd")</f>
        <v>19460823</v>
      </c>
      <c r="C236" s="9">
        <v>1</v>
      </c>
      <c r="D236" s="14">
        <f t="shared" ca="1" si="6"/>
        <v>0</v>
      </c>
      <c r="E236" s="15">
        <f t="shared" ca="1" si="7"/>
        <v>0</v>
      </c>
    </row>
    <row r="237" spans="1:5" x14ac:dyDescent="0.25">
      <c r="A237" s="8">
        <f ca="1">INDEX(Stations,INT((ROWS(A$2:A237)-1)/(DATE(YEAR(Invoer!$A$5),12,31)-DATE(YEAR(Invoer!$A$5),1,1)+1))+2,1)</f>
        <v>73</v>
      </c>
      <c r="B237" t="str">
        <f ca="1">TEXT(DATE(YEAR(Invoer!$A$5),1,1)+MOD(ROWS(B$2:B237)-1,DATE(YEAR(Invoer!$A$5),12,31)-DATE(YEAR(Invoer!$A$5),1,1)+1),"jjjjmmdd")</f>
        <v>19460824</v>
      </c>
      <c r="C237" s="9">
        <v>1</v>
      </c>
      <c r="D237" s="14">
        <f t="shared" ca="1" si="6"/>
        <v>10</v>
      </c>
      <c r="E237" s="15">
        <f t="shared" ca="1" si="7"/>
        <v>0</v>
      </c>
    </row>
    <row r="238" spans="1:5" x14ac:dyDescent="0.25">
      <c r="A238" s="8">
        <f ca="1">INDEX(Stations,INT((ROWS(A$2:A238)-1)/(DATE(YEAR(Invoer!$A$5),12,31)-DATE(YEAR(Invoer!$A$5),1,1)+1))+2,1)</f>
        <v>73</v>
      </c>
      <c r="B238" t="str">
        <f ca="1">TEXT(DATE(YEAR(Invoer!$A$5),1,1)+MOD(ROWS(B$2:B238)-1,DATE(YEAR(Invoer!$A$5),12,31)-DATE(YEAR(Invoer!$A$5),1,1)+1),"jjjjmmdd")</f>
        <v>19460825</v>
      </c>
      <c r="C238" s="9">
        <v>1</v>
      </c>
      <c r="D238" s="14">
        <f t="shared" ca="1" si="6"/>
        <v>0</v>
      </c>
      <c r="E238" s="15">
        <f t="shared" ca="1" si="7"/>
        <v>0</v>
      </c>
    </row>
    <row r="239" spans="1:5" x14ac:dyDescent="0.25">
      <c r="A239" s="8">
        <f ca="1">INDEX(Stations,INT((ROWS(A$2:A239)-1)/(DATE(YEAR(Invoer!$A$5),12,31)-DATE(YEAR(Invoer!$A$5),1,1)+1))+2,1)</f>
        <v>73</v>
      </c>
      <c r="B239" t="str">
        <f ca="1">TEXT(DATE(YEAR(Invoer!$A$5),1,1)+MOD(ROWS(B$2:B239)-1,DATE(YEAR(Invoer!$A$5),12,31)-DATE(YEAR(Invoer!$A$5),1,1)+1),"jjjjmmdd")</f>
        <v>19460826</v>
      </c>
      <c r="C239" s="9">
        <v>1</v>
      </c>
      <c r="D239" s="14">
        <f t="shared" ca="1" si="6"/>
        <v>0</v>
      </c>
      <c r="E239" s="15">
        <f t="shared" ca="1" si="7"/>
        <v>0</v>
      </c>
    </row>
    <row r="240" spans="1:5" x14ac:dyDescent="0.25">
      <c r="A240" s="8">
        <f ca="1">INDEX(Stations,INT((ROWS(A$2:A240)-1)/(DATE(YEAR(Invoer!$A$5),12,31)-DATE(YEAR(Invoer!$A$5),1,1)+1))+2,1)</f>
        <v>73</v>
      </c>
      <c r="B240" t="str">
        <f ca="1">TEXT(DATE(YEAR(Invoer!$A$5),1,1)+MOD(ROWS(B$2:B240)-1,DATE(YEAR(Invoer!$A$5),12,31)-DATE(YEAR(Invoer!$A$5),1,1)+1),"jjjjmmdd")</f>
        <v>19460827</v>
      </c>
      <c r="C240" s="9">
        <v>1</v>
      </c>
      <c r="D240" s="14">
        <f t="shared" ca="1" si="6"/>
        <v>0</v>
      </c>
      <c r="E240" s="15">
        <f t="shared" ca="1" si="7"/>
        <v>0</v>
      </c>
    </row>
    <row r="241" spans="1:5" x14ac:dyDescent="0.25">
      <c r="A241" s="8">
        <f ca="1">INDEX(Stations,INT((ROWS(A$2:A241)-1)/(DATE(YEAR(Invoer!$A$5),12,31)-DATE(YEAR(Invoer!$A$5),1,1)+1))+2,1)</f>
        <v>73</v>
      </c>
      <c r="B241" t="str">
        <f ca="1">TEXT(DATE(YEAR(Invoer!$A$5),1,1)+MOD(ROWS(B$2:B241)-1,DATE(YEAR(Invoer!$A$5),12,31)-DATE(YEAR(Invoer!$A$5),1,1)+1),"jjjjmmdd")</f>
        <v>19460828</v>
      </c>
      <c r="C241" s="9">
        <v>1</v>
      </c>
      <c r="D241" s="14">
        <f t="shared" ca="1" si="6"/>
        <v>1</v>
      </c>
      <c r="E241" s="15">
        <f t="shared" ca="1" si="7"/>
        <v>0</v>
      </c>
    </row>
    <row r="242" spans="1:5" x14ac:dyDescent="0.25">
      <c r="A242" s="8">
        <f ca="1">INDEX(Stations,INT((ROWS(A$2:A242)-1)/(DATE(YEAR(Invoer!$A$5),12,31)-DATE(YEAR(Invoer!$A$5),1,1)+1))+2,1)</f>
        <v>73</v>
      </c>
      <c r="B242" t="str">
        <f ca="1">TEXT(DATE(YEAR(Invoer!$A$5),1,1)+MOD(ROWS(B$2:B242)-1,DATE(YEAR(Invoer!$A$5),12,31)-DATE(YEAR(Invoer!$A$5),1,1)+1),"jjjjmmdd")</f>
        <v>19460829</v>
      </c>
      <c r="C242" s="9">
        <v>1</v>
      </c>
      <c r="D242" s="14">
        <f t="shared" ca="1" si="6"/>
        <v>0</v>
      </c>
      <c r="E242" s="15">
        <f t="shared" ca="1" si="7"/>
        <v>0</v>
      </c>
    </row>
    <row r="243" spans="1:5" x14ac:dyDescent="0.25">
      <c r="A243" s="8">
        <f ca="1">INDEX(Stations,INT((ROWS(A$2:A243)-1)/(DATE(YEAR(Invoer!$A$5),12,31)-DATE(YEAR(Invoer!$A$5),1,1)+1))+2,1)</f>
        <v>73</v>
      </c>
      <c r="B243" t="str">
        <f ca="1">TEXT(DATE(YEAR(Invoer!$A$5),1,1)+MOD(ROWS(B$2:B243)-1,DATE(YEAR(Invoer!$A$5),12,31)-DATE(YEAR(Invoer!$A$5),1,1)+1),"jjjjmmdd")</f>
        <v>19460830</v>
      </c>
      <c r="C243" s="9">
        <v>1</v>
      </c>
      <c r="D243" s="14">
        <f t="shared" ca="1" si="6"/>
        <v>0</v>
      </c>
      <c r="E243" s="15">
        <f t="shared" ca="1" si="7"/>
        <v>0</v>
      </c>
    </row>
    <row r="244" spans="1:5" x14ac:dyDescent="0.25">
      <c r="A244" s="8">
        <f ca="1">INDEX(Stations,INT((ROWS(A$2:A244)-1)/(DATE(YEAR(Invoer!$A$5),12,31)-DATE(YEAR(Invoer!$A$5),1,1)+1))+2,1)</f>
        <v>73</v>
      </c>
      <c r="B244" t="str">
        <f ca="1">TEXT(DATE(YEAR(Invoer!$A$5),1,1)+MOD(ROWS(B$2:B244)-1,DATE(YEAR(Invoer!$A$5),12,31)-DATE(YEAR(Invoer!$A$5),1,1)+1),"jjjjmmdd")</f>
        <v>19460831</v>
      </c>
      <c r="C244" s="9">
        <v>1</v>
      </c>
      <c r="D244" s="14">
        <f t="shared" ca="1" si="6"/>
        <v>0</v>
      </c>
      <c r="E244" s="15">
        <f t="shared" ca="1" si="7"/>
        <v>0</v>
      </c>
    </row>
    <row r="245" spans="1:5" x14ac:dyDescent="0.25">
      <c r="A245" s="8">
        <f ca="1">INDEX(Stations,INT((ROWS(A$2:A245)-1)/(DATE(YEAR(Invoer!$A$5),12,31)-DATE(YEAR(Invoer!$A$5),1,1)+1))+2,1)</f>
        <v>73</v>
      </c>
      <c r="B245" t="str">
        <f ca="1">TEXT(DATE(YEAR(Invoer!$A$5),1,1)+MOD(ROWS(B$2:B245)-1,DATE(YEAR(Invoer!$A$5),12,31)-DATE(YEAR(Invoer!$A$5),1,1)+1),"jjjjmmdd")</f>
        <v>19460901</v>
      </c>
      <c r="C245" s="9">
        <v>1</v>
      </c>
      <c r="D245" s="14">
        <f t="shared" ca="1" si="6"/>
        <v>86</v>
      </c>
      <c r="E245" s="15">
        <f t="shared" ca="1" si="7"/>
        <v>0</v>
      </c>
    </row>
    <row r="246" spans="1:5" x14ac:dyDescent="0.25">
      <c r="A246" s="8">
        <f ca="1">INDEX(Stations,INT((ROWS(A$2:A246)-1)/(DATE(YEAR(Invoer!$A$5),12,31)-DATE(YEAR(Invoer!$A$5),1,1)+1))+2,1)</f>
        <v>73</v>
      </c>
      <c r="B246" t="str">
        <f ca="1">TEXT(DATE(YEAR(Invoer!$A$5),1,1)+MOD(ROWS(B$2:B246)-1,DATE(YEAR(Invoer!$A$5),12,31)-DATE(YEAR(Invoer!$A$5),1,1)+1),"jjjjmmdd")</f>
        <v>19460902</v>
      </c>
      <c r="C246" s="9">
        <v>1</v>
      </c>
      <c r="D246" s="14">
        <f t="shared" ca="1" si="6"/>
        <v>104</v>
      </c>
      <c r="E246" s="15">
        <f t="shared" ca="1" si="7"/>
        <v>0</v>
      </c>
    </row>
    <row r="247" spans="1:5" x14ac:dyDescent="0.25">
      <c r="A247" s="8">
        <f ca="1">INDEX(Stations,INT((ROWS(A$2:A247)-1)/(DATE(YEAR(Invoer!$A$5),12,31)-DATE(YEAR(Invoer!$A$5),1,1)+1))+2,1)</f>
        <v>73</v>
      </c>
      <c r="B247" t="str">
        <f ca="1">TEXT(DATE(YEAR(Invoer!$A$5),1,1)+MOD(ROWS(B$2:B247)-1,DATE(YEAR(Invoer!$A$5),12,31)-DATE(YEAR(Invoer!$A$5),1,1)+1),"jjjjmmdd")</f>
        <v>19460903</v>
      </c>
      <c r="C247" s="9">
        <v>1</v>
      </c>
      <c r="D247" s="14">
        <f t="shared" ca="1" si="6"/>
        <v>7</v>
      </c>
      <c r="E247" s="15">
        <f t="shared" ca="1" si="7"/>
        <v>0</v>
      </c>
    </row>
    <row r="248" spans="1:5" x14ac:dyDescent="0.25">
      <c r="A248" s="8">
        <f ca="1">INDEX(Stations,INT((ROWS(A$2:A248)-1)/(DATE(YEAR(Invoer!$A$5),12,31)-DATE(YEAR(Invoer!$A$5),1,1)+1))+2,1)</f>
        <v>73</v>
      </c>
      <c r="B248" t="str">
        <f ca="1">TEXT(DATE(YEAR(Invoer!$A$5),1,1)+MOD(ROWS(B$2:B248)-1,DATE(YEAR(Invoer!$A$5),12,31)-DATE(YEAR(Invoer!$A$5),1,1)+1),"jjjjmmdd")</f>
        <v>19460904</v>
      </c>
      <c r="C248" s="9">
        <v>1</v>
      </c>
      <c r="D248" s="14">
        <f t="shared" ca="1" si="6"/>
        <v>1</v>
      </c>
      <c r="E248" s="15">
        <f t="shared" ca="1" si="7"/>
        <v>0</v>
      </c>
    </row>
    <row r="249" spans="1:5" x14ac:dyDescent="0.25">
      <c r="A249" s="8">
        <f ca="1">INDEX(Stations,INT((ROWS(A$2:A249)-1)/(DATE(YEAR(Invoer!$A$5),12,31)-DATE(YEAR(Invoer!$A$5),1,1)+1))+2,1)</f>
        <v>73</v>
      </c>
      <c r="B249" t="str">
        <f ca="1">TEXT(DATE(YEAR(Invoer!$A$5),1,1)+MOD(ROWS(B$2:B249)-1,DATE(YEAR(Invoer!$A$5),12,31)-DATE(YEAR(Invoer!$A$5),1,1)+1),"jjjjmmdd")</f>
        <v>19460905</v>
      </c>
      <c r="C249" s="9">
        <v>1</v>
      </c>
      <c r="D249" s="14">
        <f t="shared" ca="1" si="6"/>
        <v>0</v>
      </c>
      <c r="E249" s="15">
        <f t="shared" ca="1" si="7"/>
        <v>0</v>
      </c>
    </row>
    <row r="250" spans="1:5" x14ac:dyDescent="0.25">
      <c r="A250" s="8">
        <f ca="1">INDEX(Stations,INT((ROWS(A$2:A250)-1)/(DATE(YEAR(Invoer!$A$5),12,31)-DATE(YEAR(Invoer!$A$5),1,1)+1))+2,1)</f>
        <v>73</v>
      </c>
      <c r="B250" t="str">
        <f ca="1">TEXT(DATE(YEAR(Invoer!$A$5),1,1)+MOD(ROWS(B$2:B250)-1,DATE(YEAR(Invoer!$A$5),12,31)-DATE(YEAR(Invoer!$A$5),1,1)+1),"jjjjmmdd")</f>
        <v>19460906</v>
      </c>
      <c r="C250" s="9">
        <v>1</v>
      </c>
      <c r="D250" s="14">
        <f t="shared" ca="1" si="6"/>
        <v>0</v>
      </c>
      <c r="E250" s="15">
        <f t="shared" ca="1" si="7"/>
        <v>0</v>
      </c>
    </row>
    <row r="251" spans="1:5" x14ac:dyDescent="0.25">
      <c r="A251" s="8">
        <f ca="1">INDEX(Stations,INT((ROWS(A$2:A251)-1)/(DATE(YEAR(Invoer!$A$5),12,31)-DATE(YEAR(Invoer!$A$5),1,1)+1))+2,1)</f>
        <v>73</v>
      </c>
      <c r="B251" t="str">
        <f ca="1">TEXT(DATE(YEAR(Invoer!$A$5),1,1)+MOD(ROWS(B$2:B251)-1,DATE(YEAR(Invoer!$A$5),12,31)-DATE(YEAR(Invoer!$A$5),1,1)+1),"jjjjmmdd")</f>
        <v>19460907</v>
      </c>
      <c r="C251" s="9">
        <v>1</v>
      </c>
      <c r="D251" s="14">
        <f t="shared" ca="1" si="6"/>
        <v>0</v>
      </c>
      <c r="E251" s="15">
        <f t="shared" ca="1" si="7"/>
        <v>0</v>
      </c>
    </row>
    <row r="252" spans="1:5" x14ac:dyDescent="0.25">
      <c r="A252" s="8">
        <f ca="1">INDEX(Stations,INT((ROWS(A$2:A252)-1)/(DATE(YEAR(Invoer!$A$5),12,31)-DATE(YEAR(Invoer!$A$5),1,1)+1))+2,1)</f>
        <v>73</v>
      </c>
      <c r="B252" t="str">
        <f ca="1">TEXT(DATE(YEAR(Invoer!$A$5),1,1)+MOD(ROWS(B$2:B252)-1,DATE(YEAR(Invoer!$A$5),12,31)-DATE(YEAR(Invoer!$A$5),1,1)+1),"jjjjmmdd")</f>
        <v>19460908</v>
      </c>
      <c r="C252" s="9">
        <v>1</v>
      </c>
      <c r="D252" s="14">
        <f t="shared" ca="1" si="6"/>
        <v>103</v>
      </c>
      <c r="E252" s="15">
        <f t="shared" ca="1" si="7"/>
        <v>0</v>
      </c>
    </row>
    <row r="253" spans="1:5" x14ac:dyDescent="0.25">
      <c r="A253" s="8">
        <f ca="1">INDEX(Stations,INT((ROWS(A$2:A253)-1)/(DATE(YEAR(Invoer!$A$5),12,31)-DATE(YEAR(Invoer!$A$5),1,1)+1))+2,1)</f>
        <v>73</v>
      </c>
      <c r="B253" t="str">
        <f ca="1">TEXT(DATE(YEAR(Invoer!$A$5),1,1)+MOD(ROWS(B$2:B253)-1,DATE(YEAR(Invoer!$A$5),12,31)-DATE(YEAR(Invoer!$A$5),1,1)+1),"jjjjmmdd")</f>
        <v>19460909</v>
      </c>
      <c r="C253" s="9">
        <v>1</v>
      </c>
      <c r="D253" s="14">
        <f t="shared" ca="1" si="6"/>
        <v>100</v>
      </c>
      <c r="E253" s="15">
        <f t="shared" ca="1" si="7"/>
        <v>0</v>
      </c>
    </row>
    <row r="254" spans="1:5" x14ac:dyDescent="0.25">
      <c r="A254" s="8">
        <f ca="1">INDEX(Stations,INT((ROWS(A$2:A254)-1)/(DATE(YEAR(Invoer!$A$5),12,31)-DATE(YEAR(Invoer!$A$5),1,1)+1))+2,1)</f>
        <v>73</v>
      </c>
      <c r="B254" t="str">
        <f ca="1">TEXT(DATE(YEAR(Invoer!$A$5),1,1)+MOD(ROWS(B$2:B254)-1,DATE(YEAR(Invoer!$A$5),12,31)-DATE(YEAR(Invoer!$A$5),1,1)+1),"jjjjmmdd")</f>
        <v>19460910</v>
      </c>
      <c r="C254" s="9">
        <v>1</v>
      </c>
      <c r="D254" s="14">
        <f t="shared" ca="1" si="6"/>
        <v>20</v>
      </c>
      <c r="E254" s="15">
        <f t="shared" ca="1" si="7"/>
        <v>0</v>
      </c>
    </row>
    <row r="255" spans="1:5" x14ac:dyDescent="0.25">
      <c r="A255" s="8">
        <f ca="1">INDEX(Stations,INT((ROWS(A$2:A255)-1)/(DATE(YEAR(Invoer!$A$5),12,31)-DATE(YEAR(Invoer!$A$5),1,1)+1))+2,1)</f>
        <v>73</v>
      </c>
      <c r="B255" t="str">
        <f ca="1">TEXT(DATE(YEAR(Invoer!$A$5),1,1)+MOD(ROWS(B$2:B255)-1,DATE(YEAR(Invoer!$A$5),12,31)-DATE(YEAR(Invoer!$A$5),1,1)+1),"jjjjmmdd")</f>
        <v>19460911</v>
      </c>
      <c r="C255" s="9">
        <v>1</v>
      </c>
      <c r="D255" s="14">
        <f t="shared" ca="1" si="6"/>
        <v>3</v>
      </c>
      <c r="E255" s="15">
        <f t="shared" ca="1" si="7"/>
        <v>0</v>
      </c>
    </row>
    <row r="256" spans="1:5" x14ac:dyDescent="0.25">
      <c r="A256" s="8">
        <f ca="1">INDEX(Stations,INT((ROWS(A$2:A256)-1)/(DATE(YEAR(Invoer!$A$5),12,31)-DATE(YEAR(Invoer!$A$5),1,1)+1))+2,1)</f>
        <v>73</v>
      </c>
      <c r="B256" t="str">
        <f ca="1">TEXT(DATE(YEAR(Invoer!$A$5),1,1)+MOD(ROWS(B$2:B256)-1,DATE(YEAR(Invoer!$A$5),12,31)-DATE(YEAR(Invoer!$A$5),1,1)+1),"jjjjmmdd")</f>
        <v>19460912</v>
      </c>
      <c r="C256" s="9">
        <v>1</v>
      </c>
      <c r="D256" s="14">
        <f t="shared" ca="1" si="6"/>
        <v>70</v>
      </c>
      <c r="E256" s="15">
        <f t="shared" ca="1" si="7"/>
        <v>0</v>
      </c>
    </row>
    <row r="257" spans="1:5" x14ac:dyDescent="0.25">
      <c r="A257" s="8">
        <f ca="1">INDEX(Stations,INT((ROWS(A$2:A257)-1)/(DATE(YEAR(Invoer!$A$5),12,31)-DATE(YEAR(Invoer!$A$5),1,1)+1))+2,1)</f>
        <v>73</v>
      </c>
      <c r="B257" t="str">
        <f ca="1">TEXT(DATE(YEAR(Invoer!$A$5),1,1)+MOD(ROWS(B$2:B257)-1,DATE(YEAR(Invoer!$A$5),12,31)-DATE(YEAR(Invoer!$A$5),1,1)+1),"jjjjmmdd")</f>
        <v>19460913</v>
      </c>
      <c r="C257" s="9">
        <v>1</v>
      </c>
      <c r="D257" s="14">
        <f t="shared" ca="1" si="6"/>
        <v>0</v>
      </c>
      <c r="E257" s="15">
        <f t="shared" ca="1" si="7"/>
        <v>0</v>
      </c>
    </row>
    <row r="258" spans="1:5" x14ac:dyDescent="0.25">
      <c r="A258" s="8">
        <f ca="1">INDEX(Stations,INT((ROWS(A$2:A258)-1)/(DATE(YEAR(Invoer!$A$5),12,31)-DATE(YEAR(Invoer!$A$5),1,1)+1))+2,1)</f>
        <v>73</v>
      </c>
      <c r="B258" t="str">
        <f ca="1">TEXT(DATE(YEAR(Invoer!$A$5),1,1)+MOD(ROWS(B$2:B258)-1,DATE(YEAR(Invoer!$A$5),12,31)-DATE(YEAR(Invoer!$A$5),1,1)+1),"jjjjmmdd")</f>
        <v>19460914</v>
      </c>
      <c r="C258" s="9">
        <v>1</v>
      </c>
      <c r="D258" s="14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5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8">
        <f ca="1">INDEX(Stations,INT((ROWS(A$2:A259)-1)/(DATE(YEAR(Invoer!$A$5),12,31)-DATE(YEAR(Invoer!$A$5),1,1)+1))+2,1)</f>
        <v>73</v>
      </c>
      <c r="B259" t="str">
        <f ca="1">TEXT(DATE(YEAR(Invoer!$A$5),1,1)+MOD(ROWS(B$2:B259)-1,DATE(YEAR(Invoer!$A$5),12,31)-DATE(YEAR(Invoer!$A$5),1,1)+1),"jjjjmmdd")</f>
        <v>19460915</v>
      </c>
      <c r="C259" s="9">
        <v>1</v>
      </c>
      <c r="D259" s="14">
        <f t="shared" ca="1" si="8"/>
        <v>0</v>
      </c>
      <c r="E259" s="15">
        <f t="shared" ca="1" si="9"/>
        <v>0</v>
      </c>
    </row>
    <row r="260" spans="1:5" x14ac:dyDescent="0.25">
      <c r="A260" s="8">
        <f ca="1">INDEX(Stations,INT((ROWS(A$2:A260)-1)/(DATE(YEAR(Invoer!$A$5),12,31)-DATE(YEAR(Invoer!$A$5),1,1)+1))+2,1)</f>
        <v>73</v>
      </c>
      <c r="B260" t="str">
        <f ca="1">TEXT(DATE(YEAR(Invoer!$A$5),1,1)+MOD(ROWS(B$2:B260)-1,DATE(YEAR(Invoer!$A$5),12,31)-DATE(YEAR(Invoer!$A$5),1,1)+1),"jjjjmmdd")</f>
        <v>19460916</v>
      </c>
      <c r="C260" s="9">
        <v>1</v>
      </c>
      <c r="D260" s="14">
        <f t="shared" ca="1" si="8"/>
        <v>0</v>
      </c>
      <c r="E260" s="15">
        <f t="shared" ca="1" si="9"/>
        <v>0</v>
      </c>
    </row>
    <row r="261" spans="1:5" x14ac:dyDescent="0.25">
      <c r="A261" s="8">
        <f ca="1">INDEX(Stations,INT((ROWS(A$2:A261)-1)/(DATE(YEAR(Invoer!$A$5),12,31)-DATE(YEAR(Invoer!$A$5),1,1)+1))+2,1)</f>
        <v>73</v>
      </c>
      <c r="B261" t="str">
        <f ca="1">TEXT(DATE(YEAR(Invoer!$A$5),1,1)+MOD(ROWS(B$2:B261)-1,DATE(YEAR(Invoer!$A$5),12,31)-DATE(YEAR(Invoer!$A$5),1,1)+1),"jjjjmmdd")</f>
        <v>19460917</v>
      </c>
      <c r="C261" s="9">
        <v>1</v>
      </c>
      <c r="D261" s="14">
        <f t="shared" ca="1" si="8"/>
        <v>10</v>
      </c>
      <c r="E261" s="15">
        <f t="shared" ca="1" si="9"/>
        <v>0</v>
      </c>
    </row>
    <row r="262" spans="1:5" x14ac:dyDescent="0.25">
      <c r="A262" s="8">
        <f ca="1">INDEX(Stations,INT((ROWS(A$2:A262)-1)/(DATE(YEAR(Invoer!$A$5),12,31)-DATE(YEAR(Invoer!$A$5),1,1)+1))+2,1)</f>
        <v>73</v>
      </c>
      <c r="B262" t="str">
        <f ca="1">TEXT(DATE(YEAR(Invoer!$A$5),1,1)+MOD(ROWS(B$2:B262)-1,DATE(YEAR(Invoer!$A$5),12,31)-DATE(YEAR(Invoer!$A$5),1,1)+1),"jjjjmmdd")</f>
        <v>19460918</v>
      </c>
      <c r="C262" s="9">
        <v>1</v>
      </c>
      <c r="D262" s="14">
        <f t="shared" ca="1" si="8"/>
        <v>0</v>
      </c>
      <c r="E262" s="15">
        <f t="shared" ca="1" si="9"/>
        <v>0</v>
      </c>
    </row>
    <row r="263" spans="1:5" x14ac:dyDescent="0.25">
      <c r="A263" s="8">
        <f ca="1">INDEX(Stations,INT((ROWS(A$2:A263)-1)/(DATE(YEAR(Invoer!$A$5),12,31)-DATE(YEAR(Invoer!$A$5),1,1)+1))+2,1)</f>
        <v>73</v>
      </c>
      <c r="B263" t="str">
        <f ca="1">TEXT(DATE(YEAR(Invoer!$A$5),1,1)+MOD(ROWS(B$2:B263)-1,DATE(YEAR(Invoer!$A$5),12,31)-DATE(YEAR(Invoer!$A$5),1,1)+1),"jjjjmmdd")</f>
        <v>19460919</v>
      </c>
      <c r="C263" s="9">
        <v>1</v>
      </c>
      <c r="D263" s="14">
        <f t="shared" ca="1" si="8"/>
        <v>0</v>
      </c>
      <c r="E263" s="15">
        <f t="shared" ca="1" si="9"/>
        <v>0</v>
      </c>
    </row>
    <row r="264" spans="1:5" x14ac:dyDescent="0.25">
      <c r="A264" s="8">
        <f ca="1">INDEX(Stations,INT((ROWS(A$2:A264)-1)/(DATE(YEAR(Invoer!$A$5),12,31)-DATE(YEAR(Invoer!$A$5),1,1)+1))+2,1)</f>
        <v>73</v>
      </c>
      <c r="B264" t="str">
        <f ca="1">TEXT(DATE(YEAR(Invoer!$A$5),1,1)+MOD(ROWS(B$2:B264)-1,DATE(YEAR(Invoer!$A$5),12,31)-DATE(YEAR(Invoer!$A$5),1,1)+1),"jjjjmmdd")</f>
        <v>19460920</v>
      </c>
      <c r="C264" s="9">
        <v>1</v>
      </c>
      <c r="D264" s="14">
        <f t="shared" ca="1" si="8"/>
        <v>0</v>
      </c>
      <c r="E264" s="15">
        <f t="shared" ca="1" si="9"/>
        <v>0</v>
      </c>
    </row>
    <row r="265" spans="1:5" x14ac:dyDescent="0.25">
      <c r="A265" s="8">
        <f ca="1">INDEX(Stations,INT((ROWS(A$2:A265)-1)/(DATE(YEAR(Invoer!$A$5),12,31)-DATE(YEAR(Invoer!$A$5),1,1)+1))+2,1)</f>
        <v>73</v>
      </c>
      <c r="B265" t="str">
        <f ca="1">TEXT(DATE(YEAR(Invoer!$A$5),1,1)+MOD(ROWS(B$2:B265)-1,DATE(YEAR(Invoer!$A$5),12,31)-DATE(YEAR(Invoer!$A$5),1,1)+1),"jjjjmmdd")</f>
        <v>19460921</v>
      </c>
      <c r="C265" s="9">
        <v>1</v>
      </c>
      <c r="D265" s="14">
        <f t="shared" ca="1" si="8"/>
        <v>0</v>
      </c>
      <c r="E265" s="15">
        <f t="shared" ca="1" si="9"/>
        <v>0</v>
      </c>
    </row>
    <row r="266" spans="1:5" x14ac:dyDescent="0.25">
      <c r="A266" s="8">
        <f ca="1">INDEX(Stations,INT((ROWS(A$2:A266)-1)/(DATE(YEAR(Invoer!$A$5),12,31)-DATE(YEAR(Invoer!$A$5),1,1)+1))+2,1)</f>
        <v>73</v>
      </c>
      <c r="B266" t="str">
        <f ca="1">TEXT(DATE(YEAR(Invoer!$A$5),1,1)+MOD(ROWS(B$2:B266)-1,DATE(YEAR(Invoer!$A$5),12,31)-DATE(YEAR(Invoer!$A$5),1,1)+1),"jjjjmmdd")</f>
        <v>19460922</v>
      </c>
      <c r="C266" s="9">
        <v>1</v>
      </c>
      <c r="D266" s="14">
        <f t="shared" ca="1" si="8"/>
        <v>74</v>
      </c>
      <c r="E266" s="15">
        <f t="shared" ca="1" si="9"/>
        <v>0</v>
      </c>
    </row>
    <row r="267" spans="1:5" x14ac:dyDescent="0.25">
      <c r="A267" s="8">
        <f ca="1">INDEX(Stations,INT((ROWS(A$2:A267)-1)/(DATE(YEAR(Invoer!$A$5),12,31)-DATE(YEAR(Invoer!$A$5),1,1)+1))+2,1)</f>
        <v>73</v>
      </c>
      <c r="B267" t="str">
        <f ca="1">TEXT(DATE(YEAR(Invoer!$A$5),1,1)+MOD(ROWS(B$2:B267)-1,DATE(YEAR(Invoer!$A$5),12,31)-DATE(YEAR(Invoer!$A$5),1,1)+1),"jjjjmmdd")</f>
        <v>19460923</v>
      </c>
      <c r="C267" s="9">
        <v>1</v>
      </c>
      <c r="D267" s="14">
        <f t="shared" ca="1" si="8"/>
        <v>40</v>
      </c>
      <c r="E267" s="15">
        <f t="shared" ca="1" si="9"/>
        <v>0</v>
      </c>
    </row>
    <row r="268" spans="1:5" x14ac:dyDescent="0.25">
      <c r="A268" s="8">
        <f ca="1">INDEX(Stations,INT((ROWS(A$2:A268)-1)/(DATE(YEAR(Invoer!$A$5),12,31)-DATE(YEAR(Invoer!$A$5),1,1)+1))+2,1)</f>
        <v>73</v>
      </c>
      <c r="B268" t="str">
        <f ca="1">TEXT(DATE(YEAR(Invoer!$A$5),1,1)+MOD(ROWS(B$2:B268)-1,DATE(YEAR(Invoer!$A$5),12,31)-DATE(YEAR(Invoer!$A$5),1,1)+1),"jjjjmmdd")</f>
        <v>19460924</v>
      </c>
      <c r="C268" s="9">
        <v>1</v>
      </c>
      <c r="D268" s="14">
        <f t="shared" ca="1" si="8"/>
        <v>0</v>
      </c>
      <c r="E268" s="15">
        <f t="shared" ca="1" si="9"/>
        <v>0</v>
      </c>
    </row>
    <row r="269" spans="1:5" x14ac:dyDescent="0.25">
      <c r="A269" s="8">
        <f ca="1">INDEX(Stations,INT((ROWS(A$2:A269)-1)/(DATE(YEAR(Invoer!$A$5),12,31)-DATE(YEAR(Invoer!$A$5),1,1)+1))+2,1)</f>
        <v>73</v>
      </c>
      <c r="B269" t="str">
        <f ca="1">TEXT(DATE(YEAR(Invoer!$A$5),1,1)+MOD(ROWS(B$2:B269)-1,DATE(YEAR(Invoer!$A$5),12,31)-DATE(YEAR(Invoer!$A$5),1,1)+1),"jjjjmmdd")</f>
        <v>19460925</v>
      </c>
      <c r="C269" s="9">
        <v>1</v>
      </c>
      <c r="D269" s="14">
        <f t="shared" ca="1" si="8"/>
        <v>10</v>
      </c>
      <c r="E269" s="15">
        <f t="shared" ca="1" si="9"/>
        <v>0</v>
      </c>
    </row>
    <row r="270" spans="1:5" x14ac:dyDescent="0.25">
      <c r="A270" s="8">
        <f ca="1">INDEX(Stations,INT((ROWS(A$2:A270)-1)/(DATE(YEAR(Invoer!$A$5),12,31)-DATE(YEAR(Invoer!$A$5),1,1)+1))+2,1)</f>
        <v>73</v>
      </c>
      <c r="B270" t="str">
        <f ca="1">TEXT(DATE(YEAR(Invoer!$A$5),1,1)+MOD(ROWS(B$2:B270)-1,DATE(YEAR(Invoer!$A$5),12,31)-DATE(YEAR(Invoer!$A$5),1,1)+1),"jjjjmmdd")</f>
        <v>19460926</v>
      </c>
      <c r="C270" s="9">
        <v>1</v>
      </c>
      <c r="D270" s="14">
        <f t="shared" ca="1" si="8"/>
        <v>0</v>
      </c>
      <c r="E270" s="15">
        <f t="shared" ca="1" si="9"/>
        <v>0</v>
      </c>
    </row>
    <row r="271" spans="1:5" x14ac:dyDescent="0.25">
      <c r="A271" s="8">
        <f ca="1">INDEX(Stations,INT((ROWS(A$2:A271)-1)/(DATE(YEAR(Invoer!$A$5),12,31)-DATE(YEAR(Invoer!$A$5),1,1)+1))+2,1)</f>
        <v>73</v>
      </c>
      <c r="B271" t="str">
        <f ca="1">TEXT(DATE(YEAR(Invoer!$A$5),1,1)+MOD(ROWS(B$2:B271)-1,DATE(YEAR(Invoer!$A$5),12,31)-DATE(YEAR(Invoer!$A$5),1,1)+1),"jjjjmmdd")</f>
        <v>19460927</v>
      </c>
      <c r="C271" s="9">
        <v>1</v>
      </c>
      <c r="D271" s="14">
        <f t="shared" ca="1" si="8"/>
        <v>0</v>
      </c>
      <c r="E271" s="15">
        <f t="shared" ca="1" si="9"/>
        <v>0</v>
      </c>
    </row>
    <row r="272" spans="1:5" x14ac:dyDescent="0.25">
      <c r="A272" s="8">
        <f ca="1">INDEX(Stations,INT((ROWS(A$2:A272)-1)/(DATE(YEAR(Invoer!$A$5),12,31)-DATE(YEAR(Invoer!$A$5),1,1)+1))+2,1)</f>
        <v>73</v>
      </c>
      <c r="B272" t="str">
        <f ca="1">TEXT(DATE(YEAR(Invoer!$A$5),1,1)+MOD(ROWS(B$2:B272)-1,DATE(YEAR(Invoer!$A$5),12,31)-DATE(YEAR(Invoer!$A$5),1,1)+1),"jjjjmmdd")</f>
        <v>19460928</v>
      </c>
      <c r="C272" s="9">
        <v>1</v>
      </c>
      <c r="D272" s="14">
        <f t="shared" ca="1" si="8"/>
        <v>0</v>
      </c>
      <c r="E272" s="15">
        <f t="shared" ca="1" si="9"/>
        <v>0</v>
      </c>
    </row>
    <row r="273" spans="1:5" x14ac:dyDescent="0.25">
      <c r="A273" s="8">
        <f ca="1">INDEX(Stations,INT((ROWS(A$2:A273)-1)/(DATE(YEAR(Invoer!$A$5),12,31)-DATE(YEAR(Invoer!$A$5),1,1)+1))+2,1)</f>
        <v>73</v>
      </c>
      <c r="B273" t="str">
        <f ca="1">TEXT(DATE(YEAR(Invoer!$A$5),1,1)+MOD(ROWS(B$2:B273)-1,DATE(YEAR(Invoer!$A$5),12,31)-DATE(YEAR(Invoer!$A$5),1,1)+1),"jjjjmmdd")</f>
        <v>19460929</v>
      </c>
      <c r="C273" s="9">
        <v>1</v>
      </c>
      <c r="D273" s="14">
        <f t="shared" ca="1" si="8"/>
        <v>0</v>
      </c>
      <c r="E273" s="15">
        <f t="shared" ca="1" si="9"/>
        <v>0</v>
      </c>
    </row>
    <row r="274" spans="1:5" x14ac:dyDescent="0.25">
      <c r="A274" s="8">
        <f ca="1">INDEX(Stations,INT((ROWS(A$2:A274)-1)/(DATE(YEAR(Invoer!$A$5),12,31)-DATE(YEAR(Invoer!$A$5),1,1)+1))+2,1)</f>
        <v>73</v>
      </c>
      <c r="B274" t="str">
        <f ca="1">TEXT(DATE(YEAR(Invoer!$A$5),1,1)+MOD(ROWS(B$2:B274)-1,DATE(YEAR(Invoer!$A$5),12,31)-DATE(YEAR(Invoer!$A$5),1,1)+1),"jjjjmmdd")</f>
        <v>19460930</v>
      </c>
      <c r="C274" s="9">
        <v>1</v>
      </c>
      <c r="D274" s="14">
        <f t="shared" ca="1" si="8"/>
        <v>0</v>
      </c>
      <c r="E274" s="15">
        <f t="shared" ca="1" si="9"/>
        <v>0</v>
      </c>
    </row>
    <row r="275" spans="1:5" x14ac:dyDescent="0.25">
      <c r="A275" s="8">
        <f ca="1">INDEX(Stations,INT((ROWS(A$2:A275)-1)/(DATE(YEAR(Invoer!$A$5),12,31)-DATE(YEAR(Invoer!$A$5),1,1)+1))+2,1)</f>
        <v>73</v>
      </c>
      <c r="B275" t="str">
        <f ca="1">TEXT(DATE(YEAR(Invoer!$A$5),1,1)+MOD(ROWS(B$2:B275)-1,DATE(YEAR(Invoer!$A$5),12,31)-DATE(YEAR(Invoer!$A$5),1,1)+1),"jjjjmmdd")</f>
        <v>19461001</v>
      </c>
      <c r="C275" s="9">
        <v>1</v>
      </c>
      <c r="D275" s="14">
        <f t="shared" ca="1" si="8"/>
        <v>10</v>
      </c>
      <c r="E275" s="15">
        <f t="shared" ca="1" si="9"/>
        <v>0</v>
      </c>
    </row>
    <row r="276" spans="1:5" x14ac:dyDescent="0.25">
      <c r="A276" s="8">
        <f ca="1">INDEX(Stations,INT((ROWS(A$2:A276)-1)/(DATE(YEAR(Invoer!$A$5),12,31)-DATE(YEAR(Invoer!$A$5),1,1)+1))+2,1)</f>
        <v>73</v>
      </c>
      <c r="B276" t="str">
        <f ca="1">TEXT(DATE(YEAR(Invoer!$A$5),1,1)+MOD(ROWS(B$2:B276)-1,DATE(YEAR(Invoer!$A$5),12,31)-DATE(YEAR(Invoer!$A$5),1,1)+1),"jjjjmmdd")</f>
        <v>19461002</v>
      </c>
      <c r="C276" s="9">
        <v>1</v>
      </c>
      <c r="D276" s="14">
        <f t="shared" ca="1" si="8"/>
        <v>5</v>
      </c>
      <c r="E276" s="15">
        <f t="shared" ca="1" si="9"/>
        <v>0</v>
      </c>
    </row>
    <row r="277" spans="1:5" x14ac:dyDescent="0.25">
      <c r="A277" s="8">
        <f ca="1">INDEX(Stations,INT((ROWS(A$2:A277)-1)/(DATE(YEAR(Invoer!$A$5),12,31)-DATE(YEAR(Invoer!$A$5),1,1)+1))+2,1)</f>
        <v>73</v>
      </c>
      <c r="B277" t="str">
        <f ca="1">TEXT(DATE(YEAR(Invoer!$A$5),1,1)+MOD(ROWS(B$2:B277)-1,DATE(YEAR(Invoer!$A$5),12,31)-DATE(YEAR(Invoer!$A$5),1,1)+1),"jjjjmmdd")</f>
        <v>19461003</v>
      </c>
      <c r="C277" s="9">
        <v>1</v>
      </c>
      <c r="D277" s="14">
        <f t="shared" ca="1" si="8"/>
        <v>0</v>
      </c>
      <c r="E277" s="15">
        <f t="shared" ca="1" si="9"/>
        <v>0</v>
      </c>
    </row>
    <row r="278" spans="1:5" x14ac:dyDescent="0.25">
      <c r="A278" s="8">
        <f ca="1">INDEX(Stations,INT((ROWS(A$2:A278)-1)/(DATE(YEAR(Invoer!$A$5),12,31)-DATE(YEAR(Invoer!$A$5),1,1)+1))+2,1)</f>
        <v>73</v>
      </c>
      <c r="B278" t="str">
        <f ca="1">TEXT(DATE(YEAR(Invoer!$A$5),1,1)+MOD(ROWS(B$2:B278)-1,DATE(YEAR(Invoer!$A$5),12,31)-DATE(YEAR(Invoer!$A$5),1,1)+1),"jjjjmmdd")</f>
        <v>19461004</v>
      </c>
      <c r="C278" s="9">
        <v>1</v>
      </c>
      <c r="D278" s="14">
        <f t="shared" ca="1" si="8"/>
        <v>0</v>
      </c>
      <c r="E278" s="15">
        <f t="shared" ca="1" si="9"/>
        <v>0</v>
      </c>
    </row>
    <row r="279" spans="1:5" x14ac:dyDescent="0.25">
      <c r="A279" s="8">
        <f ca="1">INDEX(Stations,INT((ROWS(A$2:A279)-1)/(DATE(YEAR(Invoer!$A$5),12,31)-DATE(YEAR(Invoer!$A$5),1,1)+1))+2,1)</f>
        <v>73</v>
      </c>
      <c r="B279" t="str">
        <f ca="1">TEXT(DATE(YEAR(Invoer!$A$5),1,1)+MOD(ROWS(B$2:B279)-1,DATE(YEAR(Invoer!$A$5),12,31)-DATE(YEAR(Invoer!$A$5),1,1)+1),"jjjjmmdd")</f>
        <v>19461005</v>
      </c>
      <c r="C279" s="9">
        <v>1</v>
      </c>
      <c r="D279" s="14">
        <f t="shared" ca="1" si="8"/>
        <v>0</v>
      </c>
      <c r="E279" s="15">
        <f t="shared" ca="1" si="9"/>
        <v>0</v>
      </c>
    </row>
    <row r="280" spans="1:5" x14ac:dyDescent="0.25">
      <c r="A280" s="8">
        <f ca="1">INDEX(Stations,INT((ROWS(A$2:A280)-1)/(DATE(YEAR(Invoer!$A$5),12,31)-DATE(YEAR(Invoer!$A$5),1,1)+1))+2,1)</f>
        <v>73</v>
      </c>
      <c r="B280" t="str">
        <f ca="1">TEXT(DATE(YEAR(Invoer!$A$5),1,1)+MOD(ROWS(B$2:B280)-1,DATE(YEAR(Invoer!$A$5),12,31)-DATE(YEAR(Invoer!$A$5),1,1)+1),"jjjjmmdd")</f>
        <v>19461006</v>
      </c>
      <c r="C280" s="9">
        <v>1</v>
      </c>
      <c r="D280" s="14">
        <f t="shared" ca="1" si="8"/>
        <v>0</v>
      </c>
      <c r="E280" s="15">
        <f t="shared" ca="1" si="9"/>
        <v>0</v>
      </c>
    </row>
    <row r="281" spans="1:5" x14ac:dyDescent="0.25">
      <c r="A281" s="8">
        <f ca="1">INDEX(Stations,INT((ROWS(A$2:A281)-1)/(DATE(YEAR(Invoer!$A$5),12,31)-DATE(YEAR(Invoer!$A$5),1,1)+1))+2,1)</f>
        <v>73</v>
      </c>
      <c r="B281" t="str">
        <f ca="1">TEXT(DATE(YEAR(Invoer!$A$5),1,1)+MOD(ROWS(B$2:B281)-1,DATE(YEAR(Invoer!$A$5),12,31)-DATE(YEAR(Invoer!$A$5),1,1)+1),"jjjjmmdd")</f>
        <v>19461007</v>
      </c>
      <c r="C281" s="9">
        <v>1</v>
      </c>
      <c r="D281" s="14">
        <f t="shared" ca="1" si="8"/>
        <v>10</v>
      </c>
      <c r="E281" s="15">
        <f t="shared" ca="1" si="9"/>
        <v>0</v>
      </c>
    </row>
    <row r="282" spans="1:5" x14ac:dyDescent="0.25">
      <c r="A282" s="8">
        <f ca="1">INDEX(Stations,INT((ROWS(A$2:A282)-1)/(DATE(YEAR(Invoer!$A$5),12,31)-DATE(YEAR(Invoer!$A$5),1,1)+1))+2,1)</f>
        <v>73</v>
      </c>
      <c r="B282" t="str">
        <f ca="1">TEXT(DATE(YEAR(Invoer!$A$5),1,1)+MOD(ROWS(B$2:B282)-1,DATE(YEAR(Invoer!$A$5),12,31)-DATE(YEAR(Invoer!$A$5),1,1)+1),"jjjjmmdd")</f>
        <v>19461008</v>
      </c>
      <c r="C282" s="9">
        <v>1</v>
      </c>
      <c r="D282" s="14">
        <f t="shared" ca="1" si="8"/>
        <v>0</v>
      </c>
      <c r="E282" s="15">
        <f t="shared" ca="1" si="9"/>
        <v>0</v>
      </c>
    </row>
    <row r="283" spans="1:5" x14ac:dyDescent="0.25">
      <c r="A283" s="8">
        <f ca="1">INDEX(Stations,INT((ROWS(A$2:A283)-1)/(DATE(YEAR(Invoer!$A$5),12,31)-DATE(YEAR(Invoer!$A$5),1,1)+1))+2,1)</f>
        <v>73</v>
      </c>
      <c r="B283" t="str">
        <f ca="1">TEXT(DATE(YEAR(Invoer!$A$5),1,1)+MOD(ROWS(B$2:B283)-1,DATE(YEAR(Invoer!$A$5),12,31)-DATE(YEAR(Invoer!$A$5),1,1)+1),"jjjjmmdd")</f>
        <v>19461009</v>
      </c>
      <c r="C283" s="9">
        <v>1</v>
      </c>
      <c r="D283" s="14">
        <f t="shared" ca="1" si="8"/>
        <v>0</v>
      </c>
      <c r="E283" s="15">
        <f t="shared" ca="1" si="9"/>
        <v>0</v>
      </c>
    </row>
    <row r="284" spans="1:5" x14ac:dyDescent="0.25">
      <c r="A284" s="8">
        <f ca="1">INDEX(Stations,INT((ROWS(A$2:A284)-1)/(DATE(YEAR(Invoer!$A$5),12,31)-DATE(YEAR(Invoer!$A$5),1,1)+1))+2,1)</f>
        <v>73</v>
      </c>
      <c r="B284" t="str">
        <f ca="1">TEXT(DATE(YEAR(Invoer!$A$5),1,1)+MOD(ROWS(B$2:B284)-1,DATE(YEAR(Invoer!$A$5),12,31)-DATE(YEAR(Invoer!$A$5),1,1)+1),"jjjjmmdd")</f>
        <v>19461010</v>
      </c>
      <c r="C284" s="9">
        <v>1</v>
      </c>
      <c r="D284" s="14">
        <f t="shared" ca="1" si="8"/>
        <v>0</v>
      </c>
      <c r="E284" s="15">
        <f t="shared" ca="1" si="9"/>
        <v>0</v>
      </c>
    </row>
    <row r="285" spans="1:5" x14ac:dyDescent="0.25">
      <c r="A285" s="8">
        <f ca="1">INDEX(Stations,INT((ROWS(A$2:A285)-1)/(DATE(YEAR(Invoer!$A$5),12,31)-DATE(YEAR(Invoer!$A$5),1,1)+1))+2,1)</f>
        <v>73</v>
      </c>
      <c r="B285" t="str">
        <f ca="1">TEXT(DATE(YEAR(Invoer!$A$5),1,1)+MOD(ROWS(B$2:B285)-1,DATE(YEAR(Invoer!$A$5),12,31)-DATE(YEAR(Invoer!$A$5),1,1)+1),"jjjjmmdd")</f>
        <v>19461011</v>
      </c>
      <c r="C285" s="9">
        <v>1</v>
      </c>
      <c r="D285" s="14">
        <f t="shared" ca="1" si="8"/>
        <v>0</v>
      </c>
      <c r="E285" s="15">
        <f t="shared" ca="1" si="9"/>
        <v>0</v>
      </c>
    </row>
    <row r="286" spans="1:5" x14ac:dyDescent="0.25">
      <c r="A286" s="8">
        <f ca="1">INDEX(Stations,INT((ROWS(A$2:A286)-1)/(DATE(YEAR(Invoer!$A$5),12,31)-DATE(YEAR(Invoer!$A$5),1,1)+1))+2,1)</f>
        <v>73</v>
      </c>
      <c r="B286" t="str">
        <f ca="1">TEXT(DATE(YEAR(Invoer!$A$5),1,1)+MOD(ROWS(B$2:B286)-1,DATE(YEAR(Invoer!$A$5),12,31)-DATE(YEAR(Invoer!$A$5),1,1)+1),"jjjjmmdd")</f>
        <v>19461012</v>
      </c>
      <c r="C286" s="9">
        <v>1</v>
      </c>
      <c r="D286" s="14">
        <f t="shared" ca="1" si="8"/>
        <v>0</v>
      </c>
      <c r="E286" s="15">
        <f t="shared" ca="1" si="9"/>
        <v>0</v>
      </c>
    </row>
    <row r="287" spans="1:5" x14ac:dyDescent="0.25">
      <c r="A287" s="8">
        <f ca="1">INDEX(Stations,INT((ROWS(A$2:A287)-1)/(DATE(YEAR(Invoer!$A$5),12,31)-DATE(YEAR(Invoer!$A$5),1,1)+1))+2,1)</f>
        <v>73</v>
      </c>
      <c r="B287" t="str">
        <f ca="1">TEXT(DATE(YEAR(Invoer!$A$5),1,1)+MOD(ROWS(B$2:B287)-1,DATE(YEAR(Invoer!$A$5),12,31)-DATE(YEAR(Invoer!$A$5),1,1)+1),"jjjjmmdd")</f>
        <v>19461013</v>
      </c>
      <c r="C287" s="9">
        <v>1</v>
      </c>
      <c r="D287" s="14">
        <f t="shared" ca="1" si="8"/>
        <v>0</v>
      </c>
      <c r="E287" s="15">
        <f t="shared" ca="1" si="9"/>
        <v>0</v>
      </c>
    </row>
    <row r="288" spans="1:5" x14ac:dyDescent="0.25">
      <c r="A288" s="8">
        <f ca="1">INDEX(Stations,INT((ROWS(A$2:A288)-1)/(DATE(YEAR(Invoer!$A$5),12,31)-DATE(YEAR(Invoer!$A$5),1,1)+1))+2,1)</f>
        <v>73</v>
      </c>
      <c r="B288" t="str">
        <f ca="1">TEXT(DATE(YEAR(Invoer!$A$5),1,1)+MOD(ROWS(B$2:B288)-1,DATE(YEAR(Invoer!$A$5),12,31)-DATE(YEAR(Invoer!$A$5),1,1)+1),"jjjjmmdd")</f>
        <v>19461014</v>
      </c>
      <c r="C288" s="9">
        <v>1</v>
      </c>
      <c r="D288" s="14">
        <f t="shared" ca="1" si="8"/>
        <v>204</v>
      </c>
      <c r="E288" s="15">
        <f t="shared" ca="1" si="9"/>
        <v>0</v>
      </c>
    </row>
    <row r="289" spans="1:5" x14ac:dyDescent="0.25">
      <c r="A289" s="8">
        <f ca="1">INDEX(Stations,INT((ROWS(A$2:A289)-1)/(DATE(YEAR(Invoer!$A$5),12,31)-DATE(YEAR(Invoer!$A$5),1,1)+1))+2,1)</f>
        <v>73</v>
      </c>
      <c r="B289" t="str">
        <f ca="1">TEXT(DATE(YEAR(Invoer!$A$5),1,1)+MOD(ROWS(B$2:B289)-1,DATE(YEAR(Invoer!$A$5),12,31)-DATE(YEAR(Invoer!$A$5),1,1)+1),"jjjjmmdd")</f>
        <v>19461015</v>
      </c>
      <c r="C289" s="9">
        <v>1</v>
      </c>
      <c r="D289" s="14">
        <f t="shared" ca="1" si="8"/>
        <v>0</v>
      </c>
      <c r="E289" s="15">
        <f t="shared" ca="1" si="9"/>
        <v>0</v>
      </c>
    </row>
    <row r="290" spans="1:5" x14ac:dyDescent="0.25">
      <c r="A290" s="8">
        <f ca="1">INDEX(Stations,INT((ROWS(A$2:A290)-1)/(DATE(YEAR(Invoer!$A$5),12,31)-DATE(YEAR(Invoer!$A$5),1,1)+1))+2,1)</f>
        <v>73</v>
      </c>
      <c r="B290" t="str">
        <f ca="1">TEXT(DATE(YEAR(Invoer!$A$5),1,1)+MOD(ROWS(B$2:B290)-1,DATE(YEAR(Invoer!$A$5),12,31)-DATE(YEAR(Invoer!$A$5),1,1)+1),"jjjjmmdd")</f>
        <v>19461016</v>
      </c>
      <c r="C290" s="9">
        <v>1</v>
      </c>
      <c r="D290" s="14">
        <f t="shared" ca="1" si="8"/>
        <v>0</v>
      </c>
      <c r="E290" s="15">
        <f t="shared" ca="1" si="9"/>
        <v>0</v>
      </c>
    </row>
    <row r="291" spans="1:5" x14ac:dyDescent="0.25">
      <c r="A291" s="8">
        <f ca="1">INDEX(Stations,INT((ROWS(A$2:A291)-1)/(DATE(YEAR(Invoer!$A$5),12,31)-DATE(YEAR(Invoer!$A$5),1,1)+1))+2,1)</f>
        <v>73</v>
      </c>
      <c r="B291" t="str">
        <f ca="1">TEXT(DATE(YEAR(Invoer!$A$5),1,1)+MOD(ROWS(B$2:B291)-1,DATE(YEAR(Invoer!$A$5),12,31)-DATE(YEAR(Invoer!$A$5),1,1)+1),"jjjjmmdd")</f>
        <v>19461017</v>
      </c>
      <c r="C291" s="9">
        <v>1</v>
      </c>
      <c r="D291" s="14">
        <f t="shared" ca="1" si="8"/>
        <v>60</v>
      </c>
      <c r="E291" s="15">
        <f t="shared" ca="1" si="9"/>
        <v>0</v>
      </c>
    </row>
    <row r="292" spans="1:5" x14ac:dyDescent="0.25">
      <c r="A292" s="8">
        <f ca="1">INDEX(Stations,INT((ROWS(A$2:A292)-1)/(DATE(YEAR(Invoer!$A$5),12,31)-DATE(YEAR(Invoer!$A$5),1,1)+1))+2,1)</f>
        <v>73</v>
      </c>
      <c r="B292" t="str">
        <f ca="1">TEXT(DATE(YEAR(Invoer!$A$5),1,1)+MOD(ROWS(B$2:B292)-1,DATE(YEAR(Invoer!$A$5),12,31)-DATE(YEAR(Invoer!$A$5),1,1)+1),"jjjjmmdd")</f>
        <v>19461018</v>
      </c>
      <c r="C292" s="9">
        <v>1</v>
      </c>
      <c r="D292" s="14">
        <f t="shared" ca="1" si="8"/>
        <v>0</v>
      </c>
      <c r="E292" s="15">
        <f t="shared" ca="1" si="9"/>
        <v>0</v>
      </c>
    </row>
    <row r="293" spans="1:5" x14ac:dyDescent="0.25">
      <c r="A293" s="8">
        <f ca="1">INDEX(Stations,INT((ROWS(A$2:A293)-1)/(DATE(YEAR(Invoer!$A$5),12,31)-DATE(YEAR(Invoer!$A$5),1,1)+1))+2,1)</f>
        <v>73</v>
      </c>
      <c r="B293" t="str">
        <f ca="1">TEXT(DATE(YEAR(Invoer!$A$5),1,1)+MOD(ROWS(B$2:B293)-1,DATE(YEAR(Invoer!$A$5),12,31)-DATE(YEAR(Invoer!$A$5),1,1)+1),"jjjjmmdd")</f>
        <v>19461019</v>
      </c>
      <c r="C293" s="9">
        <v>1</v>
      </c>
      <c r="D293" s="14">
        <f t="shared" ca="1" si="8"/>
        <v>6</v>
      </c>
      <c r="E293" s="15">
        <f t="shared" ca="1" si="9"/>
        <v>0</v>
      </c>
    </row>
    <row r="294" spans="1:5" x14ac:dyDescent="0.25">
      <c r="A294" s="8">
        <f ca="1">INDEX(Stations,INT((ROWS(A$2:A294)-1)/(DATE(YEAR(Invoer!$A$5),12,31)-DATE(YEAR(Invoer!$A$5),1,1)+1))+2,1)</f>
        <v>73</v>
      </c>
      <c r="B294" t="str">
        <f ca="1">TEXT(DATE(YEAR(Invoer!$A$5),1,1)+MOD(ROWS(B$2:B294)-1,DATE(YEAR(Invoer!$A$5),12,31)-DATE(YEAR(Invoer!$A$5),1,1)+1),"jjjjmmdd")</f>
        <v>19461020</v>
      </c>
      <c r="C294" s="9">
        <v>1</v>
      </c>
      <c r="D294" s="14">
        <f t="shared" ca="1" si="8"/>
        <v>14</v>
      </c>
      <c r="E294" s="15">
        <f t="shared" ca="1" si="9"/>
        <v>0</v>
      </c>
    </row>
    <row r="295" spans="1:5" x14ac:dyDescent="0.25">
      <c r="A295" s="8">
        <f ca="1">INDEX(Stations,INT((ROWS(A$2:A295)-1)/(DATE(YEAR(Invoer!$A$5),12,31)-DATE(YEAR(Invoer!$A$5),1,1)+1))+2,1)</f>
        <v>73</v>
      </c>
      <c r="B295" t="str">
        <f ca="1">TEXT(DATE(YEAR(Invoer!$A$5),1,1)+MOD(ROWS(B$2:B295)-1,DATE(YEAR(Invoer!$A$5),12,31)-DATE(YEAR(Invoer!$A$5),1,1)+1),"jjjjmmdd")</f>
        <v>19461021</v>
      </c>
      <c r="C295" s="9">
        <v>1</v>
      </c>
      <c r="D295" s="14">
        <f t="shared" ca="1" si="8"/>
        <v>2</v>
      </c>
      <c r="E295" s="15">
        <f t="shared" ca="1" si="9"/>
        <v>0</v>
      </c>
    </row>
    <row r="296" spans="1:5" x14ac:dyDescent="0.25">
      <c r="A296" s="8">
        <f ca="1">INDEX(Stations,INT((ROWS(A$2:A296)-1)/(DATE(YEAR(Invoer!$A$5),12,31)-DATE(YEAR(Invoer!$A$5),1,1)+1))+2,1)</f>
        <v>73</v>
      </c>
      <c r="B296" t="str">
        <f ca="1">TEXT(DATE(YEAR(Invoer!$A$5),1,1)+MOD(ROWS(B$2:B296)-1,DATE(YEAR(Invoer!$A$5),12,31)-DATE(YEAR(Invoer!$A$5),1,1)+1),"jjjjmmdd")</f>
        <v>19461022</v>
      </c>
      <c r="C296" s="9">
        <v>1</v>
      </c>
      <c r="D296" s="14">
        <f t="shared" ca="1" si="8"/>
        <v>10</v>
      </c>
      <c r="E296" s="15">
        <f t="shared" ca="1" si="9"/>
        <v>0</v>
      </c>
    </row>
    <row r="297" spans="1:5" x14ac:dyDescent="0.25">
      <c r="A297" s="8">
        <f ca="1">INDEX(Stations,INT((ROWS(A$2:A297)-1)/(DATE(YEAR(Invoer!$A$5),12,31)-DATE(YEAR(Invoer!$A$5),1,1)+1))+2,1)</f>
        <v>73</v>
      </c>
      <c r="B297" t="str">
        <f ca="1">TEXT(DATE(YEAR(Invoer!$A$5),1,1)+MOD(ROWS(B$2:B297)-1,DATE(YEAR(Invoer!$A$5),12,31)-DATE(YEAR(Invoer!$A$5),1,1)+1),"jjjjmmdd")</f>
        <v>19461023</v>
      </c>
      <c r="C297" s="9">
        <v>1</v>
      </c>
      <c r="D297" s="14">
        <f t="shared" ca="1" si="8"/>
        <v>0</v>
      </c>
      <c r="E297" s="15">
        <f t="shared" ca="1" si="9"/>
        <v>0</v>
      </c>
    </row>
    <row r="298" spans="1:5" x14ac:dyDescent="0.25">
      <c r="A298" s="8">
        <f ca="1">INDEX(Stations,INT((ROWS(A$2:A298)-1)/(DATE(YEAR(Invoer!$A$5),12,31)-DATE(YEAR(Invoer!$A$5),1,1)+1))+2,1)</f>
        <v>73</v>
      </c>
      <c r="B298" t="str">
        <f ca="1">TEXT(DATE(YEAR(Invoer!$A$5),1,1)+MOD(ROWS(B$2:B298)-1,DATE(YEAR(Invoer!$A$5),12,31)-DATE(YEAR(Invoer!$A$5),1,1)+1),"jjjjmmdd")</f>
        <v>19461024</v>
      </c>
      <c r="C298" s="9">
        <v>1</v>
      </c>
      <c r="D298" s="14">
        <f t="shared" ca="1" si="8"/>
        <v>83</v>
      </c>
      <c r="E298" s="15">
        <f t="shared" ca="1" si="9"/>
        <v>0</v>
      </c>
    </row>
    <row r="299" spans="1:5" x14ac:dyDescent="0.25">
      <c r="A299" s="8">
        <f ca="1">INDEX(Stations,INT((ROWS(A$2:A299)-1)/(DATE(YEAR(Invoer!$A$5),12,31)-DATE(YEAR(Invoer!$A$5),1,1)+1))+2,1)</f>
        <v>73</v>
      </c>
      <c r="B299" t="str">
        <f ca="1">TEXT(DATE(YEAR(Invoer!$A$5),1,1)+MOD(ROWS(B$2:B299)-1,DATE(YEAR(Invoer!$A$5),12,31)-DATE(YEAR(Invoer!$A$5),1,1)+1),"jjjjmmdd")</f>
        <v>19461025</v>
      </c>
      <c r="C299" s="9">
        <v>1</v>
      </c>
      <c r="D299" s="14">
        <f t="shared" ca="1" si="8"/>
        <v>13</v>
      </c>
      <c r="E299" s="15">
        <f t="shared" ca="1" si="9"/>
        <v>0</v>
      </c>
    </row>
    <row r="300" spans="1:5" x14ac:dyDescent="0.25">
      <c r="A300" s="8">
        <f ca="1">INDEX(Stations,INT((ROWS(A$2:A300)-1)/(DATE(YEAR(Invoer!$A$5),12,31)-DATE(YEAR(Invoer!$A$5),1,1)+1))+2,1)</f>
        <v>73</v>
      </c>
      <c r="B300" t="str">
        <f ca="1">TEXT(DATE(YEAR(Invoer!$A$5),1,1)+MOD(ROWS(B$2:B300)-1,DATE(YEAR(Invoer!$A$5),12,31)-DATE(YEAR(Invoer!$A$5),1,1)+1),"jjjjmmdd")</f>
        <v>19461026</v>
      </c>
      <c r="C300" s="9">
        <v>1</v>
      </c>
      <c r="D300" s="14">
        <f t="shared" ca="1" si="8"/>
        <v>0</v>
      </c>
      <c r="E300" s="15">
        <f t="shared" ca="1" si="9"/>
        <v>0</v>
      </c>
    </row>
    <row r="301" spans="1:5" x14ac:dyDescent="0.25">
      <c r="A301" s="8">
        <f ca="1">INDEX(Stations,INT((ROWS(A$2:A301)-1)/(DATE(YEAR(Invoer!$A$5),12,31)-DATE(YEAR(Invoer!$A$5),1,1)+1))+2,1)</f>
        <v>73</v>
      </c>
      <c r="B301" t="str">
        <f ca="1">TEXT(DATE(YEAR(Invoer!$A$5),1,1)+MOD(ROWS(B$2:B301)-1,DATE(YEAR(Invoer!$A$5),12,31)-DATE(YEAR(Invoer!$A$5),1,1)+1),"jjjjmmdd")</f>
        <v>19461027</v>
      </c>
      <c r="C301" s="9">
        <v>1</v>
      </c>
      <c r="D301" s="14">
        <f t="shared" ca="1" si="8"/>
        <v>52</v>
      </c>
      <c r="E301" s="15">
        <f t="shared" ca="1" si="9"/>
        <v>0</v>
      </c>
    </row>
    <row r="302" spans="1:5" x14ac:dyDescent="0.25">
      <c r="A302" s="8">
        <f ca="1">INDEX(Stations,INT((ROWS(A$2:A302)-1)/(DATE(YEAR(Invoer!$A$5),12,31)-DATE(YEAR(Invoer!$A$5),1,1)+1))+2,1)</f>
        <v>73</v>
      </c>
      <c r="B302" t="str">
        <f ca="1">TEXT(DATE(YEAR(Invoer!$A$5),1,1)+MOD(ROWS(B$2:B302)-1,DATE(YEAR(Invoer!$A$5),12,31)-DATE(YEAR(Invoer!$A$5),1,1)+1),"jjjjmmdd")</f>
        <v>19461028</v>
      </c>
      <c r="C302" s="9">
        <v>1</v>
      </c>
      <c r="D302" s="14">
        <f t="shared" ca="1" si="8"/>
        <v>0</v>
      </c>
      <c r="E302" s="15">
        <f t="shared" ca="1" si="9"/>
        <v>0</v>
      </c>
    </row>
    <row r="303" spans="1:5" x14ac:dyDescent="0.25">
      <c r="A303" s="8">
        <f ca="1">INDEX(Stations,INT((ROWS(A$2:A303)-1)/(DATE(YEAR(Invoer!$A$5),12,31)-DATE(YEAR(Invoer!$A$5),1,1)+1))+2,1)</f>
        <v>73</v>
      </c>
      <c r="B303" t="str">
        <f ca="1">TEXT(DATE(YEAR(Invoer!$A$5),1,1)+MOD(ROWS(B$2:B303)-1,DATE(YEAR(Invoer!$A$5),12,31)-DATE(YEAR(Invoer!$A$5),1,1)+1),"jjjjmmdd")</f>
        <v>19461029</v>
      </c>
      <c r="C303" s="9">
        <v>1</v>
      </c>
      <c r="D303" s="14">
        <f t="shared" ca="1" si="8"/>
        <v>0</v>
      </c>
      <c r="E303" s="15">
        <f t="shared" ca="1" si="9"/>
        <v>0</v>
      </c>
    </row>
    <row r="304" spans="1:5" x14ac:dyDescent="0.25">
      <c r="A304" s="8">
        <f ca="1">INDEX(Stations,INT((ROWS(A$2:A304)-1)/(DATE(YEAR(Invoer!$A$5),12,31)-DATE(YEAR(Invoer!$A$5),1,1)+1))+2,1)</f>
        <v>73</v>
      </c>
      <c r="B304" t="str">
        <f ca="1">TEXT(DATE(YEAR(Invoer!$A$5),1,1)+MOD(ROWS(B$2:B304)-1,DATE(YEAR(Invoer!$A$5),12,31)-DATE(YEAR(Invoer!$A$5),1,1)+1),"jjjjmmdd")</f>
        <v>19461030</v>
      </c>
      <c r="C304" s="9">
        <v>1</v>
      </c>
      <c r="D304" s="14">
        <f t="shared" ca="1" si="8"/>
        <v>0</v>
      </c>
      <c r="E304" s="15">
        <f t="shared" ca="1" si="9"/>
        <v>0</v>
      </c>
    </row>
    <row r="305" spans="1:5" x14ac:dyDescent="0.25">
      <c r="A305" s="8">
        <f ca="1">INDEX(Stations,INT((ROWS(A$2:A305)-1)/(DATE(YEAR(Invoer!$A$5),12,31)-DATE(YEAR(Invoer!$A$5),1,1)+1))+2,1)</f>
        <v>73</v>
      </c>
      <c r="B305" t="str">
        <f ca="1">TEXT(DATE(YEAR(Invoer!$A$5),1,1)+MOD(ROWS(B$2:B305)-1,DATE(YEAR(Invoer!$A$5),12,31)-DATE(YEAR(Invoer!$A$5),1,1)+1),"jjjjmmdd")</f>
        <v>19461031</v>
      </c>
      <c r="C305" s="9">
        <v>1</v>
      </c>
      <c r="D305" s="14">
        <f t="shared" ca="1" si="8"/>
        <v>0</v>
      </c>
      <c r="E305" s="15">
        <f t="shared" ca="1" si="9"/>
        <v>0</v>
      </c>
    </row>
    <row r="306" spans="1:5" x14ac:dyDescent="0.25">
      <c r="A306" s="8">
        <f ca="1">INDEX(Stations,INT((ROWS(A$2:A306)-1)/(DATE(YEAR(Invoer!$A$5),12,31)-DATE(YEAR(Invoer!$A$5),1,1)+1))+2,1)</f>
        <v>73</v>
      </c>
      <c r="B306" t="str">
        <f ca="1">TEXT(DATE(YEAR(Invoer!$A$5),1,1)+MOD(ROWS(B$2:B306)-1,DATE(YEAR(Invoer!$A$5),12,31)-DATE(YEAR(Invoer!$A$5),1,1)+1),"jjjjmmdd")</f>
        <v>19461101</v>
      </c>
      <c r="C306" s="9">
        <v>1</v>
      </c>
      <c r="D306" s="14">
        <f t="shared" ca="1" si="8"/>
        <v>0</v>
      </c>
      <c r="E306" s="15">
        <f t="shared" ca="1" si="9"/>
        <v>0</v>
      </c>
    </row>
    <row r="307" spans="1:5" x14ac:dyDescent="0.25">
      <c r="A307" s="8">
        <f ca="1">INDEX(Stations,INT((ROWS(A$2:A307)-1)/(DATE(YEAR(Invoer!$A$5),12,31)-DATE(YEAR(Invoer!$A$5),1,1)+1))+2,1)</f>
        <v>73</v>
      </c>
      <c r="B307" t="str">
        <f ca="1">TEXT(DATE(YEAR(Invoer!$A$5),1,1)+MOD(ROWS(B$2:B307)-1,DATE(YEAR(Invoer!$A$5),12,31)-DATE(YEAR(Invoer!$A$5),1,1)+1),"jjjjmmdd")</f>
        <v>19461102</v>
      </c>
      <c r="C307" s="9">
        <v>1</v>
      </c>
      <c r="D307" s="14">
        <f t="shared" ca="1" si="8"/>
        <v>0</v>
      </c>
      <c r="E307" s="15">
        <f t="shared" ca="1" si="9"/>
        <v>0</v>
      </c>
    </row>
    <row r="308" spans="1:5" x14ac:dyDescent="0.25">
      <c r="A308" s="8">
        <f ca="1">INDEX(Stations,INT((ROWS(A$2:A308)-1)/(DATE(YEAR(Invoer!$A$5),12,31)-DATE(YEAR(Invoer!$A$5),1,1)+1))+2,1)</f>
        <v>73</v>
      </c>
      <c r="B308" t="str">
        <f ca="1">TEXT(DATE(YEAR(Invoer!$A$5),1,1)+MOD(ROWS(B$2:B308)-1,DATE(YEAR(Invoer!$A$5),12,31)-DATE(YEAR(Invoer!$A$5),1,1)+1),"jjjjmmdd")</f>
        <v>19461103</v>
      </c>
      <c r="C308" s="9">
        <v>1</v>
      </c>
      <c r="D308" s="14">
        <f t="shared" ca="1" si="8"/>
        <v>130</v>
      </c>
      <c r="E308" s="15">
        <f t="shared" ca="1" si="9"/>
        <v>0</v>
      </c>
    </row>
    <row r="309" spans="1:5" x14ac:dyDescent="0.25">
      <c r="A309" s="8">
        <f ca="1">INDEX(Stations,INT((ROWS(A$2:A309)-1)/(DATE(YEAR(Invoer!$A$5),12,31)-DATE(YEAR(Invoer!$A$5),1,1)+1))+2,1)</f>
        <v>73</v>
      </c>
      <c r="B309" t="str">
        <f ca="1">TEXT(DATE(YEAR(Invoer!$A$5),1,1)+MOD(ROWS(B$2:B309)-1,DATE(YEAR(Invoer!$A$5),12,31)-DATE(YEAR(Invoer!$A$5),1,1)+1),"jjjjmmdd")</f>
        <v>19461104</v>
      </c>
      <c r="C309" s="9">
        <v>1</v>
      </c>
      <c r="D309" s="14">
        <f t="shared" ca="1" si="8"/>
        <v>0</v>
      </c>
      <c r="E309" s="15">
        <f t="shared" ca="1" si="9"/>
        <v>0</v>
      </c>
    </row>
    <row r="310" spans="1:5" x14ac:dyDescent="0.25">
      <c r="A310" s="8">
        <f ca="1">INDEX(Stations,INT((ROWS(A$2:A310)-1)/(DATE(YEAR(Invoer!$A$5),12,31)-DATE(YEAR(Invoer!$A$5),1,1)+1))+2,1)</f>
        <v>73</v>
      </c>
      <c r="B310" t="str">
        <f ca="1">TEXT(DATE(YEAR(Invoer!$A$5),1,1)+MOD(ROWS(B$2:B310)-1,DATE(YEAR(Invoer!$A$5),12,31)-DATE(YEAR(Invoer!$A$5),1,1)+1),"jjjjmmdd")</f>
        <v>19461105</v>
      </c>
      <c r="C310" s="9">
        <v>1</v>
      </c>
      <c r="D310" s="14">
        <f t="shared" ca="1" si="8"/>
        <v>0</v>
      </c>
      <c r="E310" s="15">
        <f t="shared" ca="1" si="9"/>
        <v>0</v>
      </c>
    </row>
    <row r="311" spans="1:5" x14ac:dyDescent="0.25">
      <c r="A311" s="8">
        <f ca="1">INDEX(Stations,INT((ROWS(A$2:A311)-1)/(DATE(YEAR(Invoer!$A$5),12,31)-DATE(YEAR(Invoer!$A$5),1,1)+1))+2,1)</f>
        <v>73</v>
      </c>
      <c r="B311" t="str">
        <f ca="1">TEXT(DATE(YEAR(Invoer!$A$5),1,1)+MOD(ROWS(B$2:B311)-1,DATE(YEAR(Invoer!$A$5),12,31)-DATE(YEAR(Invoer!$A$5),1,1)+1),"jjjjmmdd")</f>
        <v>19461106</v>
      </c>
      <c r="C311" s="9">
        <v>1</v>
      </c>
      <c r="D311" s="14">
        <f t="shared" ca="1" si="8"/>
        <v>0</v>
      </c>
      <c r="E311" s="15">
        <f t="shared" ca="1" si="9"/>
        <v>0</v>
      </c>
    </row>
    <row r="312" spans="1:5" x14ac:dyDescent="0.25">
      <c r="A312" s="8">
        <f ca="1">INDEX(Stations,INT((ROWS(A$2:A312)-1)/(DATE(YEAR(Invoer!$A$5),12,31)-DATE(YEAR(Invoer!$A$5),1,1)+1))+2,1)</f>
        <v>73</v>
      </c>
      <c r="B312" t="str">
        <f ca="1">TEXT(DATE(YEAR(Invoer!$A$5),1,1)+MOD(ROWS(B$2:B312)-1,DATE(YEAR(Invoer!$A$5),12,31)-DATE(YEAR(Invoer!$A$5),1,1)+1),"jjjjmmdd")</f>
        <v>19461107</v>
      </c>
      <c r="C312" s="9">
        <v>1</v>
      </c>
      <c r="D312" s="14">
        <f t="shared" ca="1" si="8"/>
        <v>0</v>
      </c>
      <c r="E312" s="15">
        <f t="shared" ca="1" si="9"/>
        <v>0</v>
      </c>
    </row>
    <row r="313" spans="1:5" x14ac:dyDescent="0.25">
      <c r="A313" s="8">
        <f ca="1">INDEX(Stations,INT((ROWS(A$2:A313)-1)/(DATE(YEAR(Invoer!$A$5),12,31)-DATE(YEAR(Invoer!$A$5),1,1)+1))+2,1)</f>
        <v>73</v>
      </c>
      <c r="B313" t="str">
        <f ca="1">TEXT(DATE(YEAR(Invoer!$A$5),1,1)+MOD(ROWS(B$2:B313)-1,DATE(YEAR(Invoer!$A$5),12,31)-DATE(YEAR(Invoer!$A$5),1,1)+1),"jjjjmmdd")</f>
        <v>19461108</v>
      </c>
      <c r="C313" s="9">
        <v>1</v>
      </c>
      <c r="D313" s="14">
        <f t="shared" ca="1" si="8"/>
        <v>0</v>
      </c>
      <c r="E313" s="15">
        <f t="shared" ca="1" si="9"/>
        <v>0</v>
      </c>
    </row>
    <row r="314" spans="1:5" x14ac:dyDescent="0.25">
      <c r="A314" s="8">
        <f ca="1">INDEX(Stations,INT((ROWS(A$2:A314)-1)/(DATE(YEAR(Invoer!$A$5),12,31)-DATE(YEAR(Invoer!$A$5),1,1)+1))+2,1)</f>
        <v>73</v>
      </c>
      <c r="B314" t="str">
        <f ca="1">TEXT(DATE(YEAR(Invoer!$A$5),1,1)+MOD(ROWS(B$2:B314)-1,DATE(YEAR(Invoer!$A$5),12,31)-DATE(YEAR(Invoer!$A$5),1,1)+1),"jjjjmmdd")</f>
        <v>19461109</v>
      </c>
      <c r="C314" s="9">
        <v>1</v>
      </c>
      <c r="D314" s="14">
        <f t="shared" ca="1" si="8"/>
        <v>0</v>
      </c>
      <c r="E314" s="15">
        <f t="shared" ca="1" si="9"/>
        <v>0</v>
      </c>
    </row>
    <row r="315" spans="1:5" x14ac:dyDescent="0.25">
      <c r="A315" s="8">
        <f ca="1">INDEX(Stations,INT((ROWS(A$2:A315)-1)/(DATE(YEAR(Invoer!$A$5),12,31)-DATE(YEAR(Invoer!$A$5),1,1)+1))+2,1)</f>
        <v>73</v>
      </c>
      <c r="B315" t="str">
        <f ca="1">TEXT(DATE(YEAR(Invoer!$A$5),1,1)+MOD(ROWS(B$2:B315)-1,DATE(YEAR(Invoer!$A$5),12,31)-DATE(YEAR(Invoer!$A$5),1,1)+1),"jjjjmmdd")</f>
        <v>19461110</v>
      </c>
      <c r="C315" s="9">
        <v>1</v>
      </c>
      <c r="D315" s="14">
        <f t="shared" ca="1" si="8"/>
        <v>0</v>
      </c>
      <c r="E315" s="15">
        <f t="shared" ca="1" si="9"/>
        <v>0</v>
      </c>
    </row>
    <row r="316" spans="1:5" x14ac:dyDescent="0.25">
      <c r="A316" s="8">
        <f ca="1">INDEX(Stations,INT((ROWS(A$2:A316)-1)/(DATE(YEAR(Invoer!$A$5),12,31)-DATE(YEAR(Invoer!$A$5),1,1)+1))+2,1)</f>
        <v>73</v>
      </c>
      <c r="B316" t="str">
        <f ca="1">TEXT(DATE(YEAR(Invoer!$A$5),1,1)+MOD(ROWS(B$2:B316)-1,DATE(YEAR(Invoer!$A$5),12,31)-DATE(YEAR(Invoer!$A$5),1,1)+1),"jjjjmmdd")</f>
        <v>19461111</v>
      </c>
      <c r="C316" s="9">
        <v>1</v>
      </c>
      <c r="D316" s="14">
        <f t="shared" ca="1" si="8"/>
        <v>0</v>
      </c>
      <c r="E316" s="15">
        <f t="shared" ca="1" si="9"/>
        <v>0</v>
      </c>
    </row>
    <row r="317" spans="1:5" x14ac:dyDescent="0.25">
      <c r="A317" s="8">
        <f ca="1">INDEX(Stations,INT((ROWS(A$2:A317)-1)/(DATE(YEAR(Invoer!$A$5),12,31)-DATE(YEAR(Invoer!$A$5),1,1)+1))+2,1)</f>
        <v>73</v>
      </c>
      <c r="B317" t="str">
        <f ca="1">TEXT(DATE(YEAR(Invoer!$A$5),1,1)+MOD(ROWS(B$2:B317)-1,DATE(YEAR(Invoer!$A$5),12,31)-DATE(YEAR(Invoer!$A$5),1,1)+1),"jjjjmmdd")</f>
        <v>19461112</v>
      </c>
      <c r="C317" s="9">
        <v>1</v>
      </c>
      <c r="D317" s="14">
        <f t="shared" ca="1" si="8"/>
        <v>33</v>
      </c>
      <c r="E317" s="15">
        <f t="shared" ca="1" si="9"/>
        <v>0</v>
      </c>
    </row>
    <row r="318" spans="1:5" x14ac:dyDescent="0.25">
      <c r="A318" s="8">
        <f ca="1">INDEX(Stations,INT((ROWS(A$2:A318)-1)/(DATE(YEAR(Invoer!$A$5),12,31)-DATE(YEAR(Invoer!$A$5),1,1)+1))+2,1)</f>
        <v>73</v>
      </c>
      <c r="B318" t="str">
        <f ca="1">TEXT(DATE(YEAR(Invoer!$A$5),1,1)+MOD(ROWS(B$2:B318)-1,DATE(YEAR(Invoer!$A$5),12,31)-DATE(YEAR(Invoer!$A$5),1,1)+1),"jjjjmmdd")</f>
        <v>19461113</v>
      </c>
      <c r="C318" s="9">
        <v>1</v>
      </c>
      <c r="D318" s="14">
        <f t="shared" ca="1" si="8"/>
        <v>0</v>
      </c>
      <c r="E318" s="15">
        <f t="shared" ca="1" si="9"/>
        <v>0</v>
      </c>
    </row>
    <row r="319" spans="1:5" x14ac:dyDescent="0.25">
      <c r="A319" s="8">
        <f ca="1">INDEX(Stations,INT((ROWS(A$2:A319)-1)/(DATE(YEAR(Invoer!$A$5),12,31)-DATE(YEAR(Invoer!$A$5),1,1)+1))+2,1)</f>
        <v>73</v>
      </c>
      <c r="B319" t="str">
        <f ca="1">TEXT(DATE(YEAR(Invoer!$A$5),1,1)+MOD(ROWS(B$2:B319)-1,DATE(YEAR(Invoer!$A$5),12,31)-DATE(YEAR(Invoer!$A$5),1,1)+1),"jjjjmmdd")</f>
        <v>19461114</v>
      </c>
      <c r="C319" s="9">
        <v>1</v>
      </c>
      <c r="D319" s="14">
        <f t="shared" ca="1" si="8"/>
        <v>100</v>
      </c>
      <c r="E319" s="15">
        <f t="shared" ca="1" si="9"/>
        <v>0</v>
      </c>
    </row>
    <row r="320" spans="1:5" x14ac:dyDescent="0.25">
      <c r="A320" s="8">
        <f ca="1">INDEX(Stations,INT((ROWS(A$2:A320)-1)/(DATE(YEAR(Invoer!$A$5),12,31)-DATE(YEAR(Invoer!$A$5),1,1)+1))+2,1)</f>
        <v>73</v>
      </c>
      <c r="B320" t="str">
        <f ca="1">TEXT(DATE(YEAR(Invoer!$A$5),1,1)+MOD(ROWS(B$2:B320)-1,DATE(YEAR(Invoer!$A$5),12,31)-DATE(YEAR(Invoer!$A$5),1,1)+1),"jjjjmmdd")</f>
        <v>19461115</v>
      </c>
      <c r="C320" s="9">
        <v>1</v>
      </c>
      <c r="D320" s="14">
        <f t="shared" ca="1" si="8"/>
        <v>0</v>
      </c>
      <c r="E320" s="15">
        <f t="shared" ca="1" si="9"/>
        <v>0</v>
      </c>
    </row>
    <row r="321" spans="1:5" x14ac:dyDescent="0.25">
      <c r="A321" s="8">
        <f ca="1">INDEX(Stations,INT((ROWS(A$2:A321)-1)/(DATE(YEAR(Invoer!$A$5),12,31)-DATE(YEAR(Invoer!$A$5),1,1)+1))+2,1)</f>
        <v>73</v>
      </c>
      <c r="B321" t="str">
        <f ca="1">TEXT(DATE(YEAR(Invoer!$A$5),1,1)+MOD(ROWS(B$2:B321)-1,DATE(YEAR(Invoer!$A$5),12,31)-DATE(YEAR(Invoer!$A$5),1,1)+1),"jjjjmmdd")</f>
        <v>19461116</v>
      </c>
      <c r="C321" s="9">
        <v>1</v>
      </c>
      <c r="D321" s="14">
        <f t="shared" ca="1" si="8"/>
        <v>370</v>
      </c>
      <c r="E321" s="15">
        <f t="shared" ca="1" si="9"/>
        <v>0</v>
      </c>
    </row>
    <row r="322" spans="1:5" x14ac:dyDescent="0.25">
      <c r="A322" s="8">
        <f ca="1">INDEX(Stations,INT((ROWS(A$2:A322)-1)/(DATE(YEAR(Invoer!$A$5),12,31)-DATE(YEAR(Invoer!$A$5),1,1)+1))+2,1)</f>
        <v>73</v>
      </c>
      <c r="B322" t="str">
        <f ca="1">TEXT(DATE(YEAR(Invoer!$A$5),1,1)+MOD(ROWS(B$2:B322)-1,DATE(YEAR(Invoer!$A$5),12,31)-DATE(YEAR(Invoer!$A$5),1,1)+1),"jjjjmmdd")</f>
        <v>19461117</v>
      </c>
      <c r="C322" s="9">
        <v>1</v>
      </c>
      <c r="D322" s="14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150</v>
      </c>
      <c r="E322" s="15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8">
        <f ca="1">INDEX(Stations,INT((ROWS(A$2:A323)-1)/(DATE(YEAR(Invoer!$A$5),12,31)-DATE(YEAR(Invoer!$A$5),1,1)+1))+2,1)</f>
        <v>73</v>
      </c>
      <c r="B323" t="str">
        <f ca="1">TEXT(DATE(YEAR(Invoer!$A$5),1,1)+MOD(ROWS(B$2:B323)-1,DATE(YEAR(Invoer!$A$5),12,31)-DATE(YEAR(Invoer!$A$5),1,1)+1),"jjjjmmdd")</f>
        <v>19461118</v>
      </c>
      <c r="C323" s="9">
        <v>1</v>
      </c>
      <c r="D323" s="14">
        <f t="shared" ca="1" si="10"/>
        <v>0</v>
      </c>
      <c r="E323" s="15">
        <f t="shared" ca="1" si="11"/>
        <v>0</v>
      </c>
    </row>
    <row r="324" spans="1:5" x14ac:dyDescent="0.25">
      <c r="A324" s="8">
        <f ca="1">INDEX(Stations,INT((ROWS(A$2:A324)-1)/(DATE(YEAR(Invoer!$A$5),12,31)-DATE(YEAR(Invoer!$A$5),1,1)+1))+2,1)</f>
        <v>73</v>
      </c>
      <c r="B324" t="str">
        <f ca="1">TEXT(DATE(YEAR(Invoer!$A$5),1,1)+MOD(ROWS(B$2:B324)-1,DATE(YEAR(Invoer!$A$5),12,31)-DATE(YEAR(Invoer!$A$5),1,1)+1),"jjjjmmdd")</f>
        <v>19461119</v>
      </c>
      <c r="C324" s="9">
        <v>1</v>
      </c>
      <c r="D324" s="14">
        <f t="shared" ca="1" si="10"/>
        <v>0</v>
      </c>
      <c r="E324" s="15">
        <f t="shared" ca="1" si="11"/>
        <v>0</v>
      </c>
    </row>
    <row r="325" spans="1:5" x14ac:dyDescent="0.25">
      <c r="A325" s="8">
        <f ca="1">INDEX(Stations,INT((ROWS(A$2:A325)-1)/(DATE(YEAR(Invoer!$A$5),12,31)-DATE(YEAR(Invoer!$A$5),1,1)+1))+2,1)</f>
        <v>73</v>
      </c>
      <c r="B325" t="str">
        <f ca="1">TEXT(DATE(YEAR(Invoer!$A$5),1,1)+MOD(ROWS(B$2:B325)-1,DATE(YEAR(Invoer!$A$5),12,31)-DATE(YEAR(Invoer!$A$5),1,1)+1),"jjjjmmdd")</f>
        <v>19461120</v>
      </c>
      <c r="C325" s="9">
        <v>1</v>
      </c>
      <c r="D325" s="14">
        <f t="shared" ca="1" si="10"/>
        <v>0</v>
      </c>
      <c r="E325" s="15">
        <f t="shared" ca="1" si="11"/>
        <v>0</v>
      </c>
    </row>
    <row r="326" spans="1:5" x14ac:dyDescent="0.25">
      <c r="A326" s="8">
        <f ca="1">INDEX(Stations,INT((ROWS(A$2:A326)-1)/(DATE(YEAR(Invoer!$A$5),12,31)-DATE(YEAR(Invoer!$A$5),1,1)+1))+2,1)</f>
        <v>73</v>
      </c>
      <c r="B326" t="str">
        <f ca="1">TEXT(DATE(YEAR(Invoer!$A$5),1,1)+MOD(ROWS(B$2:B326)-1,DATE(YEAR(Invoer!$A$5),12,31)-DATE(YEAR(Invoer!$A$5),1,1)+1),"jjjjmmdd")</f>
        <v>19461121</v>
      </c>
      <c r="C326" s="9">
        <v>1</v>
      </c>
      <c r="D326" s="14">
        <f t="shared" ca="1" si="10"/>
        <v>0</v>
      </c>
      <c r="E326" s="15">
        <f t="shared" ca="1" si="11"/>
        <v>0</v>
      </c>
    </row>
    <row r="327" spans="1:5" x14ac:dyDescent="0.25">
      <c r="A327" s="8">
        <f ca="1">INDEX(Stations,INT((ROWS(A$2:A327)-1)/(DATE(YEAR(Invoer!$A$5),12,31)-DATE(YEAR(Invoer!$A$5),1,1)+1))+2,1)</f>
        <v>73</v>
      </c>
      <c r="B327" t="str">
        <f ca="1">TEXT(DATE(YEAR(Invoer!$A$5),1,1)+MOD(ROWS(B$2:B327)-1,DATE(YEAR(Invoer!$A$5),12,31)-DATE(YEAR(Invoer!$A$5),1,1)+1),"jjjjmmdd")</f>
        <v>19461122</v>
      </c>
      <c r="C327" s="9">
        <v>1</v>
      </c>
      <c r="D327" s="14">
        <f t="shared" ca="1" si="10"/>
        <v>0</v>
      </c>
      <c r="E327" s="15">
        <f t="shared" ca="1" si="11"/>
        <v>0</v>
      </c>
    </row>
    <row r="328" spans="1:5" x14ac:dyDescent="0.25">
      <c r="A328" s="8">
        <f ca="1">INDEX(Stations,INT((ROWS(A$2:A328)-1)/(DATE(YEAR(Invoer!$A$5),12,31)-DATE(YEAR(Invoer!$A$5),1,1)+1))+2,1)</f>
        <v>73</v>
      </c>
      <c r="B328" t="str">
        <f ca="1">TEXT(DATE(YEAR(Invoer!$A$5),1,1)+MOD(ROWS(B$2:B328)-1,DATE(YEAR(Invoer!$A$5),12,31)-DATE(YEAR(Invoer!$A$5),1,1)+1),"jjjjmmdd")</f>
        <v>19461123</v>
      </c>
      <c r="C328" s="9">
        <v>1</v>
      </c>
      <c r="D328" s="14">
        <f t="shared" ca="1" si="10"/>
        <v>0</v>
      </c>
      <c r="E328" s="15">
        <f t="shared" ca="1" si="11"/>
        <v>0</v>
      </c>
    </row>
    <row r="329" spans="1:5" x14ac:dyDescent="0.25">
      <c r="A329" s="8">
        <f ca="1">INDEX(Stations,INT((ROWS(A$2:A329)-1)/(DATE(YEAR(Invoer!$A$5),12,31)-DATE(YEAR(Invoer!$A$5),1,1)+1))+2,1)</f>
        <v>73</v>
      </c>
      <c r="B329" t="str">
        <f ca="1">TEXT(DATE(YEAR(Invoer!$A$5),1,1)+MOD(ROWS(B$2:B329)-1,DATE(YEAR(Invoer!$A$5),12,31)-DATE(YEAR(Invoer!$A$5),1,1)+1),"jjjjmmdd")</f>
        <v>19461124</v>
      </c>
      <c r="C329" s="9">
        <v>1</v>
      </c>
      <c r="D329" s="14">
        <f t="shared" ca="1" si="10"/>
        <v>0</v>
      </c>
      <c r="E329" s="15">
        <f t="shared" ca="1" si="11"/>
        <v>0</v>
      </c>
    </row>
    <row r="330" spans="1:5" x14ac:dyDescent="0.25">
      <c r="A330" s="8">
        <f ca="1">INDEX(Stations,INT((ROWS(A$2:A330)-1)/(DATE(YEAR(Invoer!$A$5),12,31)-DATE(YEAR(Invoer!$A$5),1,1)+1))+2,1)</f>
        <v>73</v>
      </c>
      <c r="B330" t="str">
        <f ca="1">TEXT(DATE(YEAR(Invoer!$A$5),1,1)+MOD(ROWS(B$2:B330)-1,DATE(YEAR(Invoer!$A$5),12,31)-DATE(YEAR(Invoer!$A$5),1,1)+1),"jjjjmmdd")</f>
        <v>19461125</v>
      </c>
      <c r="C330" s="9">
        <v>1</v>
      </c>
      <c r="D330" s="14">
        <f t="shared" ca="1" si="10"/>
        <v>0</v>
      </c>
      <c r="E330" s="15">
        <f t="shared" ca="1" si="11"/>
        <v>0</v>
      </c>
    </row>
    <row r="331" spans="1:5" x14ac:dyDescent="0.25">
      <c r="A331" s="8">
        <f ca="1">INDEX(Stations,INT((ROWS(A$2:A331)-1)/(DATE(YEAR(Invoer!$A$5),12,31)-DATE(YEAR(Invoer!$A$5),1,1)+1))+2,1)</f>
        <v>73</v>
      </c>
      <c r="B331" t="str">
        <f ca="1">TEXT(DATE(YEAR(Invoer!$A$5),1,1)+MOD(ROWS(B$2:B331)-1,DATE(YEAR(Invoer!$A$5),12,31)-DATE(YEAR(Invoer!$A$5),1,1)+1),"jjjjmmdd")</f>
        <v>19461126</v>
      </c>
      <c r="C331" s="9">
        <v>1</v>
      </c>
      <c r="D331" s="14">
        <f t="shared" ca="1" si="10"/>
        <v>80</v>
      </c>
      <c r="E331" s="15">
        <f t="shared" ca="1" si="11"/>
        <v>0</v>
      </c>
    </row>
    <row r="332" spans="1:5" x14ac:dyDescent="0.25">
      <c r="A332" s="8">
        <f ca="1">INDEX(Stations,INT((ROWS(A$2:A332)-1)/(DATE(YEAR(Invoer!$A$5),12,31)-DATE(YEAR(Invoer!$A$5),1,1)+1))+2,1)</f>
        <v>73</v>
      </c>
      <c r="B332" t="str">
        <f ca="1">TEXT(DATE(YEAR(Invoer!$A$5),1,1)+MOD(ROWS(B$2:B332)-1,DATE(YEAR(Invoer!$A$5),12,31)-DATE(YEAR(Invoer!$A$5),1,1)+1),"jjjjmmdd")</f>
        <v>19461127</v>
      </c>
      <c r="C332" s="9">
        <v>1</v>
      </c>
      <c r="D332" s="14">
        <f t="shared" ca="1" si="10"/>
        <v>0</v>
      </c>
      <c r="E332" s="15">
        <f t="shared" ca="1" si="11"/>
        <v>0</v>
      </c>
    </row>
    <row r="333" spans="1:5" x14ac:dyDescent="0.25">
      <c r="A333" s="8">
        <f ca="1">INDEX(Stations,INT((ROWS(A$2:A333)-1)/(DATE(YEAR(Invoer!$A$5),12,31)-DATE(YEAR(Invoer!$A$5),1,1)+1))+2,1)</f>
        <v>73</v>
      </c>
      <c r="B333" t="str">
        <f ca="1">TEXT(DATE(YEAR(Invoer!$A$5),1,1)+MOD(ROWS(B$2:B333)-1,DATE(YEAR(Invoer!$A$5),12,31)-DATE(YEAR(Invoer!$A$5),1,1)+1),"jjjjmmdd")</f>
        <v>19461128</v>
      </c>
      <c r="C333" s="9">
        <v>1</v>
      </c>
      <c r="D333" s="14">
        <f t="shared" ca="1" si="10"/>
        <v>52</v>
      </c>
      <c r="E333" s="15">
        <f t="shared" ca="1" si="11"/>
        <v>0</v>
      </c>
    </row>
    <row r="334" spans="1:5" x14ac:dyDescent="0.25">
      <c r="A334" s="8">
        <f ca="1">INDEX(Stations,INT((ROWS(A$2:A334)-1)/(DATE(YEAR(Invoer!$A$5),12,31)-DATE(YEAR(Invoer!$A$5),1,1)+1))+2,1)</f>
        <v>73</v>
      </c>
      <c r="B334" t="str">
        <f ca="1">TEXT(DATE(YEAR(Invoer!$A$5),1,1)+MOD(ROWS(B$2:B334)-1,DATE(YEAR(Invoer!$A$5),12,31)-DATE(YEAR(Invoer!$A$5),1,1)+1),"jjjjmmdd")</f>
        <v>19461129</v>
      </c>
      <c r="C334" s="9">
        <v>1</v>
      </c>
      <c r="D334" s="14">
        <f t="shared" ca="1" si="10"/>
        <v>0</v>
      </c>
      <c r="E334" s="15">
        <f t="shared" ca="1" si="11"/>
        <v>0</v>
      </c>
    </row>
    <row r="335" spans="1:5" x14ac:dyDescent="0.25">
      <c r="A335" s="8">
        <f ca="1">INDEX(Stations,INT((ROWS(A$2:A335)-1)/(DATE(YEAR(Invoer!$A$5),12,31)-DATE(YEAR(Invoer!$A$5),1,1)+1))+2,1)</f>
        <v>73</v>
      </c>
      <c r="B335" t="str">
        <f ca="1">TEXT(DATE(YEAR(Invoer!$A$5),1,1)+MOD(ROWS(B$2:B335)-1,DATE(YEAR(Invoer!$A$5),12,31)-DATE(YEAR(Invoer!$A$5),1,1)+1),"jjjjmmdd")</f>
        <v>19461130</v>
      </c>
      <c r="C335" s="9">
        <v>1</v>
      </c>
      <c r="D335" s="14">
        <f t="shared" ca="1" si="10"/>
        <v>0</v>
      </c>
      <c r="E335" s="15">
        <f t="shared" ca="1" si="11"/>
        <v>0</v>
      </c>
    </row>
    <row r="336" spans="1:5" x14ac:dyDescent="0.25">
      <c r="A336" s="8">
        <f ca="1">INDEX(Stations,INT((ROWS(A$2:A336)-1)/(DATE(YEAR(Invoer!$A$5),12,31)-DATE(YEAR(Invoer!$A$5),1,1)+1))+2,1)</f>
        <v>73</v>
      </c>
      <c r="B336" t="str">
        <f ca="1">TEXT(DATE(YEAR(Invoer!$A$5),1,1)+MOD(ROWS(B$2:B336)-1,DATE(YEAR(Invoer!$A$5),12,31)-DATE(YEAR(Invoer!$A$5),1,1)+1),"jjjjmmdd")</f>
        <v>19461201</v>
      </c>
      <c r="C336" s="9">
        <v>1</v>
      </c>
      <c r="D336" s="14">
        <f t="shared" ca="1" si="10"/>
        <v>0</v>
      </c>
      <c r="E336" s="15">
        <f t="shared" ca="1" si="11"/>
        <v>0</v>
      </c>
    </row>
    <row r="337" spans="1:5" x14ac:dyDescent="0.25">
      <c r="A337" s="8">
        <f ca="1">INDEX(Stations,INT((ROWS(A$2:A337)-1)/(DATE(YEAR(Invoer!$A$5),12,31)-DATE(YEAR(Invoer!$A$5),1,1)+1))+2,1)</f>
        <v>73</v>
      </c>
      <c r="B337" t="str">
        <f ca="1">TEXT(DATE(YEAR(Invoer!$A$5),1,1)+MOD(ROWS(B$2:B337)-1,DATE(YEAR(Invoer!$A$5),12,31)-DATE(YEAR(Invoer!$A$5),1,1)+1),"jjjjmmdd")</f>
        <v>19461202</v>
      </c>
      <c r="C337" s="9">
        <v>1</v>
      </c>
      <c r="D337" s="14">
        <f t="shared" ca="1" si="10"/>
        <v>0</v>
      </c>
      <c r="E337" s="15">
        <f t="shared" ca="1" si="11"/>
        <v>0</v>
      </c>
    </row>
    <row r="338" spans="1:5" x14ac:dyDescent="0.25">
      <c r="A338" s="8">
        <f ca="1">INDEX(Stations,INT((ROWS(A$2:A338)-1)/(DATE(YEAR(Invoer!$A$5),12,31)-DATE(YEAR(Invoer!$A$5),1,1)+1))+2,1)</f>
        <v>73</v>
      </c>
      <c r="B338" t="str">
        <f ca="1">TEXT(DATE(YEAR(Invoer!$A$5),1,1)+MOD(ROWS(B$2:B338)-1,DATE(YEAR(Invoer!$A$5),12,31)-DATE(YEAR(Invoer!$A$5),1,1)+1),"jjjjmmdd")</f>
        <v>19461203</v>
      </c>
      <c r="C338" s="9">
        <v>1</v>
      </c>
      <c r="D338" s="14">
        <f t="shared" ca="1" si="10"/>
        <v>0</v>
      </c>
      <c r="E338" s="15">
        <f t="shared" ca="1" si="11"/>
        <v>0</v>
      </c>
    </row>
    <row r="339" spans="1:5" x14ac:dyDescent="0.25">
      <c r="A339" s="8">
        <f ca="1">INDEX(Stations,INT((ROWS(A$2:A339)-1)/(DATE(YEAR(Invoer!$A$5),12,31)-DATE(YEAR(Invoer!$A$5),1,1)+1))+2,1)</f>
        <v>73</v>
      </c>
      <c r="B339" t="str">
        <f ca="1">TEXT(DATE(YEAR(Invoer!$A$5),1,1)+MOD(ROWS(B$2:B339)-1,DATE(YEAR(Invoer!$A$5),12,31)-DATE(YEAR(Invoer!$A$5),1,1)+1),"jjjjmmdd")</f>
        <v>19461204</v>
      </c>
      <c r="C339" s="9">
        <v>1</v>
      </c>
      <c r="D339" s="14">
        <f t="shared" ca="1" si="10"/>
        <v>0</v>
      </c>
      <c r="E339" s="15">
        <f t="shared" ca="1" si="11"/>
        <v>0</v>
      </c>
    </row>
    <row r="340" spans="1:5" x14ac:dyDescent="0.25">
      <c r="A340" s="8">
        <f ca="1">INDEX(Stations,INT((ROWS(A$2:A340)-1)/(DATE(YEAR(Invoer!$A$5),12,31)-DATE(YEAR(Invoer!$A$5),1,1)+1))+2,1)</f>
        <v>73</v>
      </c>
      <c r="B340" t="str">
        <f ca="1">TEXT(DATE(YEAR(Invoer!$A$5),1,1)+MOD(ROWS(B$2:B340)-1,DATE(YEAR(Invoer!$A$5),12,31)-DATE(YEAR(Invoer!$A$5),1,1)+1),"jjjjmmdd")</f>
        <v>19461205</v>
      </c>
      <c r="C340" s="9">
        <v>1</v>
      </c>
      <c r="D340" s="14">
        <f t="shared" ca="1" si="10"/>
        <v>0</v>
      </c>
      <c r="E340" s="15">
        <f t="shared" ca="1" si="11"/>
        <v>0</v>
      </c>
    </row>
    <row r="341" spans="1:5" x14ac:dyDescent="0.25">
      <c r="A341" s="8">
        <f ca="1">INDEX(Stations,INT((ROWS(A$2:A341)-1)/(DATE(YEAR(Invoer!$A$5),12,31)-DATE(YEAR(Invoer!$A$5),1,1)+1))+2,1)</f>
        <v>73</v>
      </c>
      <c r="B341" t="str">
        <f ca="1">TEXT(DATE(YEAR(Invoer!$A$5),1,1)+MOD(ROWS(B$2:B341)-1,DATE(YEAR(Invoer!$A$5),12,31)-DATE(YEAR(Invoer!$A$5),1,1)+1),"jjjjmmdd")</f>
        <v>19461206</v>
      </c>
      <c r="C341" s="9">
        <v>1</v>
      </c>
      <c r="D341" s="14">
        <f t="shared" ca="1" si="10"/>
        <v>0</v>
      </c>
      <c r="E341" s="15">
        <f t="shared" ca="1" si="11"/>
        <v>0</v>
      </c>
    </row>
    <row r="342" spans="1:5" x14ac:dyDescent="0.25">
      <c r="A342" s="8">
        <f ca="1">INDEX(Stations,INT((ROWS(A$2:A342)-1)/(DATE(YEAR(Invoer!$A$5),12,31)-DATE(YEAR(Invoer!$A$5),1,1)+1))+2,1)</f>
        <v>73</v>
      </c>
      <c r="B342" t="str">
        <f ca="1">TEXT(DATE(YEAR(Invoer!$A$5),1,1)+MOD(ROWS(B$2:B342)-1,DATE(YEAR(Invoer!$A$5),12,31)-DATE(YEAR(Invoer!$A$5),1,1)+1),"jjjjmmdd")</f>
        <v>19461207</v>
      </c>
      <c r="C342" s="9">
        <v>1</v>
      </c>
      <c r="D342" s="14">
        <f t="shared" ca="1" si="10"/>
        <v>0</v>
      </c>
      <c r="E342" s="15">
        <f t="shared" ca="1" si="11"/>
        <v>0</v>
      </c>
    </row>
    <row r="343" spans="1:5" x14ac:dyDescent="0.25">
      <c r="A343" s="8">
        <f ca="1">INDEX(Stations,INT((ROWS(A$2:A343)-1)/(DATE(YEAR(Invoer!$A$5),12,31)-DATE(YEAR(Invoer!$A$5),1,1)+1))+2,1)</f>
        <v>73</v>
      </c>
      <c r="B343" t="str">
        <f ca="1">TEXT(DATE(YEAR(Invoer!$A$5),1,1)+MOD(ROWS(B$2:B343)-1,DATE(YEAR(Invoer!$A$5),12,31)-DATE(YEAR(Invoer!$A$5),1,1)+1),"jjjjmmdd")</f>
        <v>19461208</v>
      </c>
      <c r="C343" s="9">
        <v>1</v>
      </c>
      <c r="D343" s="14">
        <f t="shared" ca="1" si="10"/>
        <v>0</v>
      </c>
      <c r="E343" s="15">
        <f t="shared" ca="1" si="11"/>
        <v>0</v>
      </c>
    </row>
    <row r="344" spans="1:5" x14ac:dyDescent="0.25">
      <c r="A344" s="8">
        <f ca="1">INDEX(Stations,INT((ROWS(A$2:A344)-1)/(DATE(YEAR(Invoer!$A$5),12,31)-DATE(YEAR(Invoer!$A$5),1,1)+1))+2,1)</f>
        <v>73</v>
      </c>
      <c r="B344" t="str">
        <f ca="1">TEXT(DATE(YEAR(Invoer!$A$5),1,1)+MOD(ROWS(B$2:B344)-1,DATE(YEAR(Invoer!$A$5),12,31)-DATE(YEAR(Invoer!$A$5),1,1)+1),"jjjjmmdd")</f>
        <v>19461209</v>
      </c>
      <c r="C344" s="9">
        <v>1</v>
      </c>
      <c r="D344" s="14">
        <f t="shared" ca="1" si="10"/>
        <v>0</v>
      </c>
      <c r="E344" s="15">
        <f t="shared" ca="1" si="11"/>
        <v>0</v>
      </c>
    </row>
    <row r="345" spans="1:5" x14ac:dyDescent="0.25">
      <c r="A345" s="8">
        <f ca="1">INDEX(Stations,INT((ROWS(A$2:A345)-1)/(DATE(YEAR(Invoer!$A$5),12,31)-DATE(YEAR(Invoer!$A$5),1,1)+1))+2,1)</f>
        <v>73</v>
      </c>
      <c r="B345" t="str">
        <f ca="1">TEXT(DATE(YEAR(Invoer!$A$5),1,1)+MOD(ROWS(B$2:B345)-1,DATE(YEAR(Invoer!$A$5),12,31)-DATE(YEAR(Invoer!$A$5),1,1)+1),"jjjjmmdd")</f>
        <v>19461210</v>
      </c>
      <c r="C345" s="9">
        <v>1</v>
      </c>
      <c r="D345" s="14">
        <f t="shared" ca="1" si="10"/>
        <v>0</v>
      </c>
      <c r="E345" s="15">
        <f t="shared" ca="1" si="11"/>
        <v>0</v>
      </c>
    </row>
    <row r="346" spans="1:5" x14ac:dyDescent="0.25">
      <c r="A346" s="8">
        <f ca="1">INDEX(Stations,INT((ROWS(A$2:A346)-1)/(DATE(YEAR(Invoer!$A$5),12,31)-DATE(YEAR(Invoer!$A$5),1,1)+1))+2,1)</f>
        <v>73</v>
      </c>
      <c r="B346" t="str">
        <f ca="1">TEXT(DATE(YEAR(Invoer!$A$5),1,1)+MOD(ROWS(B$2:B346)-1,DATE(YEAR(Invoer!$A$5),12,31)-DATE(YEAR(Invoer!$A$5),1,1)+1),"jjjjmmdd")</f>
        <v>19461211</v>
      </c>
      <c r="C346" s="9">
        <v>1</v>
      </c>
      <c r="D346" s="14">
        <f t="shared" ca="1" si="10"/>
        <v>0</v>
      </c>
      <c r="E346" s="15">
        <f t="shared" ca="1" si="11"/>
        <v>0</v>
      </c>
    </row>
    <row r="347" spans="1:5" x14ac:dyDescent="0.25">
      <c r="A347" s="8">
        <f ca="1">INDEX(Stations,INT((ROWS(A$2:A347)-1)/(DATE(YEAR(Invoer!$A$5),12,31)-DATE(YEAR(Invoer!$A$5),1,1)+1))+2,1)</f>
        <v>73</v>
      </c>
      <c r="B347" t="str">
        <f ca="1">TEXT(DATE(YEAR(Invoer!$A$5),1,1)+MOD(ROWS(B$2:B347)-1,DATE(YEAR(Invoer!$A$5),12,31)-DATE(YEAR(Invoer!$A$5),1,1)+1),"jjjjmmdd")</f>
        <v>19461212</v>
      </c>
      <c r="C347" s="9">
        <v>1</v>
      </c>
      <c r="D347" s="14">
        <f t="shared" ca="1" si="10"/>
        <v>0</v>
      </c>
      <c r="E347" s="15">
        <f t="shared" ca="1" si="11"/>
        <v>0</v>
      </c>
    </row>
    <row r="348" spans="1:5" x14ac:dyDescent="0.25">
      <c r="A348" s="8">
        <f ca="1">INDEX(Stations,INT((ROWS(A$2:A348)-1)/(DATE(YEAR(Invoer!$A$5),12,31)-DATE(YEAR(Invoer!$A$5),1,1)+1))+2,1)</f>
        <v>73</v>
      </c>
      <c r="B348" t="str">
        <f ca="1">TEXT(DATE(YEAR(Invoer!$A$5),1,1)+MOD(ROWS(B$2:B348)-1,DATE(YEAR(Invoer!$A$5),12,31)-DATE(YEAR(Invoer!$A$5),1,1)+1),"jjjjmmdd")</f>
        <v>19461213</v>
      </c>
      <c r="C348" s="9">
        <v>1</v>
      </c>
      <c r="D348" s="14">
        <f t="shared" ca="1" si="10"/>
        <v>45</v>
      </c>
      <c r="E348" s="15">
        <f t="shared" ca="1" si="11"/>
        <v>0</v>
      </c>
    </row>
    <row r="349" spans="1:5" x14ac:dyDescent="0.25">
      <c r="A349" s="8">
        <f ca="1">INDEX(Stations,INT((ROWS(A$2:A349)-1)/(DATE(YEAR(Invoer!$A$5),12,31)-DATE(YEAR(Invoer!$A$5),1,1)+1))+2,1)</f>
        <v>73</v>
      </c>
      <c r="B349" t="str">
        <f ca="1">TEXT(DATE(YEAR(Invoer!$A$5),1,1)+MOD(ROWS(B$2:B349)-1,DATE(YEAR(Invoer!$A$5),12,31)-DATE(YEAR(Invoer!$A$5),1,1)+1),"jjjjmmdd")</f>
        <v>19461214</v>
      </c>
      <c r="C349" s="9">
        <v>1</v>
      </c>
      <c r="D349" s="14">
        <f t="shared" ca="1" si="10"/>
        <v>0</v>
      </c>
      <c r="E349" s="15">
        <f t="shared" ca="1" si="11"/>
        <v>0</v>
      </c>
    </row>
    <row r="350" spans="1:5" x14ac:dyDescent="0.25">
      <c r="A350" s="8">
        <f ca="1">INDEX(Stations,INT((ROWS(A$2:A350)-1)/(DATE(YEAR(Invoer!$A$5),12,31)-DATE(YEAR(Invoer!$A$5),1,1)+1))+2,1)</f>
        <v>73</v>
      </c>
      <c r="B350" t="str">
        <f ca="1">TEXT(DATE(YEAR(Invoer!$A$5),1,1)+MOD(ROWS(B$2:B350)-1,DATE(YEAR(Invoer!$A$5),12,31)-DATE(YEAR(Invoer!$A$5),1,1)+1),"jjjjmmdd")</f>
        <v>19461215</v>
      </c>
      <c r="C350" s="9">
        <v>1</v>
      </c>
      <c r="D350" s="14">
        <f t="shared" ca="1" si="10"/>
        <v>0</v>
      </c>
      <c r="E350" s="15">
        <f t="shared" ca="1" si="11"/>
        <v>0</v>
      </c>
    </row>
    <row r="351" spans="1:5" x14ac:dyDescent="0.25">
      <c r="A351" s="8">
        <f ca="1">INDEX(Stations,INT((ROWS(A$2:A351)-1)/(DATE(YEAR(Invoer!$A$5),12,31)-DATE(YEAR(Invoer!$A$5),1,1)+1))+2,1)</f>
        <v>73</v>
      </c>
      <c r="B351" t="str">
        <f ca="1">TEXT(DATE(YEAR(Invoer!$A$5),1,1)+MOD(ROWS(B$2:B351)-1,DATE(YEAR(Invoer!$A$5),12,31)-DATE(YEAR(Invoer!$A$5),1,1)+1),"jjjjmmdd")</f>
        <v>19461216</v>
      </c>
      <c r="C351" s="9">
        <v>1</v>
      </c>
      <c r="D351" s="14">
        <f t="shared" ca="1" si="10"/>
        <v>0</v>
      </c>
      <c r="E351" s="15">
        <f t="shared" ca="1" si="11"/>
        <v>0</v>
      </c>
    </row>
    <row r="352" spans="1:5" x14ac:dyDescent="0.25">
      <c r="A352" s="8">
        <f ca="1">INDEX(Stations,INT((ROWS(A$2:A352)-1)/(DATE(YEAR(Invoer!$A$5),12,31)-DATE(YEAR(Invoer!$A$5),1,1)+1))+2,1)</f>
        <v>73</v>
      </c>
      <c r="B352" t="str">
        <f ca="1">TEXT(DATE(YEAR(Invoer!$A$5),1,1)+MOD(ROWS(B$2:B352)-1,DATE(YEAR(Invoer!$A$5),12,31)-DATE(YEAR(Invoer!$A$5),1,1)+1),"jjjjmmdd")</f>
        <v>19461217</v>
      </c>
      <c r="C352" s="9">
        <v>1</v>
      </c>
      <c r="D352" s="14">
        <f t="shared" ca="1" si="10"/>
        <v>0</v>
      </c>
      <c r="E352" s="15">
        <f t="shared" ca="1" si="11"/>
        <v>0</v>
      </c>
    </row>
    <row r="353" spans="1:5" x14ac:dyDescent="0.25">
      <c r="A353" s="8">
        <f ca="1">INDEX(Stations,INT((ROWS(A$2:A353)-1)/(DATE(YEAR(Invoer!$A$5),12,31)-DATE(YEAR(Invoer!$A$5),1,1)+1))+2,1)</f>
        <v>73</v>
      </c>
      <c r="B353" t="str">
        <f ca="1">TEXT(DATE(YEAR(Invoer!$A$5),1,1)+MOD(ROWS(B$2:B353)-1,DATE(YEAR(Invoer!$A$5),12,31)-DATE(YEAR(Invoer!$A$5),1,1)+1),"jjjjmmdd")</f>
        <v>19461218</v>
      </c>
      <c r="C353" s="9">
        <v>1</v>
      </c>
      <c r="D353" s="14">
        <f t="shared" ca="1" si="10"/>
        <v>73</v>
      </c>
      <c r="E353" s="15">
        <f t="shared" ca="1" si="11"/>
        <v>0</v>
      </c>
    </row>
    <row r="354" spans="1:5" x14ac:dyDescent="0.25">
      <c r="A354" s="8">
        <f ca="1">INDEX(Stations,INT((ROWS(A$2:A354)-1)/(DATE(YEAR(Invoer!$A$5),12,31)-DATE(YEAR(Invoer!$A$5),1,1)+1))+2,1)</f>
        <v>73</v>
      </c>
      <c r="B354" t="str">
        <f ca="1">TEXT(DATE(YEAR(Invoer!$A$5),1,1)+MOD(ROWS(B$2:B354)-1,DATE(YEAR(Invoer!$A$5),12,31)-DATE(YEAR(Invoer!$A$5),1,1)+1),"jjjjmmdd")</f>
        <v>19461219</v>
      </c>
      <c r="C354" s="9">
        <v>1</v>
      </c>
      <c r="D354" s="14">
        <f t="shared" ca="1" si="10"/>
        <v>0</v>
      </c>
      <c r="E354" s="15">
        <f t="shared" ca="1" si="11"/>
        <v>0</v>
      </c>
    </row>
    <row r="355" spans="1:5" x14ac:dyDescent="0.25">
      <c r="A355" s="8">
        <f ca="1">INDEX(Stations,INT((ROWS(A$2:A355)-1)/(DATE(YEAR(Invoer!$A$5),12,31)-DATE(YEAR(Invoer!$A$5),1,1)+1))+2,1)</f>
        <v>73</v>
      </c>
      <c r="B355" t="str">
        <f ca="1">TEXT(DATE(YEAR(Invoer!$A$5),1,1)+MOD(ROWS(B$2:B355)-1,DATE(YEAR(Invoer!$A$5),12,31)-DATE(YEAR(Invoer!$A$5),1,1)+1),"jjjjmmdd")</f>
        <v>19461220</v>
      </c>
      <c r="C355" s="9">
        <v>1</v>
      </c>
      <c r="D355" s="14">
        <f t="shared" ca="1" si="10"/>
        <v>0</v>
      </c>
      <c r="E355" s="15">
        <f t="shared" ca="1" si="11"/>
        <v>0</v>
      </c>
    </row>
    <row r="356" spans="1:5" x14ac:dyDescent="0.25">
      <c r="A356" s="8">
        <f ca="1">INDEX(Stations,INT((ROWS(A$2:A356)-1)/(DATE(YEAR(Invoer!$A$5),12,31)-DATE(YEAR(Invoer!$A$5),1,1)+1))+2,1)</f>
        <v>73</v>
      </c>
      <c r="B356" t="str">
        <f ca="1">TEXT(DATE(YEAR(Invoer!$A$5),1,1)+MOD(ROWS(B$2:B356)-1,DATE(YEAR(Invoer!$A$5),12,31)-DATE(YEAR(Invoer!$A$5),1,1)+1),"jjjjmmdd")</f>
        <v>19461221</v>
      </c>
      <c r="C356" s="9">
        <v>1</v>
      </c>
      <c r="D356" s="14">
        <f t="shared" ca="1" si="10"/>
        <v>0</v>
      </c>
      <c r="E356" s="15">
        <f t="shared" ca="1" si="11"/>
        <v>0</v>
      </c>
    </row>
    <row r="357" spans="1:5" x14ac:dyDescent="0.25">
      <c r="A357" s="8">
        <f ca="1">INDEX(Stations,INT((ROWS(A$2:A357)-1)/(DATE(YEAR(Invoer!$A$5),12,31)-DATE(YEAR(Invoer!$A$5),1,1)+1))+2,1)</f>
        <v>73</v>
      </c>
      <c r="B357" t="str">
        <f ca="1">TEXT(DATE(YEAR(Invoer!$A$5),1,1)+MOD(ROWS(B$2:B357)-1,DATE(YEAR(Invoer!$A$5),12,31)-DATE(YEAR(Invoer!$A$5),1,1)+1),"jjjjmmdd")</f>
        <v>19461222</v>
      </c>
      <c r="C357" s="9">
        <v>1</v>
      </c>
      <c r="D357" s="14">
        <f t="shared" ca="1" si="10"/>
        <v>0</v>
      </c>
      <c r="E357" s="15">
        <f t="shared" ca="1" si="11"/>
        <v>0</v>
      </c>
    </row>
    <row r="358" spans="1:5" x14ac:dyDescent="0.25">
      <c r="A358" s="8">
        <f ca="1">INDEX(Stations,INT((ROWS(A$2:A358)-1)/(DATE(YEAR(Invoer!$A$5),12,31)-DATE(YEAR(Invoer!$A$5),1,1)+1))+2,1)</f>
        <v>73</v>
      </c>
      <c r="B358" t="str">
        <f ca="1">TEXT(DATE(YEAR(Invoer!$A$5),1,1)+MOD(ROWS(B$2:B358)-1,DATE(YEAR(Invoer!$A$5),12,31)-DATE(YEAR(Invoer!$A$5),1,1)+1),"jjjjmmdd")</f>
        <v>19461223</v>
      </c>
      <c r="C358" s="9">
        <v>1</v>
      </c>
      <c r="D358" s="14">
        <f t="shared" ca="1" si="10"/>
        <v>0</v>
      </c>
      <c r="E358" s="15">
        <f t="shared" ca="1" si="11"/>
        <v>0</v>
      </c>
    </row>
    <row r="359" spans="1:5" x14ac:dyDescent="0.25">
      <c r="A359" s="8">
        <f ca="1">INDEX(Stations,INT((ROWS(A$2:A359)-1)/(DATE(YEAR(Invoer!$A$5),12,31)-DATE(YEAR(Invoer!$A$5),1,1)+1))+2,1)</f>
        <v>73</v>
      </c>
      <c r="B359" t="str">
        <f ca="1">TEXT(DATE(YEAR(Invoer!$A$5),1,1)+MOD(ROWS(B$2:B359)-1,DATE(YEAR(Invoer!$A$5),12,31)-DATE(YEAR(Invoer!$A$5),1,1)+1),"jjjjmmdd")</f>
        <v>19461224</v>
      </c>
      <c r="C359" s="9">
        <v>1</v>
      </c>
      <c r="D359" s="14">
        <f t="shared" ca="1" si="10"/>
        <v>0</v>
      </c>
      <c r="E359" s="15">
        <f t="shared" ca="1" si="11"/>
        <v>0</v>
      </c>
    </row>
    <row r="360" spans="1:5" x14ac:dyDescent="0.25">
      <c r="A360" s="8">
        <f ca="1">INDEX(Stations,INT((ROWS(A$2:A360)-1)/(DATE(YEAR(Invoer!$A$5),12,31)-DATE(YEAR(Invoer!$A$5),1,1)+1))+2,1)</f>
        <v>73</v>
      </c>
      <c r="B360" t="str">
        <f ca="1">TEXT(DATE(YEAR(Invoer!$A$5),1,1)+MOD(ROWS(B$2:B360)-1,DATE(YEAR(Invoer!$A$5),12,31)-DATE(YEAR(Invoer!$A$5),1,1)+1),"jjjjmmdd")</f>
        <v>19461225</v>
      </c>
      <c r="C360" s="9">
        <v>1</v>
      </c>
      <c r="D360" s="14">
        <f t="shared" ca="1" si="10"/>
        <v>0</v>
      </c>
      <c r="E360" s="15">
        <f t="shared" ca="1" si="11"/>
        <v>0</v>
      </c>
    </row>
    <row r="361" spans="1:5" x14ac:dyDescent="0.25">
      <c r="A361" s="8">
        <f ca="1">INDEX(Stations,INT((ROWS(A$2:A361)-1)/(DATE(YEAR(Invoer!$A$5),12,31)-DATE(YEAR(Invoer!$A$5),1,1)+1))+2,1)</f>
        <v>73</v>
      </c>
      <c r="B361" t="str">
        <f ca="1">TEXT(DATE(YEAR(Invoer!$A$5),1,1)+MOD(ROWS(B$2:B361)-1,DATE(YEAR(Invoer!$A$5),12,31)-DATE(YEAR(Invoer!$A$5),1,1)+1),"jjjjmmdd")</f>
        <v>19461226</v>
      </c>
      <c r="C361" s="9">
        <v>1</v>
      </c>
      <c r="D361" s="14">
        <f t="shared" ca="1" si="10"/>
        <v>0</v>
      </c>
      <c r="E361" s="15">
        <f t="shared" ca="1" si="11"/>
        <v>0</v>
      </c>
    </row>
    <row r="362" spans="1:5" x14ac:dyDescent="0.25">
      <c r="A362" s="8">
        <f ca="1">INDEX(Stations,INT((ROWS(A$2:A362)-1)/(DATE(YEAR(Invoer!$A$5),12,31)-DATE(YEAR(Invoer!$A$5),1,1)+1))+2,1)</f>
        <v>73</v>
      </c>
      <c r="B362" t="str">
        <f ca="1">TEXT(DATE(YEAR(Invoer!$A$5),1,1)+MOD(ROWS(B$2:B362)-1,DATE(YEAR(Invoer!$A$5),12,31)-DATE(YEAR(Invoer!$A$5),1,1)+1),"jjjjmmdd")</f>
        <v>19461227</v>
      </c>
      <c r="C362" s="9">
        <v>1</v>
      </c>
      <c r="D362" s="14">
        <f t="shared" ca="1" si="10"/>
        <v>0</v>
      </c>
      <c r="E362" s="15">
        <f t="shared" ca="1" si="11"/>
        <v>0</v>
      </c>
    </row>
    <row r="363" spans="1:5" x14ac:dyDescent="0.25">
      <c r="A363" s="8">
        <f ca="1">INDEX(Stations,INT((ROWS(A$2:A363)-1)/(DATE(YEAR(Invoer!$A$5),12,31)-DATE(YEAR(Invoer!$A$5),1,1)+1))+2,1)</f>
        <v>73</v>
      </c>
      <c r="B363" t="str">
        <f ca="1">TEXT(DATE(YEAR(Invoer!$A$5),1,1)+MOD(ROWS(B$2:B363)-1,DATE(YEAR(Invoer!$A$5),12,31)-DATE(YEAR(Invoer!$A$5),1,1)+1),"jjjjmmdd")</f>
        <v>19461228</v>
      </c>
      <c r="C363" s="9">
        <v>1</v>
      </c>
      <c r="D363" s="14">
        <f t="shared" ca="1" si="10"/>
        <v>0</v>
      </c>
      <c r="E363" s="15">
        <f t="shared" ca="1" si="11"/>
        <v>0</v>
      </c>
    </row>
    <row r="364" spans="1:5" x14ac:dyDescent="0.25">
      <c r="A364" s="8">
        <f ca="1">INDEX(Stations,INT((ROWS(A$2:A364)-1)/(DATE(YEAR(Invoer!$A$5),12,31)-DATE(YEAR(Invoer!$A$5),1,1)+1))+2,1)</f>
        <v>73</v>
      </c>
      <c r="B364" t="str">
        <f ca="1">TEXT(DATE(YEAR(Invoer!$A$5),1,1)+MOD(ROWS(B$2:B364)-1,DATE(YEAR(Invoer!$A$5),12,31)-DATE(YEAR(Invoer!$A$5),1,1)+1),"jjjjmmdd")</f>
        <v>19461229</v>
      </c>
      <c r="C364" s="9">
        <v>1</v>
      </c>
      <c r="D364" s="14">
        <f t="shared" ca="1" si="10"/>
        <v>0</v>
      </c>
      <c r="E364" s="15">
        <f t="shared" ca="1" si="11"/>
        <v>0</v>
      </c>
    </row>
    <row r="365" spans="1:5" x14ac:dyDescent="0.25">
      <c r="A365" s="8">
        <f ca="1">INDEX(Stations,INT((ROWS(A$2:A365)-1)/(DATE(YEAR(Invoer!$A$5),12,31)-DATE(YEAR(Invoer!$A$5),1,1)+1))+2,1)</f>
        <v>73</v>
      </c>
      <c r="B365" t="str">
        <f ca="1">TEXT(DATE(YEAR(Invoer!$A$5),1,1)+MOD(ROWS(B$2:B365)-1,DATE(YEAR(Invoer!$A$5),12,31)-DATE(YEAR(Invoer!$A$5),1,1)+1),"jjjjmmdd")</f>
        <v>19461230</v>
      </c>
      <c r="C365" s="9">
        <v>1</v>
      </c>
      <c r="D365" s="14">
        <f t="shared" ca="1" si="10"/>
        <v>0</v>
      </c>
      <c r="E365" s="15">
        <f t="shared" ca="1" si="11"/>
        <v>0</v>
      </c>
    </row>
    <row r="366" spans="1:5" x14ac:dyDescent="0.25">
      <c r="A366" s="8">
        <f ca="1">INDEX(Stations,INT((ROWS(A$2:A366)-1)/(DATE(YEAR(Invoer!$A$5),12,31)-DATE(YEAR(Invoer!$A$5),1,1)+1))+2,1)</f>
        <v>73</v>
      </c>
      <c r="B366" t="str">
        <f ca="1">TEXT(DATE(YEAR(Invoer!$A$5),1,1)+MOD(ROWS(B$2:B366)-1,DATE(YEAR(Invoer!$A$5),12,31)-DATE(YEAR(Invoer!$A$5),1,1)+1),"jjjjmmdd")</f>
        <v>19461231</v>
      </c>
      <c r="C366" s="9">
        <v>1</v>
      </c>
      <c r="D366" s="14">
        <f t="shared" ca="1" si="10"/>
        <v>0</v>
      </c>
      <c r="E366" s="15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109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6</v>
      </c>
      <c r="D1" s="7" t="s">
        <v>7</v>
      </c>
      <c r="E1" s="7" t="s">
        <v>8</v>
      </c>
    </row>
    <row r="2" spans="1:5" x14ac:dyDescent="0.25">
      <c r="A2" s="8">
        <f t="shared" ref="A2:A65" si="0">INDEX(Stations,2,1)</f>
        <v>73</v>
      </c>
      <c r="B2" t="str">
        <f ca="1">TEXT(DATE(YEAR(Invoer!$A$5),1,1)+INT((ROWS(B$2:B2)-1)/3),"jjjjmmdd")</f>
        <v>19460101</v>
      </c>
      <c r="C2" s="20" t="str">
        <f>INDEX(Data,2,2+MOD(ROWS(C$2:C2)-1,3))</f>
        <v>08.00</v>
      </c>
      <c r="D2" s="14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25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</row>
    <row r="3" spans="1:5" x14ac:dyDescent="0.25">
      <c r="A3" s="8">
        <f t="shared" si="0"/>
        <v>73</v>
      </c>
      <c r="B3" t="str">
        <f ca="1">TEXT(DATE(YEAR(Invoer!$A$5),1,1)+INT((ROWS(B$2:B3)-1)/3),"jjjjmmdd")</f>
        <v>19460101</v>
      </c>
      <c r="C3" s="20" t="str">
        <f>INDEX(Data,2,2+MOD(ROWS(C$2:C3)-1,3))</f>
        <v>12.00</v>
      </c>
      <c r="D3" s="14" t="str">
        <f t="shared" ca="1" si="1"/>
        <v>—</v>
      </c>
      <c r="E3" s="25">
        <f t="shared" ca="1" si="2"/>
        <v>7</v>
      </c>
    </row>
    <row r="4" spans="1:5" x14ac:dyDescent="0.25">
      <c r="A4" s="8">
        <f t="shared" si="0"/>
        <v>73</v>
      </c>
      <c r="B4" t="str">
        <f ca="1">TEXT(DATE(YEAR(Invoer!$A$5),1,1)+INT((ROWS(B$2:B4)-1)/3),"jjjjmmdd")</f>
        <v>19460101</v>
      </c>
      <c r="C4" s="20" t="str">
        <f>INDEX(Data,2,2+MOD(ROWS(C$2:C4)-1,3))</f>
        <v>16.00</v>
      </c>
      <c r="D4" s="14" t="str">
        <f t="shared" ca="1" si="1"/>
        <v>—</v>
      </c>
      <c r="E4" s="25">
        <f t="shared" ca="1" si="2"/>
        <v>7</v>
      </c>
    </row>
    <row r="5" spans="1:5" x14ac:dyDescent="0.25">
      <c r="A5" s="8">
        <f t="shared" si="0"/>
        <v>73</v>
      </c>
      <c r="B5" t="str">
        <f ca="1">TEXT(DATE(YEAR(Invoer!$A$5),1,1)+INT((ROWS(B$2:B5)-1)/3),"jjjjmmdd")</f>
        <v>19460102</v>
      </c>
      <c r="C5" s="20" t="str">
        <f>INDEX(Data,2,2+MOD(ROWS(C$2:C5)-1,3))</f>
        <v>08.00</v>
      </c>
      <c r="D5" s="14" t="str">
        <f t="shared" ca="1" si="1"/>
        <v>—</v>
      </c>
      <c r="E5" s="25">
        <f t="shared" ca="1" si="2"/>
        <v>7</v>
      </c>
    </row>
    <row r="6" spans="1:5" x14ac:dyDescent="0.25">
      <c r="A6" s="8">
        <f t="shared" si="0"/>
        <v>73</v>
      </c>
      <c r="B6" t="str">
        <f ca="1">TEXT(DATE(YEAR(Invoer!$A$5),1,1)+INT((ROWS(B$2:B6)-1)/3),"jjjjmmdd")</f>
        <v>19460102</v>
      </c>
      <c r="C6" s="20" t="str">
        <f>INDEX(Data,2,2+MOD(ROWS(C$2:C6)-1,3))</f>
        <v>12.00</v>
      </c>
      <c r="D6" s="14" t="str">
        <f t="shared" ca="1" si="1"/>
        <v>—</v>
      </c>
      <c r="E6" s="25">
        <f t="shared" ca="1" si="2"/>
        <v>7</v>
      </c>
    </row>
    <row r="7" spans="1:5" x14ac:dyDescent="0.25">
      <c r="A7" s="8">
        <f t="shared" si="0"/>
        <v>73</v>
      </c>
      <c r="B7" t="str">
        <f ca="1">TEXT(DATE(YEAR(Invoer!$A$5),1,1)+INT((ROWS(B$2:B7)-1)/3),"jjjjmmdd")</f>
        <v>19460102</v>
      </c>
      <c r="C7" s="20" t="str">
        <f>INDEX(Data,2,2+MOD(ROWS(C$2:C7)-1,3))</f>
        <v>16.00</v>
      </c>
      <c r="D7" s="14" t="str">
        <f t="shared" ca="1" si="1"/>
        <v>—</v>
      </c>
      <c r="E7" s="25">
        <f t="shared" ca="1" si="2"/>
        <v>7</v>
      </c>
    </row>
    <row r="8" spans="1:5" x14ac:dyDescent="0.25">
      <c r="A8" s="8">
        <f t="shared" si="0"/>
        <v>73</v>
      </c>
      <c r="B8" t="str">
        <f ca="1">TEXT(DATE(YEAR(Invoer!$A$5),1,1)+INT((ROWS(B$2:B8)-1)/3),"jjjjmmdd")</f>
        <v>19460103</v>
      </c>
      <c r="C8" s="20" t="str">
        <f>INDEX(Data,2,2+MOD(ROWS(C$2:C8)-1,3))</f>
        <v>08.00</v>
      </c>
      <c r="D8" s="14" t="str">
        <f t="shared" ca="1" si="1"/>
        <v>—</v>
      </c>
      <c r="E8" s="25">
        <f t="shared" ca="1" si="2"/>
        <v>7</v>
      </c>
    </row>
    <row r="9" spans="1:5" x14ac:dyDescent="0.25">
      <c r="A9" s="8">
        <f t="shared" si="0"/>
        <v>73</v>
      </c>
      <c r="B9" t="str">
        <f ca="1">TEXT(DATE(YEAR(Invoer!$A$5),1,1)+INT((ROWS(B$2:B9)-1)/3),"jjjjmmdd")</f>
        <v>19460103</v>
      </c>
      <c r="C9" s="20" t="str">
        <f>INDEX(Data,2,2+MOD(ROWS(C$2:C9)-1,3))</f>
        <v>12.00</v>
      </c>
      <c r="D9" s="14" t="str">
        <f t="shared" ca="1" si="1"/>
        <v>—</v>
      </c>
      <c r="E9" s="25">
        <f t="shared" ca="1" si="2"/>
        <v>7</v>
      </c>
    </row>
    <row r="10" spans="1:5" x14ac:dyDescent="0.25">
      <c r="A10" s="8">
        <f t="shared" si="0"/>
        <v>73</v>
      </c>
      <c r="B10" t="str">
        <f ca="1">TEXT(DATE(YEAR(Invoer!$A$5),1,1)+INT((ROWS(B$2:B10)-1)/3),"jjjjmmdd")</f>
        <v>19460103</v>
      </c>
      <c r="C10" s="20" t="str">
        <f>INDEX(Data,2,2+MOD(ROWS(C$2:C10)-1,3))</f>
        <v>16.00</v>
      </c>
      <c r="D10" s="14" t="str">
        <f t="shared" ca="1" si="1"/>
        <v>—</v>
      </c>
      <c r="E10" s="25">
        <f t="shared" ca="1" si="2"/>
        <v>7</v>
      </c>
    </row>
    <row r="11" spans="1:5" x14ac:dyDescent="0.25">
      <c r="A11" s="8">
        <f t="shared" si="0"/>
        <v>73</v>
      </c>
      <c r="B11" t="str">
        <f ca="1">TEXT(DATE(YEAR(Invoer!$A$5),1,1)+INT((ROWS(B$2:B11)-1)/3),"jjjjmmdd")</f>
        <v>19460104</v>
      </c>
      <c r="C11" s="20" t="str">
        <f>INDEX(Data,2,2+MOD(ROWS(C$2:C11)-1,3))</f>
        <v>08.00</v>
      </c>
      <c r="D11" s="14" t="str">
        <f t="shared" ca="1" si="1"/>
        <v>—</v>
      </c>
      <c r="E11" s="25">
        <f t="shared" ca="1" si="2"/>
        <v>7</v>
      </c>
    </row>
    <row r="12" spans="1:5" x14ac:dyDescent="0.25">
      <c r="A12" s="8">
        <f t="shared" si="0"/>
        <v>73</v>
      </c>
      <c r="B12" t="str">
        <f ca="1">TEXT(DATE(YEAR(Invoer!$A$5),1,1)+INT((ROWS(B$2:B12)-1)/3),"jjjjmmdd")</f>
        <v>19460104</v>
      </c>
      <c r="C12" s="20" t="str">
        <f>INDEX(Data,2,2+MOD(ROWS(C$2:C12)-1,3))</f>
        <v>12.00</v>
      </c>
      <c r="D12" s="14" t="str">
        <f t="shared" ca="1" si="1"/>
        <v>—</v>
      </c>
      <c r="E12" s="25">
        <f t="shared" ca="1" si="2"/>
        <v>7</v>
      </c>
    </row>
    <row r="13" spans="1:5" x14ac:dyDescent="0.25">
      <c r="A13" s="8">
        <f t="shared" si="0"/>
        <v>73</v>
      </c>
      <c r="B13" t="str">
        <f ca="1">TEXT(DATE(YEAR(Invoer!$A$5),1,1)+INT((ROWS(B$2:B13)-1)/3),"jjjjmmdd")</f>
        <v>19460104</v>
      </c>
      <c r="C13" s="20" t="str">
        <f>INDEX(Data,2,2+MOD(ROWS(C$2:C13)-1,3))</f>
        <v>16.00</v>
      </c>
      <c r="D13" s="14" t="str">
        <f t="shared" ca="1" si="1"/>
        <v>—</v>
      </c>
      <c r="E13" s="25">
        <f t="shared" ca="1" si="2"/>
        <v>7</v>
      </c>
    </row>
    <row r="14" spans="1:5" x14ac:dyDescent="0.25">
      <c r="A14" s="8">
        <f t="shared" si="0"/>
        <v>73</v>
      </c>
      <c r="B14" t="str">
        <f ca="1">TEXT(DATE(YEAR(Invoer!$A$5),1,1)+INT((ROWS(B$2:B14)-1)/3),"jjjjmmdd")</f>
        <v>19460105</v>
      </c>
      <c r="C14" s="20" t="str">
        <f>INDEX(Data,2,2+MOD(ROWS(C$2:C14)-1,3))</f>
        <v>08.00</v>
      </c>
      <c r="D14" s="14" t="str">
        <f t="shared" ca="1" si="1"/>
        <v>—</v>
      </c>
      <c r="E14" s="25">
        <f t="shared" ca="1" si="2"/>
        <v>7</v>
      </c>
    </row>
    <row r="15" spans="1:5" x14ac:dyDescent="0.25">
      <c r="A15" s="8">
        <f t="shared" si="0"/>
        <v>73</v>
      </c>
      <c r="B15" t="str">
        <f ca="1">TEXT(DATE(YEAR(Invoer!$A$5),1,1)+INT((ROWS(B$2:B15)-1)/3),"jjjjmmdd")</f>
        <v>19460105</v>
      </c>
      <c r="C15" s="20" t="str">
        <f>INDEX(Data,2,2+MOD(ROWS(C$2:C15)-1,3))</f>
        <v>12.00</v>
      </c>
      <c r="D15" s="14" t="str">
        <f t="shared" ca="1" si="1"/>
        <v>—</v>
      </c>
      <c r="E15" s="25">
        <f t="shared" ca="1" si="2"/>
        <v>7</v>
      </c>
    </row>
    <row r="16" spans="1:5" x14ac:dyDescent="0.25">
      <c r="A16" s="8">
        <f t="shared" si="0"/>
        <v>73</v>
      </c>
      <c r="B16" t="str">
        <f ca="1">TEXT(DATE(YEAR(Invoer!$A$5),1,1)+INT((ROWS(B$2:B16)-1)/3),"jjjjmmdd")</f>
        <v>19460105</v>
      </c>
      <c r="C16" s="20" t="str">
        <f>INDEX(Data,2,2+MOD(ROWS(C$2:C16)-1,3))</f>
        <v>16.00</v>
      </c>
      <c r="D16" s="14" t="str">
        <f t="shared" ca="1" si="1"/>
        <v>—</v>
      </c>
      <c r="E16" s="25">
        <f t="shared" ca="1" si="2"/>
        <v>7</v>
      </c>
    </row>
    <row r="17" spans="1:5" x14ac:dyDescent="0.25">
      <c r="A17" s="8">
        <f t="shared" si="0"/>
        <v>73</v>
      </c>
      <c r="B17" t="str">
        <f ca="1">TEXT(DATE(YEAR(Invoer!$A$5),1,1)+INT((ROWS(B$2:B17)-1)/3),"jjjjmmdd")</f>
        <v>19460106</v>
      </c>
      <c r="C17" s="20" t="str">
        <f>INDEX(Data,2,2+MOD(ROWS(C$2:C17)-1,3))</f>
        <v>08.00</v>
      </c>
      <c r="D17" s="14" t="str">
        <f t="shared" ca="1" si="1"/>
        <v>—</v>
      </c>
      <c r="E17" s="25">
        <f t="shared" ca="1" si="2"/>
        <v>7</v>
      </c>
    </row>
    <row r="18" spans="1:5" x14ac:dyDescent="0.25">
      <c r="A18" s="8">
        <f t="shared" si="0"/>
        <v>73</v>
      </c>
      <c r="B18" t="str">
        <f ca="1">TEXT(DATE(YEAR(Invoer!$A$5),1,1)+INT((ROWS(B$2:B18)-1)/3),"jjjjmmdd")</f>
        <v>19460106</v>
      </c>
      <c r="C18" s="20" t="str">
        <f>INDEX(Data,2,2+MOD(ROWS(C$2:C18)-1,3))</f>
        <v>12.00</v>
      </c>
      <c r="D18" s="14" t="str">
        <f t="shared" ca="1" si="1"/>
        <v>—</v>
      </c>
      <c r="E18" s="25">
        <f t="shared" ca="1" si="2"/>
        <v>7</v>
      </c>
    </row>
    <row r="19" spans="1:5" x14ac:dyDescent="0.25">
      <c r="A19" s="8">
        <f t="shared" si="0"/>
        <v>73</v>
      </c>
      <c r="B19" t="str">
        <f ca="1">TEXT(DATE(YEAR(Invoer!$A$5),1,1)+INT((ROWS(B$2:B19)-1)/3),"jjjjmmdd")</f>
        <v>19460106</v>
      </c>
      <c r="C19" s="20" t="str">
        <f>INDEX(Data,2,2+MOD(ROWS(C$2:C19)-1,3))</f>
        <v>16.00</v>
      </c>
      <c r="D19" s="14" t="str">
        <f t="shared" ca="1" si="1"/>
        <v>—</v>
      </c>
      <c r="E19" s="25">
        <f t="shared" ca="1" si="2"/>
        <v>7</v>
      </c>
    </row>
    <row r="20" spans="1:5" x14ac:dyDescent="0.25">
      <c r="A20" s="8">
        <f t="shared" si="0"/>
        <v>73</v>
      </c>
      <c r="B20" t="str">
        <f ca="1">TEXT(DATE(YEAR(Invoer!$A$5),1,1)+INT((ROWS(B$2:B20)-1)/3),"jjjjmmdd")</f>
        <v>19460107</v>
      </c>
      <c r="C20" s="20" t="str">
        <f>INDEX(Data,2,2+MOD(ROWS(C$2:C20)-1,3))</f>
        <v>08.00</v>
      </c>
      <c r="D20" s="14" t="str">
        <f t="shared" ca="1" si="1"/>
        <v>—</v>
      </c>
      <c r="E20" s="25">
        <f t="shared" ca="1" si="2"/>
        <v>7</v>
      </c>
    </row>
    <row r="21" spans="1:5" x14ac:dyDescent="0.25">
      <c r="A21" s="8">
        <f t="shared" si="0"/>
        <v>73</v>
      </c>
      <c r="B21" t="str">
        <f ca="1">TEXT(DATE(YEAR(Invoer!$A$5),1,1)+INT((ROWS(B$2:B21)-1)/3),"jjjjmmdd")</f>
        <v>19460107</v>
      </c>
      <c r="C21" s="20" t="str">
        <f>INDEX(Data,2,2+MOD(ROWS(C$2:C21)-1,3))</f>
        <v>12.00</v>
      </c>
      <c r="D21" s="14" t="str">
        <f t="shared" ca="1" si="1"/>
        <v>—</v>
      </c>
      <c r="E21" s="25">
        <f t="shared" ca="1" si="2"/>
        <v>7</v>
      </c>
    </row>
    <row r="22" spans="1:5" x14ac:dyDescent="0.25">
      <c r="A22" s="8">
        <f t="shared" si="0"/>
        <v>73</v>
      </c>
      <c r="B22" t="str">
        <f ca="1">TEXT(DATE(YEAR(Invoer!$A$5),1,1)+INT((ROWS(B$2:B22)-1)/3),"jjjjmmdd")</f>
        <v>19460107</v>
      </c>
      <c r="C22" s="20" t="str">
        <f>INDEX(Data,2,2+MOD(ROWS(C$2:C22)-1,3))</f>
        <v>16.00</v>
      </c>
      <c r="D22" s="14" t="str">
        <f t="shared" ca="1" si="1"/>
        <v>—</v>
      </c>
      <c r="E22" s="25">
        <f t="shared" ca="1" si="2"/>
        <v>7</v>
      </c>
    </row>
    <row r="23" spans="1:5" x14ac:dyDescent="0.25">
      <c r="A23" s="8">
        <f t="shared" si="0"/>
        <v>73</v>
      </c>
      <c r="B23" t="str">
        <f ca="1">TEXT(DATE(YEAR(Invoer!$A$5),1,1)+INT((ROWS(B$2:B23)-1)/3),"jjjjmmdd")</f>
        <v>19460108</v>
      </c>
      <c r="C23" s="20" t="str">
        <f>INDEX(Data,2,2+MOD(ROWS(C$2:C23)-1,3))</f>
        <v>08.00</v>
      </c>
      <c r="D23" s="14" t="str">
        <f t="shared" ca="1" si="1"/>
        <v>—</v>
      </c>
      <c r="E23" s="25">
        <f t="shared" ca="1" si="2"/>
        <v>7</v>
      </c>
    </row>
    <row r="24" spans="1:5" x14ac:dyDescent="0.25">
      <c r="A24" s="8">
        <f t="shared" si="0"/>
        <v>73</v>
      </c>
      <c r="B24" t="str">
        <f ca="1">TEXT(DATE(YEAR(Invoer!$A$5),1,1)+INT((ROWS(B$2:B24)-1)/3),"jjjjmmdd")</f>
        <v>19460108</v>
      </c>
      <c r="C24" s="20" t="str">
        <f>INDEX(Data,2,2+MOD(ROWS(C$2:C24)-1,3))</f>
        <v>12.00</v>
      </c>
      <c r="D24" s="14" t="str">
        <f t="shared" ca="1" si="1"/>
        <v>—</v>
      </c>
      <c r="E24" s="25">
        <f t="shared" ca="1" si="2"/>
        <v>7</v>
      </c>
    </row>
    <row r="25" spans="1:5" x14ac:dyDescent="0.25">
      <c r="A25" s="8">
        <f t="shared" si="0"/>
        <v>73</v>
      </c>
      <c r="B25" t="str">
        <f ca="1">TEXT(DATE(YEAR(Invoer!$A$5),1,1)+INT((ROWS(B$2:B25)-1)/3),"jjjjmmdd")</f>
        <v>19460108</v>
      </c>
      <c r="C25" s="20" t="str">
        <f>INDEX(Data,2,2+MOD(ROWS(C$2:C25)-1,3))</f>
        <v>16.00</v>
      </c>
      <c r="D25" s="14" t="str">
        <f t="shared" ca="1" si="1"/>
        <v>—</v>
      </c>
      <c r="E25" s="25">
        <f t="shared" ca="1" si="2"/>
        <v>7</v>
      </c>
    </row>
    <row r="26" spans="1:5" x14ac:dyDescent="0.25">
      <c r="A26" s="8">
        <f t="shared" si="0"/>
        <v>73</v>
      </c>
      <c r="B26" t="str">
        <f ca="1">TEXT(DATE(YEAR(Invoer!$A$5),1,1)+INT((ROWS(B$2:B26)-1)/3),"jjjjmmdd")</f>
        <v>19460109</v>
      </c>
      <c r="C26" s="20" t="str">
        <f>INDEX(Data,2,2+MOD(ROWS(C$2:C26)-1,3))</f>
        <v>08.00</v>
      </c>
      <c r="D26" s="14" t="str">
        <f t="shared" ca="1" si="1"/>
        <v>—</v>
      </c>
      <c r="E26" s="25">
        <f t="shared" ca="1" si="2"/>
        <v>7</v>
      </c>
    </row>
    <row r="27" spans="1:5" x14ac:dyDescent="0.25">
      <c r="A27" s="8">
        <f t="shared" si="0"/>
        <v>73</v>
      </c>
      <c r="B27" t="str">
        <f ca="1">TEXT(DATE(YEAR(Invoer!$A$5),1,1)+INT((ROWS(B$2:B27)-1)/3),"jjjjmmdd")</f>
        <v>19460109</v>
      </c>
      <c r="C27" s="20" t="str">
        <f>INDEX(Data,2,2+MOD(ROWS(C$2:C27)-1,3))</f>
        <v>12.00</v>
      </c>
      <c r="D27" s="14" t="str">
        <f t="shared" ca="1" si="1"/>
        <v>—</v>
      </c>
      <c r="E27" s="25">
        <f t="shared" ca="1" si="2"/>
        <v>7</v>
      </c>
    </row>
    <row r="28" spans="1:5" x14ac:dyDescent="0.25">
      <c r="A28" s="8">
        <f t="shared" si="0"/>
        <v>73</v>
      </c>
      <c r="B28" t="str">
        <f ca="1">TEXT(DATE(YEAR(Invoer!$A$5),1,1)+INT((ROWS(B$2:B28)-1)/3),"jjjjmmdd")</f>
        <v>19460109</v>
      </c>
      <c r="C28" s="20" t="str">
        <f>INDEX(Data,2,2+MOD(ROWS(C$2:C28)-1,3))</f>
        <v>16.00</v>
      </c>
      <c r="D28" s="14" t="str">
        <f t="shared" ca="1" si="1"/>
        <v>—</v>
      </c>
      <c r="E28" s="25">
        <f t="shared" ca="1" si="2"/>
        <v>7</v>
      </c>
    </row>
    <row r="29" spans="1:5" x14ac:dyDescent="0.25">
      <c r="A29" s="8">
        <f t="shared" si="0"/>
        <v>73</v>
      </c>
      <c r="B29" t="str">
        <f ca="1">TEXT(DATE(YEAR(Invoer!$A$5),1,1)+INT((ROWS(B$2:B29)-1)/3),"jjjjmmdd")</f>
        <v>19460110</v>
      </c>
      <c r="C29" s="20" t="str">
        <f>INDEX(Data,2,2+MOD(ROWS(C$2:C29)-1,3))</f>
        <v>08.00</v>
      </c>
      <c r="D29" s="14" t="str">
        <f t="shared" ca="1" si="1"/>
        <v>—</v>
      </c>
      <c r="E29" s="25">
        <f t="shared" ca="1" si="2"/>
        <v>7</v>
      </c>
    </row>
    <row r="30" spans="1:5" x14ac:dyDescent="0.25">
      <c r="A30" s="8">
        <f t="shared" si="0"/>
        <v>73</v>
      </c>
      <c r="B30" t="str">
        <f ca="1">TEXT(DATE(YEAR(Invoer!$A$5),1,1)+INT((ROWS(B$2:B30)-1)/3),"jjjjmmdd")</f>
        <v>19460110</v>
      </c>
      <c r="C30" s="20" t="str">
        <f>INDEX(Data,2,2+MOD(ROWS(C$2:C30)-1,3))</f>
        <v>12.00</v>
      </c>
      <c r="D30" s="14" t="str">
        <f t="shared" ca="1" si="1"/>
        <v>—</v>
      </c>
      <c r="E30" s="25">
        <f t="shared" ca="1" si="2"/>
        <v>7</v>
      </c>
    </row>
    <row r="31" spans="1:5" x14ac:dyDescent="0.25">
      <c r="A31" s="8">
        <f t="shared" si="0"/>
        <v>73</v>
      </c>
      <c r="B31" t="str">
        <f ca="1">TEXT(DATE(YEAR(Invoer!$A$5),1,1)+INT((ROWS(B$2:B31)-1)/3),"jjjjmmdd")</f>
        <v>19460110</v>
      </c>
      <c r="C31" s="20" t="str">
        <f>INDEX(Data,2,2+MOD(ROWS(C$2:C31)-1,3))</f>
        <v>16.00</v>
      </c>
      <c r="D31" s="14" t="str">
        <f t="shared" ca="1" si="1"/>
        <v>—</v>
      </c>
      <c r="E31" s="25">
        <f t="shared" ca="1" si="2"/>
        <v>7</v>
      </c>
    </row>
    <row r="32" spans="1:5" x14ac:dyDescent="0.25">
      <c r="A32" s="8">
        <f t="shared" si="0"/>
        <v>73</v>
      </c>
      <c r="B32" t="str">
        <f ca="1">TEXT(DATE(YEAR(Invoer!$A$5),1,1)+INT((ROWS(B$2:B32)-1)/3),"jjjjmmdd")</f>
        <v>19460111</v>
      </c>
      <c r="C32" s="20" t="str">
        <f>INDEX(Data,2,2+MOD(ROWS(C$2:C32)-1,3))</f>
        <v>08.00</v>
      </c>
      <c r="D32" s="14" t="str">
        <f t="shared" ca="1" si="1"/>
        <v>—</v>
      </c>
      <c r="E32" s="25">
        <f t="shared" ca="1" si="2"/>
        <v>7</v>
      </c>
    </row>
    <row r="33" spans="1:5" x14ac:dyDescent="0.25">
      <c r="A33" s="8">
        <f t="shared" si="0"/>
        <v>73</v>
      </c>
      <c r="B33" t="str">
        <f ca="1">TEXT(DATE(YEAR(Invoer!$A$5),1,1)+INT((ROWS(B$2:B33)-1)/3),"jjjjmmdd")</f>
        <v>19460111</v>
      </c>
      <c r="C33" s="20" t="str">
        <f>INDEX(Data,2,2+MOD(ROWS(C$2:C33)-1,3))</f>
        <v>12.00</v>
      </c>
      <c r="D33" s="14" t="str">
        <f t="shared" ca="1" si="1"/>
        <v>—</v>
      </c>
      <c r="E33" s="25">
        <f t="shared" ca="1" si="2"/>
        <v>7</v>
      </c>
    </row>
    <row r="34" spans="1:5" x14ac:dyDescent="0.25">
      <c r="A34" s="8">
        <f t="shared" si="0"/>
        <v>73</v>
      </c>
      <c r="B34" t="str">
        <f ca="1">TEXT(DATE(YEAR(Invoer!$A$5),1,1)+INT((ROWS(B$2:B34)-1)/3),"jjjjmmdd")</f>
        <v>19460111</v>
      </c>
      <c r="C34" s="20" t="str">
        <f>INDEX(Data,2,2+MOD(ROWS(C$2:C34)-1,3))</f>
        <v>16.00</v>
      </c>
      <c r="D34" s="14" t="str">
        <f t="shared" ca="1" si="1"/>
        <v>—</v>
      </c>
      <c r="E34" s="25">
        <f t="shared" ca="1" si="2"/>
        <v>7</v>
      </c>
    </row>
    <row r="35" spans="1:5" x14ac:dyDescent="0.25">
      <c r="A35" s="8">
        <f t="shared" si="0"/>
        <v>73</v>
      </c>
      <c r="B35" t="str">
        <f ca="1">TEXT(DATE(YEAR(Invoer!$A$5),1,1)+INT((ROWS(B$2:B35)-1)/3),"jjjjmmdd")</f>
        <v>19460112</v>
      </c>
      <c r="C35" s="20" t="str">
        <f>INDEX(Data,2,2+MOD(ROWS(C$2:C35)-1,3))</f>
        <v>08.00</v>
      </c>
      <c r="D35" s="14" t="str">
        <f t="shared" ca="1" si="1"/>
        <v>—</v>
      </c>
      <c r="E35" s="25">
        <f t="shared" ca="1" si="2"/>
        <v>7</v>
      </c>
    </row>
    <row r="36" spans="1:5" x14ac:dyDescent="0.25">
      <c r="A36" s="8">
        <f t="shared" si="0"/>
        <v>73</v>
      </c>
      <c r="B36" t="str">
        <f ca="1">TEXT(DATE(YEAR(Invoer!$A$5),1,1)+INT((ROWS(B$2:B36)-1)/3),"jjjjmmdd")</f>
        <v>19460112</v>
      </c>
      <c r="C36" s="20" t="str">
        <f>INDEX(Data,2,2+MOD(ROWS(C$2:C36)-1,3))</f>
        <v>12.00</v>
      </c>
      <c r="D36" s="14" t="str">
        <f t="shared" ca="1" si="1"/>
        <v>—</v>
      </c>
      <c r="E36" s="25">
        <f t="shared" ca="1" si="2"/>
        <v>7</v>
      </c>
    </row>
    <row r="37" spans="1:5" x14ac:dyDescent="0.25">
      <c r="A37" s="8">
        <f t="shared" si="0"/>
        <v>73</v>
      </c>
      <c r="B37" t="str">
        <f ca="1">TEXT(DATE(YEAR(Invoer!$A$5),1,1)+INT((ROWS(B$2:B37)-1)/3),"jjjjmmdd")</f>
        <v>19460112</v>
      </c>
      <c r="C37" s="20" t="str">
        <f>INDEX(Data,2,2+MOD(ROWS(C$2:C37)-1,3))</f>
        <v>16.00</v>
      </c>
      <c r="D37" s="14" t="str">
        <f t="shared" ca="1" si="1"/>
        <v>—</v>
      </c>
      <c r="E37" s="25">
        <f t="shared" ca="1" si="2"/>
        <v>7</v>
      </c>
    </row>
    <row r="38" spans="1:5" x14ac:dyDescent="0.25">
      <c r="A38" s="8">
        <f t="shared" si="0"/>
        <v>73</v>
      </c>
      <c r="B38" t="str">
        <f ca="1">TEXT(DATE(YEAR(Invoer!$A$5),1,1)+INT((ROWS(B$2:B38)-1)/3),"jjjjmmdd")</f>
        <v>19460113</v>
      </c>
      <c r="C38" s="20" t="str">
        <f>INDEX(Data,2,2+MOD(ROWS(C$2:C38)-1,3))</f>
        <v>08.00</v>
      </c>
      <c r="D38" s="14" t="str">
        <f t="shared" ca="1" si="1"/>
        <v>—</v>
      </c>
      <c r="E38" s="25">
        <f t="shared" ca="1" si="2"/>
        <v>7</v>
      </c>
    </row>
    <row r="39" spans="1:5" x14ac:dyDescent="0.25">
      <c r="A39" s="8">
        <f t="shared" si="0"/>
        <v>73</v>
      </c>
      <c r="B39" t="str">
        <f ca="1">TEXT(DATE(YEAR(Invoer!$A$5),1,1)+INT((ROWS(B$2:B39)-1)/3),"jjjjmmdd")</f>
        <v>19460113</v>
      </c>
      <c r="C39" s="20" t="str">
        <f>INDEX(Data,2,2+MOD(ROWS(C$2:C39)-1,3))</f>
        <v>12.00</v>
      </c>
      <c r="D39" s="14" t="str">
        <f t="shared" ca="1" si="1"/>
        <v>—</v>
      </c>
      <c r="E39" s="25">
        <f t="shared" ca="1" si="2"/>
        <v>7</v>
      </c>
    </row>
    <row r="40" spans="1:5" x14ac:dyDescent="0.25">
      <c r="A40" s="8">
        <f t="shared" si="0"/>
        <v>73</v>
      </c>
      <c r="B40" t="str">
        <f ca="1">TEXT(DATE(YEAR(Invoer!$A$5),1,1)+INT((ROWS(B$2:B40)-1)/3),"jjjjmmdd")</f>
        <v>19460113</v>
      </c>
      <c r="C40" s="20" t="str">
        <f>INDEX(Data,2,2+MOD(ROWS(C$2:C40)-1,3))</f>
        <v>16.00</v>
      </c>
      <c r="D40" s="14" t="str">
        <f t="shared" ca="1" si="1"/>
        <v>—</v>
      </c>
      <c r="E40" s="25">
        <f t="shared" ca="1" si="2"/>
        <v>7</v>
      </c>
    </row>
    <row r="41" spans="1:5" x14ac:dyDescent="0.25">
      <c r="A41" s="8">
        <f t="shared" si="0"/>
        <v>73</v>
      </c>
      <c r="B41" t="str">
        <f ca="1">TEXT(DATE(YEAR(Invoer!$A$5),1,1)+INT((ROWS(B$2:B41)-1)/3),"jjjjmmdd")</f>
        <v>19460114</v>
      </c>
      <c r="C41" s="20" t="str">
        <f>INDEX(Data,2,2+MOD(ROWS(C$2:C41)-1,3))</f>
        <v>08.00</v>
      </c>
      <c r="D41" s="14" t="str">
        <f t="shared" ca="1" si="1"/>
        <v>—</v>
      </c>
      <c r="E41" s="25">
        <f t="shared" ca="1" si="2"/>
        <v>7</v>
      </c>
    </row>
    <row r="42" spans="1:5" x14ac:dyDescent="0.25">
      <c r="A42" s="8">
        <f t="shared" si="0"/>
        <v>73</v>
      </c>
      <c r="B42" t="str">
        <f ca="1">TEXT(DATE(YEAR(Invoer!$A$5),1,1)+INT((ROWS(B$2:B42)-1)/3),"jjjjmmdd")</f>
        <v>19460114</v>
      </c>
      <c r="C42" s="20" t="str">
        <f>INDEX(Data,2,2+MOD(ROWS(C$2:C42)-1,3))</f>
        <v>12.00</v>
      </c>
      <c r="D42" s="14" t="str">
        <f t="shared" ca="1" si="1"/>
        <v>—</v>
      </c>
      <c r="E42" s="25">
        <f t="shared" ca="1" si="2"/>
        <v>7</v>
      </c>
    </row>
    <row r="43" spans="1:5" x14ac:dyDescent="0.25">
      <c r="A43" s="8">
        <f t="shared" si="0"/>
        <v>73</v>
      </c>
      <c r="B43" t="str">
        <f ca="1">TEXT(DATE(YEAR(Invoer!$A$5),1,1)+INT((ROWS(B$2:B43)-1)/3),"jjjjmmdd")</f>
        <v>19460114</v>
      </c>
      <c r="C43" s="20" t="str">
        <f>INDEX(Data,2,2+MOD(ROWS(C$2:C43)-1,3))</f>
        <v>16.00</v>
      </c>
      <c r="D43" s="14" t="str">
        <f t="shared" ca="1" si="1"/>
        <v>—</v>
      </c>
      <c r="E43" s="25">
        <f t="shared" ca="1" si="2"/>
        <v>7</v>
      </c>
    </row>
    <row r="44" spans="1:5" x14ac:dyDescent="0.25">
      <c r="A44" s="8">
        <f t="shared" si="0"/>
        <v>73</v>
      </c>
      <c r="B44" t="str">
        <f ca="1">TEXT(DATE(YEAR(Invoer!$A$5),1,1)+INT((ROWS(B$2:B44)-1)/3),"jjjjmmdd")</f>
        <v>19460115</v>
      </c>
      <c r="C44" s="20" t="str">
        <f>INDEX(Data,2,2+MOD(ROWS(C$2:C44)-1,3))</f>
        <v>08.00</v>
      </c>
      <c r="D44" s="14" t="str">
        <f t="shared" ca="1" si="1"/>
        <v>—</v>
      </c>
      <c r="E44" s="25">
        <f t="shared" ca="1" si="2"/>
        <v>7</v>
      </c>
    </row>
    <row r="45" spans="1:5" x14ac:dyDescent="0.25">
      <c r="A45" s="8">
        <f t="shared" si="0"/>
        <v>73</v>
      </c>
      <c r="B45" t="str">
        <f ca="1">TEXT(DATE(YEAR(Invoer!$A$5),1,1)+INT((ROWS(B$2:B45)-1)/3),"jjjjmmdd")</f>
        <v>19460115</v>
      </c>
      <c r="C45" s="20" t="str">
        <f>INDEX(Data,2,2+MOD(ROWS(C$2:C45)-1,3))</f>
        <v>12.00</v>
      </c>
      <c r="D45" s="14" t="str">
        <f t="shared" ca="1" si="1"/>
        <v>—</v>
      </c>
      <c r="E45" s="25">
        <f t="shared" ca="1" si="2"/>
        <v>7</v>
      </c>
    </row>
    <row r="46" spans="1:5" x14ac:dyDescent="0.25">
      <c r="A46" s="8">
        <f t="shared" si="0"/>
        <v>73</v>
      </c>
      <c r="B46" t="str">
        <f ca="1">TEXT(DATE(YEAR(Invoer!$A$5),1,1)+INT((ROWS(B$2:B46)-1)/3),"jjjjmmdd")</f>
        <v>19460115</v>
      </c>
      <c r="C46" s="20" t="str">
        <f>INDEX(Data,2,2+MOD(ROWS(C$2:C46)-1,3))</f>
        <v>16.00</v>
      </c>
      <c r="D46" s="14" t="str">
        <f t="shared" ca="1" si="1"/>
        <v>—</v>
      </c>
      <c r="E46" s="25">
        <f t="shared" ca="1" si="2"/>
        <v>7</v>
      </c>
    </row>
    <row r="47" spans="1:5" x14ac:dyDescent="0.25">
      <c r="A47" s="8">
        <f t="shared" si="0"/>
        <v>73</v>
      </c>
      <c r="B47" t="str">
        <f ca="1">TEXT(DATE(YEAR(Invoer!$A$5),1,1)+INT((ROWS(B$2:B47)-1)/3),"jjjjmmdd")</f>
        <v>19460116</v>
      </c>
      <c r="C47" s="20" t="str">
        <f>INDEX(Data,2,2+MOD(ROWS(C$2:C47)-1,3))</f>
        <v>08.00</v>
      </c>
      <c r="D47" s="14" t="str">
        <f t="shared" ca="1" si="1"/>
        <v>—</v>
      </c>
      <c r="E47" s="25">
        <f t="shared" ca="1" si="2"/>
        <v>7</v>
      </c>
    </row>
    <row r="48" spans="1:5" x14ac:dyDescent="0.25">
      <c r="A48" s="8">
        <f t="shared" si="0"/>
        <v>73</v>
      </c>
      <c r="B48" t="str">
        <f ca="1">TEXT(DATE(YEAR(Invoer!$A$5),1,1)+INT((ROWS(B$2:B48)-1)/3),"jjjjmmdd")</f>
        <v>19460116</v>
      </c>
      <c r="C48" s="20" t="str">
        <f>INDEX(Data,2,2+MOD(ROWS(C$2:C48)-1,3))</f>
        <v>12.00</v>
      </c>
      <c r="D48" s="14" t="str">
        <f t="shared" ca="1" si="1"/>
        <v>—</v>
      </c>
      <c r="E48" s="25">
        <f t="shared" ca="1" si="2"/>
        <v>7</v>
      </c>
    </row>
    <row r="49" spans="1:5" x14ac:dyDescent="0.25">
      <c r="A49" s="8">
        <f t="shared" si="0"/>
        <v>73</v>
      </c>
      <c r="B49" t="str">
        <f ca="1">TEXT(DATE(YEAR(Invoer!$A$5),1,1)+INT((ROWS(B$2:B49)-1)/3),"jjjjmmdd")</f>
        <v>19460116</v>
      </c>
      <c r="C49" s="20" t="str">
        <f>INDEX(Data,2,2+MOD(ROWS(C$2:C49)-1,3))</f>
        <v>16.00</v>
      </c>
      <c r="D49" s="14" t="str">
        <f t="shared" ca="1" si="1"/>
        <v>—</v>
      </c>
      <c r="E49" s="25">
        <f t="shared" ca="1" si="2"/>
        <v>7</v>
      </c>
    </row>
    <row r="50" spans="1:5" x14ac:dyDescent="0.25">
      <c r="A50" s="8">
        <f t="shared" si="0"/>
        <v>73</v>
      </c>
      <c r="B50" t="str">
        <f ca="1">TEXT(DATE(YEAR(Invoer!$A$5),1,1)+INT((ROWS(B$2:B50)-1)/3),"jjjjmmdd")</f>
        <v>19460117</v>
      </c>
      <c r="C50" s="20" t="str">
        <f>INDEX(Data,2,2+MOD(ROWS(C$2:C50)-1,3))</f>
        <v>08.00</v>
      </c>
      <c r="D50" s="14" t="str">
        <f t="shared" ca="1" si="1"/>
        <v>—</v>
      </c>
      <c r="E50" s="25">
        <f t="shared" ca="1" si="2"/>
        <v>7</v>
      </c>
    </row>
    <row r="51" spans="1:5" x14ac:dyDescent="0.25">
      <c r="A51" s="8">
        <f t="shared" si="0"/>
        <v>73</v>
      </c>
      <c r="B51" t="str">
        <f ca="1">TEXT(DATE(YEAR(Invoer!$A$5),1,1)+INT((ROWS(B$2:B51)-1)/3),"jjjjmmdd")</f>
        <v>19460117</v>
      </c>
      <c r="C51" s="20" t="str">
        <f>INDEX(Data,2,2+MOD(ROWS(C$2:C51)-1,3))</f>
        <v>12.00</v>
      </c>
      <c r="D51" s="14" t="str">
        <f t="shared" ca="1" si="1"/>
        <v>—</v>
      </c>
      <c r="E51" s="25">
        <f t="shared" ca="1" si="2"/>
        <v>7</v>
      </c>
    </row>
    <row r="52" spans="1:5" x14ac:dyDescent="0.25">
      <c r="A52" s="8">
        <f t="shared" si="0"/>
        <v>73</v>
      </c>
      <c r="B52" t="str">
        <f ca="1">TEXT(DATE(YEAR(Invoer!$A$5),1,1)+INT((ROWS(B$2:B52)-1)/3),"jjjjmmdd")</f>
        <v>19460117</v>
      </c>
      <c r="C52" s="20" t="str">
        <f>INDEX(Data,2,2+MOD(ROWS(C$2:C52)-1,3))</f>
        <v>16.00</v>
      </c>
      <c r="D52" s="14" t="str">
        <f t="shared" ca="1" si="1"/>
        <v>—</v>
      </c>
      <c r="E52" s="25">
        <f t="shared" ca="1" si="2"/>
        <v>7</v>
      </c>
    </row>
    <row r="53" spans="1:5" x14ac:dyDescent="0.25">
      <c r="A53" s="8">
        <f t="shared" si="0"/>
        <v>73</v>
      </c>
      <c r="B53" t="str">
        <f ca="1">TEXT(DATE(YEAR(Invoer!$A$5),1,1)+INT((ROWS(B$2:B53)-1)/3),"jjjjmmdd")</f>
        <v>19460118</v>
      </c>
      <c r="C53" s="20" t="str">
        <f>INDEX(Data,2,2+MOD(ROWS(C$2:C53)-1,3))</f>
        <v>08.00</v>
      </c>
      <c r="D53" s="14" t="str">
        <f t="shared" ca="1" si="1"/>
        <v>—</v>
      </c>
      <c r="E53" s="25">
        <f t="shared" ca="1" si="2"/>
        <v>7</v>
      </c>
    </row>
    <row r="54" spans="1:5" x14ac:dyDescent="0.25">
      <c r="A54" s="8">
        <f t="shared" si="0"/>
        <v>73</v>
      </c>
      <c r="B54" t="str">
        <f ca="1">TEXT(DATE(YEAR(Invoer!$A$5),1,1)+INT((ROWS(B$2:B54)-1)/3),"jjjjmmdd")</f>
        <v>19460118</v>
      </c>
      <c r="C54" s="20" t="str">
        <f>INDEX(Data,2,2+MOD(ROWS(C$2:C54)-1,3))</f>
        <v>12.00</v>
      </c>
      <c r="D54" s="14" t="str">
        <f t="shared" ca="1" si="1"/>
        <v>—</v>
      </c>
      <c r="E54" s="25">
        <f t="shared" ca="1" si="2"/>
        <v>7</v>
      </c>
    </row>
    <row r="55" spans="1:5" x14ac:dyDescent="0.25">
      <c r="A55" s="8">
        <f t="shared" si="0"/>
        <v>73</v>
      </c>
      <c r="B55" t="str">
        <f ca="1">TEXT(DATE(YEAR(Invoer!$A$5),1,1)+INT((ROWS(B$2:B55)-1)/3),"jjjjmmdd")</f>
        <v>19460118</v>
      </c>
      <c r="C55" s="20" t="str">
        <f>INDEX(Data,2,2+MOD(ROWS(C$2:C55)-1,3))</f>
        <v>16.00</v>
      </c>
      <c r="D55" s="14" t="str">
        <f t="shared" ca="1" si="1"/>
        <v>—</v>
      </c>
      <c r="E55" s="25">
        <f t="shared" ca="1" si="2"/>
        <v>7</v>
      </c>
    </row>
    <row r="56" spans="1:5" x14ac:dyDescent="0.25">
      <c r="A56" s="8">
        <f t="shared" si="0"/>
        <v>73</v>
      </c>
      <c r="B56" t="str">
        <f ca="1">TEXT(DATE(YEAR(Invoer!$A$5),1,1)+INT((ROWS(B$2:B56)-1)/3),"jjjjmmdd")</f>
        <v>19460119</v>
      </c>
      <c r="C56" s="20" t="str">
        <f>INDEX(Data,2,2+MOD(ROWS(C$2:C56)-1,3))</f>
        <v>08.00</v>
      </c>
      <c r="D56" s="14" t="str">
        <f t="shared" ca="1" si="1"/>
        <v>—</v>
      </c>
      <c r="E56" s="25">
        <f t="shared" ca="1" si="2"/>
        <v>7</v>
      </c>
    </row>
    <row r="57" spans="1:5" x14ac:dyDescent="0.25">
      <c r="A57" s="8">
        <f t="shared" si="0"/>
        <v>73</v>
      </c>
      <c r="B57" t="str">
        <f ca="1">TEXT(DATE(YEAR(Invoer!$A$5),1,1)+INT((ROWS(B$2:B57)-1)/3),"jjjjmmdd")</f>
        <v>19460119</v>
      </c>
      <c r="C57" s="20" t="str">
        <f>INDEX(Data,2,2+MOD(ROWS(C$2:C57)-1,3))</f>
        <v>12.00</v>
      </c>
      <c r="D57" s="14" t="str">
        <f t="shared" ca="1" si="1"/>
        <v>—</v>
      </c>
      <c r="E57" s="25">
        <f t="shared" ca="1" si="2"/>
        <v>7</v>
      </c>
    </row>
    <row r="58" spans="1:5" x14ac:dyDescent="0.25">
      <c r="A58" s="8">
        <f t="shared" si="0"/>
        <v>73</v>
      </c>
      <c r="B58" t="str">
        <f ca="1">TEXT(DATE(YEAR(Invoer!$A$5),1,1)+INT((ROWS(B$2:B58)-1)/3),"jjjjmmdd")</f>
        <v>19460119</v>
      </c>
      <c r="C58" s="20" t="str">
        <f>INDEX(Data,2,2+MOD(ROWS(C$2:C58)-1,3))</f>
        <v>16.00</v>
      </c>
      <c r="D58" s="14" t="str">
        <f t="shared" ca="1" si="1"/>
        <v>—</v>
      </c>
      <c r="E58" s="25">
        <f t="shared" ca="1" si="2"/>
        <v>7</v>
      </c>
    </row>
    <row r="59" spans="1:5" x14ac:dyDescent="0.25">
      <c r="A59" s="8">
        <f t="shared" si="0"/>
        <v>73</v>
      </c>
      <c r="B59" t="str">
        <f ca="1">TEXT(DATE(YEAR(Invoer!$A$5),1,1)+INT((ROWS(B$2:B59)-1)/3),"jjjjmmdd")</f>
        <v>19460120</v>
      </c>
      <c r="C59" s="20" t="str">
        <f>INDEX(Data,2,2+MOD(ROWS(C$2:C59)-1,3))</f>
        <v>08.00</v>
      </c>
      <c r="D59" s="14" t="str">
        <f t="shared" ca="1" si="1"/>
        <v>—</v>
      </c>
      <c r="E59" s="25">
        <f t="shared" ca="1" si="2"/>
        <v>7</v>
      </c>
    </row>
    <row r="60" spans="1:5" x14ac:dyDescent="0.25">
      <c r="A60" s="8">
        <f t="shared" si="0"/>
        <v>73</v>
      </c>
      <c r="B60" t="str">
        <f ca="1">TEXT(DATE(YEAR(Invoer!$A$5),1,1)+INT((ROWS(B$2:B60)-1)/3),"jjjjmmdd")</f>
        <v>19460120</v>
      </c>
      <c r="C60" s="20" t="str">
        <f>INDEX(Data,2,2+MOD(ROWS(C$2:C60)-1,3))</f>
        <v>12.00</v>
      </c>
      <c r="D60" s="14" t="str">
        <f t="shared" ca="1" si="1"/>
        <v>—</v>
      </c>
      <c r="E60" s="25">
        <f t="shared" ca="1" si="2"/>
        <v>7</v>
      </c>
    </row>
    <row r="61" spans="1:5" x14ac:dyDescent="0.25">
      <c r="A61" s="8">
        <f t="shared" si="0"/>
        <v>73</v>
      </c>
      <c r="B61" t="str">
        <f ca="1">TEXT(DATE(YEAR(Invoer!$A$5),1,1)+INT((ROWS(B$2:B61)-1)/3),"jjjjmmdd")</f>
        <v>19460120</v>
      </c>
      <c r="C61" s="20" t="str">
        <f>INDEX(Data,2,2+MOD(ROWS(C$2:C61)-1,3))</f>
        <v>16.00</v>
      </c>
      <c r="D61" s="14" t="str">
        <f t="shared" ca="1" si="1"/>
        <v>—</v>
      </c>
      <c r="E61" s="25">
        <f t="shared" ca="1" si="2"/>
        <v>7</v>
      </c>
    </row>
    <row r="62" spans="1:5" x14ac:dyDescent="0.25">
      <c r="A62" s="8">
        <f t="shared" si="0"/>
        <v>73</v>
      </c>
      <c r="B62" t="str">
        <f ca="1">TEXT(DATE(YEAR(Invoer!$A$5),1,1)+INT((ROWS(B$2:B62)-1)/3),"jjjjmmdd")</f>
        <v>19460121</v>
      </c>
      <c r="C62" s="20" t="str">
        <f>INDEX(Data,2,2+MOD(ROWS(C$2:C62)-1,3))</f>
        <v>08.00</v>
      </c>
      <c r="D62" s="14" t="str">
        <f t="shared" ca="1" si="1"/>
        <v>—</v>
      </c>
      <c r="E62" s="25">
        <f t="shared" ca="1" si="2"/>
        <v>7</v>
      </c>
    </row>
    <row r="63" spans="1:5" x14ac:dyDescent="0.25">
      <c r="A63" s="8">
        <f t="shared" si="0"/>
        <v>73</v>
      </c>
      <c r="B63" t="str">
        <f ca="1">TEXT(DATE(YEAR(Invoer!$A$5),1,1)+INT((ROWS(B$2:B63)-1)/3),"jjjjmmdd")</f>
        <v>19460121</v>
      </c>
      <c r="C63" s="20" t="str">
        <f>INDEX(Data,2,2+MOD(ROWS(C$2:C63)-1,3))</f>
        <v>12.00</v>
      </c>
      <c r="D63" s="14" t="str">
        <f t="shared" ca="1" si="1"/>
        <v>—</v>
      </c>
      <c r="E63" s="25">
        <f t="shared" ca="1" si="2"/>
        <v>7</v>
      </c>
    </row>
    <row r="64" spans="1:5" x14ac:dyDescent="0.25">
      <c r="A64" s="8">
        <f t="shared" si="0"/>
        <v>73</v>
      </c>
      <c r="B64" t="str">
        <f ca="1">TEXT(DATE(YEAR(Invoer!$A$5),1,1)+INT((ROWS(B$2:B64)-1)/3),"jjjjmmdd")</f>
        <v>19460121</v>
      </c>
      <c r="C64" s="20" t="str">
        <f>INDEX(Data,2,2+MOD(ROWS(C$2:C64)-1,3))</f>
        <v>16.00</v>
      </c>
      <c r="D64" s="14" t="str">
        <f t="shared" ca="1" si="1"/>
        <v>—</v>
      </c>
      <c r="E64" s="25">
        <f t="shared" ca="1" si="2"/>
        <v>7</v>
      </c>
    </row>
    <row r="65" spans="1:5" x14ac:dyDescent="0.25">
      <c r="A65" s="8">
        <f t="shared" si="0"/>
        <v>73</v>
      </c>
      <c r="B65" t="str">
        <f ca="1">TEXT(DATE(YEAR(Invoer!$A$5),1,1)+INT((ROWS(B$2:B65)-1)/3),"jjjjmmdd")</f>
        <v>19460122</v>
      </c>
      <c r="C65" s="20" t="str">
        <f>INDEX(Data,2,2+MOD(ROWS(C$2:C65)-1,3))</f>
        <v>08.00</v>
      </c>
      <c r="D65" s="14" t="str">
        <f t="shared" ca="1" si="1"/>
        <v>—</v>
      </c>
      <c r="E65" s="25">
        <f t="shared" ca="1" si="2"/>
        <v>7</v>
      </c>
    </row>
    <row r="66" spans="1:5" x14ac:dyDescent="0.25">
      <c r="A66" s="8">
        <f t="shared" ref="A66:A129" si="3">INDEX(Stations,2,1)</f>
        <v>73</v>
      </c>
      <c r="B66" t="str">
        <f ca="1">TEXT(DATE(YEAR(Invoer!$A$5),1,1)+INT((ROWS(B$2:B66)-1)/3),"jjjjmmdd")</f>
        <v>19460122</v>
      </c>
      <c r="C66" s="20" t="str">
        <f>INDEX(Data,2,2+MOD(ROWS(C$2:C66)-1,3))</f>
        <v>12.00</v>
      </c>
      <c r="D66" s="14" t="str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25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</row>
    <row r="67" spans="1:5" x14ac:dyDescent="0.25">
      <c r="A67" s="8">
        <f t="shared" si="3"/>
        <v>73</v>
      </c>
      <c r="B67" t="str">
        <f ca="1">TEXT(DATE(YEAR(Invoer!$A$5),1,1)+INT((ROWS(B$2:B67)-1)/3),"jjjjmmdd")</f>
        <v>19460122</v>
      </c>
      <c r="C67" s="20" t="str">
        <f>INDEX(Data,2,2+MOD(ROWS(C$2:C67)-1,3))</f>
        <v>16.00</v>
      </c>
      <c r="D67" s="14" t="str">
        <f t="shared" ca="1" si="4"/>
        <v>—</v>
      </c>
      <c r="E67" s="25">
        <f t="shared" ca="1" si="5"/>
        <v>7</v>
      </c>
    </row>
    <row r="68" spans="1:5" x14ac:dyDescent="0.25">
      <c r="A68" s="8">
        <f t="shared" si="3"/>
        <v>73</v>
      </c>
      <c r="B68" t="str">
        <f ca="1">TEXT(DATE(YEAR(Invoer!$A$5),1,1)+INT((ROWS(B$2:B68)-1)/3),"jjjjmmdd")</f>
        <v>19460123</v>
      </c>
      <c r="C68" s="20" t="str">
        <f>INDEX(Data,2,2+MOD(ROWS(C$2:C68)-1,3))</f>
        <v>08.00</v>
      </c>
      <c r="D68" s="14" t="str">
        <f t="shared" ca="1" si="4"/>
        <v>—</v>
      </c>
      <c r="E68" s="25">
        <f t="shared" ca="1" si="5"/>
        <v>7</v>
      </c>
    </row>
    <row r="69" spans="1:5" x14ac:dyDescent="0.25">
      <c r="A69" s="8">
        <f t="shared" si="3"/>
        <v>73</v>
      </c>
      <c r="B69" t="str">
        <f ca="1">TEXT(DATE(YEAR(Invoer!$A$5),1,1)+INT((ROWS(B$2:B69)-1)/3),"jjjjmmdd")</f>
        <v>19460123</v>
      </c>
      <c r="C69" s="20" t="str">
        <f>INDEX(Data,2,2+MOD(ROWS(C$2:C69)-1,3))</f>
        <v>12.00</v>
      </c>
      <c r="D69" s="14" t="str">
        <f t="shared" ca="1" si="4"/>
        <v>—</v>
      </c>
      <c r="E69" s="25">
        <f t="shared" ca="1" si="5"/>
        <v>7</v>
      </c>
    </row>
    <row r="70" spans="1:5" x14ac:dyDescent="0.25">
      <c r="A70" s="8">
        <f t="shared" si="3"/>
        <v>73</v>
      </c>
      <c r="B70" t="str">
        <f ca="1">TEXT(DATE(YEAR(Invoer!$A$5),1,1)+INT((ROWS(B$2:B70)-1)/3),"jjjjmmdd")</f>
        <v>19460123</v>
      </c>
      <c r="C70" s="20" t="str">
        <f>INDEX(Data,2,2+MOD(ROWS(C$2:C70)-1,3))</f>
        <v>16.00</v>
      </c>
      <c r="D70" s="14" t="str">
        <f t="shared" ca="1" si="4"/>
        <v>—</v>
      </c>
      <c r="E70" s="25">
        <f t="shared" ca="1" si="5"/>
        <v>7</v>
      </c>
    </row>
    <row r="71" spans="1:5" x14ac:dyDescent="0.25">
      <c r="A71" s="8">
        <f t="shared" si="3"/>
        <v>73</v>
      </c>
      <c r="B71" t="str">
        <f ca="1">TEXT(DATE(YEAR(Invoer!$A$5),1,1)+INT((ROWS(B$2:B71)-1)/3),"jjjjmmdd")</f>
        <v>19460124</v>
      </c>
      <c r="C71" s="20" t="str">
        <f>INDEX(Data,2,2+MOD(ROWS(C$2:C71)-1,3))</f>
        <v>08.00</v>
      </c>
      <c r="D71" s="14" t="str">
        <f t="shared" ca="1" si="4"/>
        <v>—</v>
      </c>
      <c r="E71" s="25">
        <f t="shared" ca="1" si="5"/>
        <v>7</v>
      </c>
    </row>
    <row r="72" spans="1:5" x14ac:dyDescent="0.25">
      <c r="A72" s="8">
        <f t="shared" si="3"/>
        <v>73</v>
      </c>
      <c r="B72" t="str">
        <f ca="1">TEXT(DATE(YEAR(Invoer!$A$5),1,1)+INT((ROWS(B$2:B72)-1)/3),"jjjjmmdd")</f>
        <v>19460124</v>
      </c>
      <c r="C72" s="20" t="str">
        <f>INDEX(Data,2,2+MOD(ROWS(C$2:C72)-1,3))</f>
        <v>12.00</v>
      </c>
      <c r="D72" s="14" t="str">
        <f t="shared" ca="1" si="4"/>
        <v>—</v>
      </c>
      <c r="E72" s="25">
        <f t="shared" ca="1" si="5"/>
        <v>7</v>
      </c>
    </row>
    <row r="73" spans="1:5" x14ac:dyDescent="0.25">
      <c r="A73" s="8">
        <f t="shared" si="3"/>
        <v>73</v>
      </c>
      <c r="B73" t="str">
        <f ca="1">TEXT(DATE(YEAR(Invoer!$A$5),1,1)+INT((ROWS(B$2:B73)-1)/3),"jjjjmmdd")</f>
        <v>19460124</v>
      </c>
      <c r="C73" s="20" t="str">
        <f>INDEX(Data,2,2+MOD(ROWS(C$2:C73)-1,3))</f>
        <v>16.00</v>
      </c>
      <c r="D73" s="14" t="str">
        <f t="shared" ca="1" si="4"/>
        <v>—</v>
      </c>
      <c r="E73" s="25">
        <f t="shared" ca="1" si="5"/>
        <v>7</v>
      </c>
    </row>
    <row r="74" spans="1:5" x14ac:dyDescent="0.25">
      <c r="A74" s="8">
        <f t="shared" si="3"/>
        <v>73</v>
      </c>
      <c r="B74" t="str">
        <f ca="1">TEXT(DATE(YEAR(Invoer!$A$5),1,1)+INT((ROWS(B$2:B74)-1)/3),"jjjjmmdd")</f>
        <v>19460125</v>
      </c>
      <c r="C74" s="20" t="str">
        <f>INDEX(Data,2,2+MOD(ROWS(C$2:C74)-1,3))</f>
        <v>08.00</v>
      </c>
      <c r="D74" s="14" t="str">
        <f t="shared" ca="1" si="4"/>
        <v>—</v>
      </c>
      <c r="E74" s="25">
        <f t="shared" ca="1" si="5"/>
        <v>7</v>
      </c>
    </row>
    <row r="75" spans="1:5" x14ac:dyDescent="0.25">
      <c r="A75" s="8">
        <f t="shared" si="3"/>
        <v>73</v>
      </c>
      <c r="B75" t="str">
        <f ca="1">TEXT(DATE(YEAR(Invoer!$A$5),1,1)+INT((ROWS(B$2:B75)-1)/3),"jjjjmmdd")</f>
        <v>19460125</v>
      </c>
      <c r="C75" s="20" t="str">
        <f>INDEX(Data,2,2+MOD(ROWS(C$2:C75)-1,3))</f>
        <v>12.00</v>
      </c>
      <c r="D75" s="14" t="str">
        <f t="shared" ca="1" si="4"/>
        <v>—</v>
      </c>
      <c r="E75" s="25">
        <f t="shared" ca="1" si="5"/>
        <v>7</v>
      </c>
    </row>
    <row r="76" spans="1:5" x14ac:dyDescent="0.25">
      <c r="A76" s="8">
        <f t="shared" si="3"/>
        <v>73</v>
      </c>
      <c r="B76" t="str">
        <f ca="1">TEXT(DATE(YEAR(Invoer!$A$5),1,1)+INT((ROWS(B$2:B76)-1)/3),"jjjjmmdd")</f>
        <v>19460125</v>
      </c>
      <c r="C76" s="20" t="str">
        <f>INDEX(Data,2,2+MOD(ROWS(C$2:C76)-1,3))</f>
        <v>16.00</v>
      </c>
      <c r="D76" s="14" t="str">
        <f t="shared" ca="1" si="4"/>
        <v>—</v>
      </c>
      <c r="E76" s="25">
        <f t="shared" ca="1" si="5"/>
        <v>7</v>
      </c>
    </row>
    <row r="77" spans="1:5" x14ac:dyDescent="0.25">
      <c r="A77" s="8">
        <f t="shared" si="3"/>
        <v>73</v>
      </c>
      <c r="B77" t="str">
        <f ca="1">TEXT(DATE(YEAR(Invoer!$A$5),1,1)+INT((ROWS(B$2:B77)-1)/3),"jjjjmmdd")</f>
        <v>19460126</v>
      </c>
      <c r="C77" s="20" t="str">
        <f>INDEX(Data,2,2+MOD(ROWS(C$2:C77)-1,3))</f>
        <v>08.00</v>
      </c>
      <c r="D77" s="14" t="str">
        <f t="shared" ca="1" si="4"/>
        <v>—</v>
      </c>
      <c r="E77" s="25">
        <f t="shared" ca="1" si="5"/>
        <v>7</v>
      </c>
    </row>
    <row r="78" spans="1:5" x14ac:dyDescent="0.25">
      <c r="A78" s="8">
        <f t="shared" si="3"/>
        <v>73</v>
      </c>
      <c r="B78" t="str">
        <f ca="1">TEXT(DATE(YEAR(Invoer!$A$5),1,1)+INT((ROWS(B$2:B78)-1)/3),"jjjjmmdd")</f>
        <v>19460126</v>
      </c>
      <c r="C78" s="20" t="str">
        <f>INDEX(Data,2,2+MOD(ROWS(C$2:C78)-1,3))</f>
        <v>12.00</v>
      </c>
      <c r="D78" s="14" t="str">
        <f t="shared" ca="1" si="4"/>
        <v>—</v>
      </c>
      <c r="E78" s="25">
        <f t="shared" ca="1" si="5"/>
        <v>7</v>
      </c>
    </row>
    <row r="79" spans="1:5" x14ac:dyDescent="0.25">
      <c r="A79" s="8">
        <f t="shared" si="3"/>
        <v>73</v>
      </c>
      <c r="B79" t="str">
        <f ca="1">TEXT(DATE(YEAR(Invoer!$A$5),1,1)+INT((ROWS(B$2:B79)-1)/3),"jjjjmmdd")</f>
        <v>19460126</v>
      </c>
      <c r="C79" s="20" t="str">
        <f>INDEX(Data,2,2+MOD(ROWS(C$2:C79)-1,3))</f>
        <v>16.00</v>
      </c>
      <c r="D79" s="14" t="str">
        <f t="shared" ca="1" si="4"/>
        <v>—</v>
      </c>
      <c r="E79" s="25">
        <f t="shared" ca="1" si="5"/>
        <v>7</v>
      </c>
    </row>
    <row r="80" spans="1:5" x14ac:dyDescent="0.25">
      <c r="A80" s="8">
        <f t="shared" si="3"/>
        <v>73</v>
      </c>
      <c r="B80" t="str">
        <f ca="1">TEXT(DATE(YEAR(Invoer!$A$5),1,1)+INT((ROWS(B$2:B80)-1)/3),"jjjjmmdd")</f>
        <v>19460127</v>
      </c>
      <c r="C80" s="20" t="str">
        <f>INDEX(Data,2,2+MOD(ROWS(C$2:C80)-1,3))</f>
        <v>08.00</v>
      </c>
      <c r="D80" s="14" t="str">
        <f t="shared" ca="1" si="4"/>
        <v>—</v>
      </c>
      <c r="E80" s="25">
        <f t="shared" ca="1" si="5"/>
        <v>7</v>
      </c>
    </row>
    <row r="81" spans="1:5" x14ac:dyDescent="0.25">
      <c r="A81" s="8">
        <f t="shared" si="3"/>
        <v>73</v>
      </c>
      <c r="B81" t="str">
        <f ca="1">TEXT(DATE(YEAR(Invoer!$A$5),1,1)+INT((ROWS(B$2:B81)-1)/3),"jjjjmmdd")</f>
        <v>19460127</v>
      </c>
      <c r="C81" s="20" t="str">
        <f>INDEX(Data,2,2+MOD(ROWS(C$2:C81)-1,3))</f>
        <v>12.00</v>
      </c>
      <c r="D81" s="14" t="str">
        <f t="shared" ca="1" si="4"/>
        <v>—</v>
      </c>
      <c r="E81" s="25">
        <f t="shared" ca="1" si="5"/>
        <v>7</v>
      </c>
    </row>
    <row r="82" spans="1:5" x14ac:dyDescent="0.25">
      <c r="A82" s="8">
        <f t="shared" si="3"/>
        <v>73</v>
      </c>
      <c r="B82" t="str">
        <f ca="1">TEXT(DATE(YEAR(Invoer!$A$5),1,1)+INT((ROWS(B$2:B82)-1)/3),"jjjjmmdd")</f>
        <v>19460127</v>
      </c>
      <c r="C82" s="20" t="str">
        <f>INDEX(Data,2,2+MOD(ROWS(C$2:C82)-1,3))</f>
        <v>16.00</v>
      </c>
      <c r="D82" s="14" t="str">
        <f t="shared" ca="1" si="4"/>
        <v>—</v>
      </c>
      <c r="E82" s="25">
        <f t="shared" ca="1" si="5"/>
        <v>7</v>
      </c>
    </row>
    <row r="83" spans="1:5" x14ac:dyDescent="0.25">
      <c r="A83" s="8">
        <f t="shared" si="3"/>
        <v>73</v>
      </c>
      <c r="B83" t="str">
        <f ca="1">TEXT(DATE(YEAR(Invoer!$A$5),1,1)+INT((ROWS(B$2:B83)-1)/3),"jjjjmmdd")</f>
        <v>19460128</v>
      </c>
      <c r="C83" s="20" t="str">
        <f>INDEX(Data,2,2+MOD(ROWS(C$2:C83)-1,3))</f>
        <v>08.00</v>
      </c>
      <c r="D83" s="14" t="str">
        <f t="shared" ca="1" si="4"/>
        <v>—</v>
      </c>
      <c r="E83" s="25">
        <f t="shared" ca="1" si="5"/>
        <v>7</v>
      </c>
    </row>
    <row r="84" spans="1:5" x14ac:dyDescent="0.25">
      <c r="A84" s="8">
        <f t="shared" si="3"/>
        <v>73</v>
      </c>
      <c r="B84" t="str">
        <f ca="1">TEXT(DATE(YEAR(Invoer!$A$5),1,1)+INT((ROWS(B$2:B84)-1)/3),"jjjjmmdd")</f>
        <v>19460128</v>
      </c>
      <c r="C84" s="20" t="str">
        <f>INDEX(Data,2,2+MOD(ROWS(C$2:C84)-1,3))</f>
        <v>12.00</v>
      </c>
      <c r="D84" s="14" t="str">
        <f t="shared" ca="1" si="4"/>
        <v>—</v>
      </c>
      <c r="E84" s="25">
        <f t="shared" ca="1" si="5"/>
        <v>7</v>
      </c>
    </row>
    <row r="85" spans="1:5" x14ac:dyDescent="0.25">
      <c r="A85" s="8">
        <f t="shared" si="3"/>
        <v>73</v>
      </c>
      <c r="B85" t="str">
        <f ca="1">TEXT(DATE(YEAR(Invoer!$A$5),1,1)+INT((ROWS(B$2:B85)-1)/3),"jjjjmmdd")</f>
        <v>19460128</v>
      </c>
      <c r="C85" s="20" t="str">
        <f>INDEX(Data,2,2+MOD(ROWS(C$2:C85)-1,3))</f>
        <v>16.00</v>
      </c>
      <c r="D85" s="14" t="str">
        <f t="shared" ca="1" si="4"/>
        <v>—</v>
      </c>
      <c r="E85" s="25">
        <f t="shared" ca="1" si="5"/>
        <v>7</v>
      </c>
    </row>
    <row r="86" spans="1:5" x14ac:dyDescent="0.25">
      <c r="A86" s="8">
        <f t="shared" si="3"/>
        <v>73</v>
      </c>
      <c r="B86" t="str">
        <f ca="1">TEXT(DATE(YEAR(Invoer!$A$5),1,1)+INT((ROWS(B$2:B86)-1)/3),"jjjjmmdd")</f>
        <v>19460129</v>
      </c>
      <c r="C86" s="20" t="str">
        <f>INDEX(Data,2,2+MOD(ROWS(C$2:C86)-1,3))</f>
        <v>08.00</v>
      </c>
      <c r="D86" s="14" t="str">
        <f t="shared" ca="1" si="4"/>
        <v>—</v>
      </c>
      <c r="E86" s="25">
        <f t="shared" ca="1" si="5"/>
        <v>7</v>
      </c>
    </row>
    <row r="87" spans="1:5" x14ac:dyDescent="0.25">
      <c r="A87" s="8">
        <f t="shared" si="3"/>
        <v>73</v>
      </c>
      <c r="B87" t="str">
        <f ca="1">TEXT(DATE(YEAR(Invoer!$A$5),1,1)+INT((ROWS(B$2:B87)-1)/3),"jjjjmmdd")</f>
        <v>19460129</v>
      </c>
      <c r="C87" s="20" t="str">
        <f>INDEX(Data,2,2+MOD(ROWS(C$2:C87)-1,3))</f>
        <v>12.00</v>
      </c>
      <c r="D87" s="14" t="str">
        <f t="shared" ca="1" si="4"/>
        <v>—</v>
      </c>
      <c r="E87" s="25">
        <f t="shared" ca="1" si="5"/>
        <v>7</v>
      </c>
    </row>
    <row r="88" spans="1:5" x14ac:dyDescent="0.25">
      <c r="A88" s="8">
        <f t="shared" si="3"/>
        <v>73</v>
      </c>
      <c r="B88" t="str">
        <f ca="1">TEXT(DATE(YEAR(Invoer!$A$5),1,1)+INT((ROWS(B$2:B88)-1)/3),"jjjjmmdd")</f>
        <v>19460129</v>
      </c>
      <c r="C88" s="20" t="str">
        <f>INDEX(Data,2,2+MOD(ROWS(C$2:C88)-1,3))</f>
        <v>16.00</v>
      </c>
      <c r="D88" s="14" t="str">
        <f t="shared" ca="1" si="4"/>
        <v>—</v>
      </c>
      <c r="E88" s="25">
        <f t="shared" ca="1" si="5"/>
        <v>7</v>
      </c>
    </row>
    <row r="89" spans="1:5" x14ac:dyDescent="0.25">
      <c r="A89" s="8">
        <f t="shared" si="3"/>
        <v>73</v>
      </c>
      <c r="B89" t="str">
        <f ca="1">TEXT(DATE(YEAR(Invoer!$A$5),1,1)+INT((ROWS(B$2:B89)-1)/3),"jjjjmmdd")</f>
        <v>19460130</v>
      </c>
      <c r="C89" s="20" t="str">
        <f>INDEX(Data,2,2+MOD(ROWS(C$2:C89)-1,3))</f>
        <v>08.00</v>
      </c>
      <c r="D89" s="14" t="str">
        <f t="shared" ca="1" si="4"/>
        <v>—</v>
      </c>
      <c r="E89" s="25">
        <f t="shared" ca="1" si="5"/>
        <v>7</v>
      </c>
    </row>
    <row r="90" spans="1:5" x14ac:dyDescent="0.25">
      <c r="A90" s="8">
        <f t="shared" si="3"/>
        <v>73</v>
      </c>
      <c r="B90" t="str">
        <f ca="1">TEXT(DATE(YEAR(Invoer!$A$5),1,1)+INT((ROWS(B$2:B90)-1)/3),"jjjjmmdd")</f>
        <v>19460130</v>
      </c>
      <c r="C90" s="20" t="str">
        <f>INDEX(Data,2,2+MOD(ROWS(C$2:C90)-1,3))</f>
        <v>12.00</v>
      </c>
      <c r="D90" s="14" t="str">
        <f t="shared" ca="1" si="4"/>
        <v>—</v>
      </c>
      <c r="E90" s="25">
        <f t="shared" ca="1" si="5"/>
        <v>7</v>
      </c>
    </row>
    <row r="91" spans="1:5" x14ac:dyDescent="0.25">
      <c r="A91" s="8">
        <f t="shared" si="3"/>
        <v>73</v>
      </c>
      <c r="B91" t="str">
        <f ca="1">TEXT(DATE(YEAR(Invoer!$A$5),1,1)+INT((ROWS(B$2:B91)-1)/3),"jjjjmmdd")</f>
        <v>19460130</v>
      </c>
      <c r="C91" s="20" t="str">
        <f>INDEX(Data,2,2+MOD(ROWS(C$2:C91)-1,3))</f>
        <v>16.00</v>
      </c>
      <c r="D91" s="14" t="str">
        <f t="shared" ca="1" si="4"/>
        <v>—</v>
      </c>
      <c r="E91" s="25">
        <f t="shared" ca="1" si="5"/>
        <v>7</v>
      </c>
    </row>
    <row r="92" spans="1:5" x14ac:dyDescent="0.25">
      <c r="A92" s="8">
        <f t="shared" si="3"/>
        <v>73</v>
      </c>
      <c r="B92" t="str">
        <f ca="1">TEXT(DATE(YEAR(Invoer!$A$5),1,1)+INT((ROWS(B$2:B92)-1)/3),"jjjjmmdd")</f>
        <v>19460131</v>
      </c>
      <c r="C92" s="20" t="str">
        <f>INDEX(Data,2,2+MOD(ROWS(C$2:C92)-1,3))</f>
        <v>08.00</v>
      </c>
      <c r="D92" s="14" t="str">
        <f t="shared" ca="1" si="4"/>
        <v>—</v>
      </c>
      <c r="E92" s="25">
        <f t="shared" ca="1" si="5"/>
        <v>7</v>
      </c>
    </row>
    <row r="93" spans="1:5" x14ac:dyDescent="0.25">
      <c r="A93" s="8">
        <f t="shared" si="3"/>
        <v>73</v>
      </c>
      <c r="B93" t="str">
        <f ca="1">TEXT(DATE(YEAR(Invoer!$A$5),1,1)+INT((ROWS(B$2:B93)-1)/3),"jjjjmmdd")</f>
        <v>19460131</v>
      </c>
      <c r="C93" s="20" t="str">
        <f>INDEX(Data,2,2+MOD(ROWS(C$2:C93)-1,3))</f>
        <v>12.00</v>
      </c>
      <c r="D93" s="14" t="str">
        <f t="shared" ca="1" si="4"/>
        <v>—</v>
      </c>
      <c r="E93" s="25">
        <f t="shared" ca="1" si="5"/>
        <v>7</v>
      </c>
    </row>
    <row r="94" spans="1:5" x14ac:dyDescent="0.25">
      <c r="A94" s="8">
        <f t="shared" si="3"/>
        <v>73</v>
      </c>
      <c r="B94" t="str">
        <f ca="1">TEXT(DATE(YEAR(Invoer!$A$5),1,1)+INT((ROWS(B$2:B94)-1)/3),"jjjjmmdd")</f>
        <v>19460131</v>
      </c>
      <c r="C94" s="20" t="str">
        <f>INDEX(Data,2,2+MOD(ROWS(C$2:C94)-1,3))</f>
        <v>16.00</v>
      </c>
      <c r="D94" s="14" t="str">
        <f t="shared" ca="1" si="4"/>
        <v>—</v>
      </c>
      <c r="E94" s="25">
        <f t="shared" ca="1" si="5"/>
        <v>7</v>
      </c>
    </row>
    <row r="95" spans="1:5" x14ac:dyDescent="0.25">
      <c r="A95" s="8">
        <f t="shared" si="3"/>
        <v>73</v>
      </c>
      <c r="B95" t="str">
        <f ca="1">TEXT(DATE(YEAR(Invoer!$A$5),1,1)+INT((ROWS(B$2:B95)-1)/3),"jjjjmmdd")</f>
        <v>19460201</v>
      </c>
      <c r="C95" s="20" t="str">
        <f>INDEX(Data,2,2+MOD(ROWS(C$2:C95)-1,3))</f>
        <v>08.00</v>
      </c>
      <c r="D95" s="14" t="str">
        <f t="shared" ca="1" si="4"/>
        <v>—</v>
      </c>
      <c r="E95" s="25">
        <f t="shared" ca="1" si="5"/>
        <v>7</v>
      </c>
    </row>
    <row r="96" spans="1:5" x14ac:dyDescent="0.25">
      <c r="A96" s="8">
        <f t="shared" si="3"/>
        <v>73</v>
      </c>
      <c r="B96" t="str">
        <f ca="1">TEXT(DATE(YEAR(Invoer!$A$5),1,1)+INT((ROWS(B$2:B96)-1)/3),"jjjjmmdd")</f>
        <v>19460201</v>
      </c>
      <c r="C96" s="20" t="str">
        <f>INDEX(Data,2,2+MOD(ROWS(C$2:C96)-1,3))</f>
        <v>12.00</v>
      </c>
      <c r="D96" s="14" t="str">
        <f t="shared" ca="1" si="4"/>
        <v>—</v>
      </c>
      <c r="E96" s="25">
        <f t="shared" ca="1" si="5"/>
        <v>7</v>
      </c>
    </row>
    <row r="97" spans="1:5" x14ac:dyDescent="0.25">
      <c r="A97" s="8">
        <f t="shared" si="3"/>
        <v>73</v>
      </c>
      <c r="B97" t="str">
        <f ca="1">TEXT(DATE(YEAR(Invoer!$A$5),1,1)+INT((ROWS(B$2:B97)-1)/3),"jjjjmmdd")</f>
        <v>19460201</v>
      </c>
      <c r="C97" s="20" t="str">
        <f>INDEX(Data,2,2+MOD(ROWS(C$2:C97)-1,3))</f>
        <v>16.00</v>
      </c>
      <c r="D97" s="14" t="str">
        <f t="shared" ca="1" si="4"/>
        <v>—</v>
      </c>
      <c r="E97" s="25">
        <f t="shared" ca="1" si="5"/>
        <v>7</v>
      </c>
    </row>
    <row r="98" spans="1:5" x14ac:dyDescent="0.25">
      <c r="A98" s="8">
        <f t="shared" si="3"/>
        <v>73</v>
      </c>
      <c r="B98" t="str">
        <f ca="1">TEXT(DATE(YEAR(Invoer!$A$5),1,1)+INT((ROWS(B$2:B98)-1)/3),"jjjjmmdd")</f>
        <v>19460202</v>
      </c>
      <c r="C98" s="20" t="str">
        <f>INDEX(Data,2,2+MOD(ROWS(C$2:C98)-1,3))</f>
        <v>08.00</v>
      </c>
      <c r="D98" s="14" t="str">
        <f t="shared" ca="1" si="4"/>
        <v>—</v>
      </c>
      <c r="E98" s="25">
        <f t="shared" ca="1" si="5"/>
        <v>7</v>
      </c>
    </row>
    <row r="99" spans="1:5" x14ac:dyDescent="0.25">
      <c r="A99" s="8">
        <f t="shared" si="3"/>
        <v>73</v>
      </c>
      <c r="B99" t="str">
        <f ca="1">TEXT(DATE(YEAR(Invoer!$A$5),1,1)+INT((ROWS(B$2:B99)-1)/3),"jjjjmmdd")</f>
        <v>19460202</v>
      </c>
      <c r="C99" s="20" t="str">
        <f>INDEX(Data,2,2+MOD(ROWS(C$2:C99)-1,3))</f>
        <v>12.00</v>
      </c>
      <c r="D99" s="14" t="str">
        <f t="shared" ca="1" si="4"/>
        <v>—</v>
      </c>
      <c r="E99" s="25">
        <f t="shared" ca="1" si="5"/>
        <v>7</v>
      </c>
    </row>
    <row r="100" spans="1:5" x14ac:dyDescent="0.25">
      <c r="A100" s="8">
        <f t="shared" si="3"/>
        <v>73</v>
      </c>
      <c r="B100" t="str">
        <f ca="1">TEXT(DATE(YEAR(Invoer!$A$5),1,1)+INT((ROWS(B$2:B100)-1)/3),"jjjjmmdd")</f>
        <v>19460202</v>
      </c>
      <c r="C100" s="20" t="str">
        <f>INDEX(Data,2,2+MOD(ROWS(C$2:C100)-1,3))</f>
        <v>16.00</v>
      </c>
      <c r="D100" s="14" t="str">
        <f t="shared" ca="1" si="4"/>
        <v>—</v>
      </c>
      <c r="E100" s="25">
        <f t="shared" ca="1" si="5"/>
        <v>7</v>
      </c>
    </row>
    <row r="101" spans="1:5" x14ac:dyDescent="0.25">
      <c r="A101" s="8">
        <f t="shared" si="3"/>
        <v>73</v>
      </c>
      <c r="B101" t="str">
        <f ca="1">TEXT(DATE(YEAR(Invoer!$A$5),1,1)+INT((ROWS(B$2:B101)-1)/3),"jjjjmmdd")</f>
        <v>19460203</v>
      </c>
      <c r="C101" s="20" t="str">
        <f>INDEX(Data,2,2+MOD(ROWS(C$2:C101)-1,3))</f>
        <v>08.00</v>
      </c>
      <c r="D101" s="14" t="str">
        <f t="shared" ca="1" si="4"/>
        <v>—</v>
      </c>
      <c r="E101" s="25">
        <f t="shared" ca="1" si="5"/>
        <v>7</v>
      </c>
    </row>
    <row r="102" spans="1:5" x14ac:dyDescent="0.25">
      <c r="A102" s="8">
        <f t="shared" si="3"/>
        <v>73</v>
      </c>
      <c r="B102" t="str">
        <f ca="1">TEXT(DATE(YEAR(Invoer!$A$5),1,1)+INT((ROWS(B$2:B102)-1)/3),"jjjjmmdd")</f>
        <v>19460203</v>
      </c>
      <c r="C102" s="20" t="str">
        <f>INDEX(Data,2,2+MOD(ROWS(C$2:C102)-1,3))</f>
        <v>12.00</v>
      </c>
      <c r="D102" s="14" t="str">
        <f t="shared" ca="1" si="4"/>
        <v>—</v>
      </c>
      <c r="E102" s="25">
        <f t="shared" ca="1" si="5"/>
        <v>7</v>
      </c>
    </row>
    <row r="103" spans="1:5" x14ac:dyDescent="0.25">
      <c r="A103" s="8">
        <f t="shared" si="3"/>
        <v>73</v>
      </c>
      <c r="B103" t="str">
        <f ca="1">TEXT(DATE(YEAR(Invoer!$A$5),1,1)+INT((ROWS(B$2:B103)-1)/3),"jjjjmmdd")</f>
        <v>19460203</v>
      </c>
      <c r="C103" s="20" t="str">
        <f>INDEX(Data,2,2+MOD(ROWS(C$2:C103)-1,3))</f>
        <v>16.00</v>
      </c>
      <c r="D103" s="14" t="str">
        <f t="shared" ca="1" si="4"/>
        <v>—</v>
      </c>
      <c r="E103" s="25">
        <f t="shared" ca="1" si="5"/>
        <v>7</v>
      </c>
    </row>
    <row r="104" spans="1:5" x14ac:dyDescent="0.25">
      <c r="A104" s="8">
        <f t="shared" si="3"/>
        <v>73</v>
      </c>
      <c r="B104" t="str">
        <f ca="1">TEXT(DATE(YEAR(Invoer!$A$5),1,1)+INT((ROWS(B$2:B104)-1)/3),"jjjjmmdd")</f>
        <v>19460204</v>
      </c>
      <c r="C104" s="20" t="str">
        <f>INDEX(Data,2,2+MOD(ROWS(C$2:C104)-1,3))</f>
        <v>08.00</v>
      </c>
      <c r="D104" s="14" t="str">
        <f t="shared" ca="1" si="4"/>
        <v>—</v>
      </c>
      <c r="E104" s="25">
        <f t="shared" ca="1" si="5"/>
        <v>7</v>
      </c>
    </row>
    <row r="105" spans="1:5" x14ac:dyDescent="0.25">
      <c r="A105" s="8">
        <f t="shared" si="3"/>
        <v>73</v>
      </c>
      <c r="B105" t="str">
        <f ca="1">TEXT(DATE(YEAR(Invoer!$A$5),1,1)+INT((ROWS(B$2:B105)-1)/3),"jjjjmmdd")</f>
        <v>19460204</v>
      </c>
      <c r="C105" s="20" t="str">
        <f>INDEX(Data,2,2+MOD(ROWS(C$2:C105)-1,3))</f>
        <v>12.00</v>
      </c>
      <c r="D105" s="14" t="str">
        <f t="shared" ca="1" si="4"/>
        <v>—</v>
      </c>
      <c r="E105" s="25">
        <f t="shared" ca="1" si="5"/>
        <v>7</v>
      </c>
    </row>
    <row r="106" spans="1:5" x14ac:dyDescent="0.25">
      <c r="A106" s="8">
        <f t="shared" si="3"/>
        <v>73</v>
      </c>
      <c r="B106" t="str">
        <f ca="1">TEXT(DATE(YEAR(Invoer!$A$5),1,1)+INT((ROWS(B$2:B106)-1)/3),"jjjjmmdd")</f>
        <v>19460204</v>
      </c>
      <c r="C106" s="20" t="str">
        <f>INDEX(Data,2,2+MOD(ROWS(C$2:C106)-1,3))</f>
        <v>16.00</v>
      </c>
      <c r="D106" s="14" t="str">
        <f t="shared" ca="1" si="4"/>
        <v>—</v>
      </c>
      <c r="E106" s="25">
        <f t="shared" ca="1" si="5"/>
        <v>7</v>
      </c>
    </row>
    <row r="107" spans="1:5" x14ac:dyDescent="0.25">
      <c r="A107" s="8">
        <f t="shared" si="3"/>
        <v>73</v>
      </c>
      <c r="B107" t="str">
        <f ca="1">TEXT(DATE(YEAR(Invoer!$A$5),1,1)+INT((ROWS(B$2:B107)-1)/3),"jjjjmmdd")</f>
        <v>19460205</v>
      </c>
      <c r="C107" s="20" t="str">
        <f>INDEX(Data,2,2+MOD(ROWS(C$2:C107)-1,3))</f>
        <v>08.00</v>
      </c>
      <c r="D107" s="14" t="str">
        <f t="shared" ca="1" si="4"/>
        <v>—</v>
      </c>
      <c r="E107" s="25">
        <f t="shared" ca="1" si="5"/>
        <v>7</v>
      </c>
    </row>
    <row r="108" spans="1:5" x14ac:dyDescent="0.25">
      <c r="A108" s="8">
        <f t="shared" si="3"/>
        <v>73</v>
      </c>
      <c r="B108" t="str">
        <f ca="1">TEXT(DATE(YEAR(Invoer!$A$5),1,1)+INT((ROWS(B$2:B108)-1)/3),"jjjjmmdd")</f>
        <v>19460205</v>
      </c>
      <c r="C108" s="20" t="str">
        <f>INDEX(Data,2,2+MOD(ROWS(C$2:C108)-1,3))</f>
        <v>12.00</v>
      </c>
      <c r="D108" s="14" t="str">
        <f t="shared" ca="1" si="4"/>
        <v>—</v>
      </c>
      <c r="E108" s="25">
        <f t="shared" ca="1" si="5"/>
        <v>7</v>
      </c>
    </row>
    <row r="109" spans="1:5" x14ac:dyDescent="0.25">
      <c r="A109" s="8">
        <f t="shared" si="3"/>
        <v>73</v>
      </c>
      <c r="B109" t="str">
        <f ca="1">TEXT(DATE(YEAR(Invoer!$A$5),1,1)+INT((ROWS(B$2:B109)-1)/3),"jjjjmmdd")</f>
        <v>19460205</v>
      </c>
      <c r="C109" s="20" t="str">
        <f>INDEX(Data,2,2+MOD(ROWS(C$2:C109)-1,3))</f>
        <v>16.00</v>
      </c>
      <c r="D109" s="14" t="str">
        <f t="shared" ca="1" si="4"/>
        <v>—</v>
      </c>
      <c r="E109" s="25">
        <f t="shared" ca="1" si="5"/>
        <v>7</v>
      </c>
    </row>
    <row r="110" spans="1:5" x14ac:dyDescent="0.25">
      <c r="A110" s="8">
        <f t="shared" si="3"/>
        <v>73</v>
      </c>
      <c r="B110" t="str">
        <f ca="1">TEXT(DATE(YEAR(Invoer!$A$5),1,1)+INT((ROWS(B$2:B110)-1)/3),"jjjjmmdd")</f>
        <v>19460206</v>
      </c>
      <c r="C110" s="20" t="str">
        <f>INDEX(Data,2,2+MOD(ROWS(C$2:C110)-1,3))</f>
        <v>08.00</v>
      </c>
      <c r="D110" s="14" t="str">
        <f t="shared" ca="1" si="4"/>
        <v>—</v>
      </c>
      <c r="E110" s="25">
        <f t="shared" ca="1" si="5"/>
        <v>7</v>
      </c>
    </row>
    <row r="111" spans="1:5" x14ac:dyDescent="0.25">
      <c r="A111" s="8">
        <f t="shared" si="3"/>
        <v>73</v>
      </c>
      <c r="B111" t="str">
        <f ca="1">TEXT(DATE(YEAR(Invoer!$A$5),1,1)+INT((ROWS(B$2:B111)-1)/3),"jjjjmmdd")</f>
        <v>19460206</v>
      </c>
      <c r="C111" s="20" t="str">
        <f>INDEX(Data,2,2+MOD(ROWS(C$2:C111)-1,3))</f>
        <v>12.00</v>
      </c>
      <c r="D111" s="14" t="str">
        <f t="shared" ca="1" si="4"/>
        <v>—</v>
      </c>
      <c r="E111" s="25">
        <f t="shared" ca="1" si="5"/>
        <v>7</v>
      </c>
    </row>
    <row r="112" spans="1:5" x14ac:dyDescent="0.25">
      <c r="A112" s="8">
        <f t="shared" si="3"/>
        <v>73</v>
      </c>
      <c r="B112" t="str">
        <f ca="1">TEXT(DATE(YEAR(Invoer!$A$5),1,1)+INT((ROWS(B$2:B112)-1)/3),"jjjjmmdd")</f>
        <v>19460206</v>
      </c>
      <c r="C112" s="20" t="str">
        <f>INDEX(Data,2,2+MOD(ROWS(C$2:C112)-1,3))</f>
        <v>16.00</v>
      </c>
      <c r="D112" s="14" t="str">
        <f t="shared" ca="1" si="4"/>
        <v>—</v>
      </c>
      <c r="E112" s="25">
        <f t="shared" ca="1" si="5"/>
        <v>7</v>
      </c>
    </row>
    <row r="113" spans="1:5" x14ac:dyDescent="0.25">
      <c r="A113" s="8">
        <f t="shared" si="3"/>
        <v>73</v>
      </c>
      <c r="B113" t="str">
        <f ca="1">TEXT(DATE(YEAR(Invoer!$A$5),1,1)+INT((ROWS(B$2:B113)-1)/3),"jjjjmmdd")</f>
        <v>19460207</v>
      </c>
      <c r="C113" s="20" t="str">
        <f>INDEX(Data,2,2+MOD(ROWS(C$2:C113)-1,3))</f>
        <v>08.00</v>
      </c>
      <c r="D113" s="14" t="str">
        <f t="shared" ca="1" si="4"/>
        <v>—</v>
      </c>
      <c r="E113" s="25">
        <f t="shared" ca="1" si="5"/>
        <v>7</v>
      </c>
    </row>
    <row r="114" spans="1:5" x14ac:dyDescent="0.25">
      <c r="A114" s="8">
        <f t="shared" si="3"/>
        <v>73</v>
      </c>
      <c r="B114" t="str">
        <f ca="1">TEXT(DATE(YEAR(Invoer!$A$5),1,1)+INT((ROWS(B$2:B114)-1)/3),"jjjjmmdd")</f>
        <v>19460207</v>
      </c>
      <c r="C114" s="20" t="str">
        <f>INDEX(Data,2,2+MOD(ROWS(C$2:C114)-1,3))</f>
        <v>12.00</v>
      </c>
      <c r="D114" s="14" t="str">
        <f t="shared" ca="1" si="4"/>
        <v>—</v>
      </c>
      <c r="E114" s="25">
        <f t="shared" ca="1" si="5"/>
        <v>7</v>
      </c>
    </row>
    <row r="115" spans="1:5" x14ac:dyDescent="0.25">
      <c r="A115" s="8">
        <f t="shared" si="3"/>
        <v>73</v>
      </c>
      <c r="B115" t="str">
        <f ca="1">TEXT(DATE(YEAR(Invoer!$A$5),1,1)+INT((ROWS(B$2:B115)-1)/3),"jjjjmmdd")</f>
        <v>19460207</v>
      </c>
      <c r="C115" s="20" t="str">
        <f>INDEX(Data,2,2+MOD(ROWS(C$2:C115)-1,3))</f>
        <v>16.00</v>
      </c>
      <c r="D115" s="14" t="str">
        <f t="shared" ca="1" si="4"/>
        <v>—</v>
      </c>
      <c r="E115" s="25">
        <f t="shared" ca="1" si="5"/>
        <v>7</v>
      </c>
    </row>
    <row r="116" spans="1:5" x14ac:dyDescent="0.25">
      <c r="A116" s="8">
        <f t="shared" si="3"/>
        <v>73</v>
      </c>
      <c r="B116" t="str">
        <f ca="1">TEXT(DATE(YEAR(Invoer!$A$5),1,1)+INT((ROWS(B$2:B116)-1)/3),"jjjjmmdd")</f>
        <v>19460208</v>
      </c>
      <c r="C116" s="20" t="str">
        <f>INDEX(Data,2,2+MOD(ROWS(C$2:C116)-1,3))</f>
        <v>08.00</v>
      </c>
      <c r="D116" s="14" t="str">
        <f t="shared" ca="1" si="4"/>
        <v>—</v>
      </c>
      <c r="E116" s="25">
        <f t="shared" ca="1" si="5"/>
        <v>7</v>
      </c>
    </row>
    <row r="117" spans="1:5" x14ac:dyDescent="0.25">
      <c r="A117" s="8">
        <f t="shared" si="3"/>
        <v>73</v>
      </c>
      <c r="B117" t="str">
        <f ca="1">TEXT(DATE(YEAR(Invoer!$A$5),1,1)+INT((ROWS(B$2:B117)-1)/3),"jjjjmmdd")</f>
        <v>19460208</v>
      </c>
      <c r="C117" s="20" t="str">
        <f>INDEX(Data,2,2+MOD(ROWS(C$2:C117)-1,3))</f>
        <v>12.00</v>
      </c>
      <c r="D117" s="14" t="str">
        <f t="shared" ca="1" si="4"/>
        <v>—</v>
      </c>
      <c r="E117" s="25">
        <f t="shared" ca="1" si="5"/>
        <v>7</v>
      </c>
    </row>
    <row r="118" spans="1:5" x14ac:dyDescent="0.25">
      <c r="A118" s="8">
        <f t="shared" si="3"/>
        <v>73</v>
      </c>
      <c r="B118" t="str">
        <f ca="1">TEXT(DATE(YEAR(Invoer!$A$5),1,1)+INT((ROWS(B$2:B118)-1)/3),"jjjjmmdd")</f>
        <v>19460208</v>
      </c>
      <c r="C118" s="20" t="str">
        <f>INDEX(Data,2,2+MOD(ROWS(C$2:C118)-1,3))</f>
        <v>16.00</v>
      </c>
      <c r="D118" s="14" t="str">
        <f t="shared" ca="1" si="4"/>
        <v>—</v>
      </c>
      <c r="E118" s="25">
        <f t="shared" ca="1" si="5"/>
        <v>7</v>
      </c>
    </row>
    <row r="119" spans="1:5" x14ac:dyDescent="0.25">
      <c r="A119" s="8">
        <f t="shared" si="3"/>
        <v>73</v>
      </c>
      <c r="B119" t="str">
        <f ca="1">TEXT(DATE(YEAR(Invoer!$A$5),1,1)+INT((ROWS(B$2:B119)-1)/3),"jjjjmmdd")</f>
        <v>19460209</v>
      </c>
      <c r="C119" s="20" t="str">
        <f>INDEX(Data,2,2+MOD(ROWS(C$2:C119)-1,3))</f>
        <v>08.00</v>
      </c>
      <c r="D119" s="14" t="str">
        <f t="shared" ca="1" si="4"/>
        <v>—</v>
      </c>
      <c r="E119" s="25">
        <f t="shared" ca="1" si="5"/>
        <v>7</v>
      </c>
    </row>
    <row r="120" spans="1:5" x14ac:dyDescent="0.25">
      <c r="A120" s="8">
        <f t="shared" si="3"/>
        <v>73</v>
      </c>
      <c r="B120" t="str">
        <f ca="1">TEXT(DATE(YEAR(Invoer!$A$5),1,1)+INT((ROWS(B$2:B120)-1)/3),"jjjjmmdd")</f>
        <v>19460209</v>
      </c>
      <c r="C120" s="20" t="str">
        <f>INDEX(Data,2,2+MOD(ROWS(C$2:C120)-1,3))</f>
        <v>12.00</v>
      </c>
      <c r="D120" s="14" t="str">
        <f t="shared" ca="1" si="4"/>
        <v>—</v>
      </c>
      <c r="E120" s="25">
        <f t="shared" ca="1" si="5"/>
        <v>7</v>
      </c>
    </row>
    <row r="121" spans="1:5" x14ac:dyDescent="0.25">
      <c r="A121" s="8">
        <f t="shared" si="3"/>
        <v>73</v>
      </c>
      <c r="B121" t="str">
        <f ca="1">TEXT(DATE(YEAR(Invoer!$A$5),1,1)+INT((ROWS(B$2:B121)-1)/3),"jjjjmmdd")</f>
        <v>19460209</v>
      </c>
      <c r="C121" s="20" t="str">
        <f>INDEX(Data,2,2+MOD(ROWS(C$2:C121)-1,3))</f>
        <v>16.00</v>
      </c>
      <c r="D121" s="14" t="str">
        <f t="shared" ca="1" si="4"/>
        <v>—</v>
      </c>
      <c r="E121" s="25">
        <f t="shared" ca="1" si="5"/>
        <v>7</v>
      </c>
    </row>
    <row r="122" spans="1:5" x14ac:dyDescent="0.25">
      <c r="A122" s="8">
        <f t="shared" si="3"/>
        <v>73</v>
      </c>
      <c r="B122" t="str">
        <f ca="1">TEXT(DATE(YEAR(Invoer!$A$5),1,1)+INT((ROWS(B$2:B122)-1)/3),"jjjjmmdd")</f>
        <v>19460210</v>
      </c>
      <c r="C122" s="20" t="str">
        <f>INDEX(Data,2,2+MOD(ROWS(C$2:C122)-1,3))</f>
        <v>08.00</v>
      </c>
      <c r="D122" s="14" t="str">
        <f t="shared" ca="1" si="4"/>
        <v>—</v>
      </c>
      <c r="E122" s="25">
        <f t="shared" ca="1" si="5"/>
        <v>7</v>
      </c>
    </row>
    <row r="123" spans="1:5" x14ac:dyDescent="0.25">
      <c r="A123" s="8">
        <f t="shared" si="3"/>
        <v>73</v>
      </c>
      <c r="B123" t="str">
        <f ca="1">TEXT(DATE(YEAR(Invoer!$A$5),1,1)+INT((ROWS(B$2:B123)-1)/3),"jjjjmmdd")</f>
        <v>19460210</v>
      </c>
      <c r="C123" s="20" t="str">
        <f>INDEX(Data,2,2+MOD(ROWS(C$2:C123)-1,3))</f>
        <v>12.00</v>
      </c>
      <c r="D123" s="14" t="str">
        <f t="shared" ca="1" si="4"/>
        <v>—</v>
      </c>
      <c r="E123" s="25">
        <f t="shared" ca="1" si="5"/>
        <v>7</v>
      </c>
    </row>
    <row r="124" spans="1:5" x14ac:dyDescent="0.25">
      <c r="A124" s="8">
        <f t="shared" si="3"/>
        <v>73</v>
      </c>
      <c r="B124" t="str">
        <f ca="1">TEXT(DATE(YEAR(Invoer!$A$5),1,1)+INT((ROWS(B$2:B124)-1)/3),"jjjjmmdd")</f>
        <v>19460210</v>
      </c>
      <c r="C124" s="20" t="str">
        <f>INDEX(Data,2,2+MOD(ROWS(C$2:C124)-1,3))</f>
        <v>16.00</v>
      </c>
      <c r="D124" s="14" t="str">
        <f t="shared" ca="1" si="4"/>
        <v>—</v>
      </c>
      <c r="E124" s="25">
        <f t="shared" ca="1" si="5"/>
        <v>7</v>
      </c>
    </row>
    <row r="125" spans="1:5" x14ac:dyDescent="0.25">
      <c r="A125" s="8">
        <f t="shared" si="3"/>
        <v>73</v>
      </c>
      <c r="B125" t="str">
        <f ca="1">TEXT(DATE(YEAR(Invoer!$A$5),1,1)+INT((ROWS(B$2:B125)-1)/3),"jjjjmmdd")</f>
        <v>19460211</v>
      </c>
      <c r="C125" s="20" t="str">
        <f>INDEX(Data,2,2+MOD(ROWS(C$2:C125)-1,3))</f>
        <v>08.00</v>
      </c>
      <c r="D125" s="14" t="str">
        <f t="shared" ca="1" si="4"/>
        <v>—</v>
      </c>
      <c r="E125" s="25">
        <f t="shared" ca="1" si="5"/>
        <v>7</v>
      </c>
    </row>
    <row r="126" spans="1:5" x14ac:dyDescent="0.25">
      <c r="A126" s="8">
        <f t="shared" si="3"/>
        <v>73</v>
      </c>
      <c r="B126" t="str">
        <f ca="1">TEXT(DATE(YEAR(Invoer!$A$5),1,1)+INT((ROWS(B$2:B126)-1)/3),"jjjjmmdd")</f>
        <v>19460211</v>
      </c>
      <c r="C126" s="20" t="str">
        <f>INDEX(Data,2,2+MOD(ROWS(C$2:C126)-1,3))</f>
        <v>12.00</v>
      </c>
      <c r="D126" s="14" t="str">
        <f t="shared" ca="1" si="4"/>
        <v>—</v>
      </c>
      <c r="E126" s="25">
        <f t="shared" ca="1" si="5"/>
        <v>7</v>
      </c>
    </row>
    <row r="127" spans="1:5" x14ac:dyDescent="0.25">
      <c r="A127" s="8">
        <f t="shared" si="3"/>
        <v>73</v>
      </c>
      <c r="B127" t="str">
        <f ca="1">TEXT(DATE(YEAR(Invoer!$A$5),1,1)+INT((ROWS(B$2:B127)-1)/3),"jjjjmmdd")</f>
        <v>19460211</v>
      </c>
      <c r="C127" s="20" t="str">
        <f>INDEX(Data,2,2+MOD(ROWS(C$2:C127)-1,3))</f>
        <v>16.00</v>
      </c>
      <c r="D127" s="14" t="str">
        <f t="shared" ca="1" si="4"/>
        <v>—</v>
      </c>
      <c r="E127" s="25">
        <f t="shared" ca="1" si="5"/>
        <v>7</v>
      </c>
    </row>
    <row r="128" spans="1:5" x14ac:dyDescent="0.25">
      <c r="A128" s="8">
        <f t="shared" si="3"/>
        <v>73</v>
      </c>
      <c r="B128" t="str">
        <f ca="1">TEXT(DATE(YEAR(Invoer!$A$5),1,1)+INT((ROWS(B$2:B128)-1)/3),"jjjjmmdd")</f>
        <v>19460212</v>
      </c>
      <c r="C128" s="20" t="str">
        <f>INDEX(Data,2,2+MOD(ROWS(C$2:C128)-1,3))</f>
        <v>08.00</v>
      </c>
      <c r="D128" s="14" t="str">
        <f t="shared" ca="1" si="4"/>
        <v>—</v>
      </c>
      <c r="E128" s="25">
        <f t="shared" ca="1" si="5"/>
        <v>7</v>
      </c>
    </row>
    <row r="129" spans="1:5" x14ac:dyDescent="0.25">
      <c r="A129" s="8">
        <f t="shared" si="3"/>
        <v>73</v>
      </c>
      <c r="B129" t="str">
        <f ca="1">TEXT(DATE(YEAR(Invoer!$A$5),1,1)+INT((ROWS(B$2:B129)-1)/3),"jjjjmmdd")</f>
        <v>19460212</v>
      </c>
      <c r="C129" s="20" t="str">
        <f>INDEX(Data,2,2+MOD(ROWS(C$2:C129)-1,3))</f>
        <v>12.00</v>
      </c>
      <c r="D129" s="14" t="str">
        <f t="shared" ca="1" si="4"/>
        <v>—</v>
      </c>
      <c r="E129" s="25">
        <f t="shared" ca="1" si="5"/>
        <v>7</v>
      </c>
    </row>
    <row r="130" spans="1:5" x14ac:dyDescent="0.25">
      <c r="A130" s="8">
        <f t="shared" ref="A130:A193" si="6">INDEX(Stations,2,1)</f>
        <v>73</v>
      </c>
      <c r="B130" t="str">
        <f ca="1">TEXT(DATE(YEAR(Invoer!$A$5),1,1)+INT((ROWS(B$2:B130)-1)/3),"jjjjmmdd")</f>
        <v>19460212</v>
      </c>
      <c r="C130" s="20" t="str">
        <f>INDEX(Data,2,2+MOD(ROWS(C$2:C130)-1,3))</f>
        <v>16.00</v>
      </c>
      <c r="D130" s="14" t="str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25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</row>
    <row r="131" spans="1:5" x14ac:dyDescent="0.25">
      <c r="A131" s="8">
        <f t="shared" si="6"/>
        <v>73</v>
      </c>
      <c r="B131" t="str">
        <f ca="1">TEXT(DATE(YEAR(Invoer!$A$5),1,1)+INT((ROWS(B$2:B131)-1)/3),"jjjjmmdd")</f>
        <v>19460213</v>
      </c>
      <c r="C131" s="20" t="str">
        <f>INDEX(Data,2,2+MOD(ROWS(C$2:C131)-1,3))</f>
        <v>08.00</v>
      </c>
      <c r="D131" s="14" t="str">
        <f t="shared" ca="1" si="7"/>
        <v>—</v>
      </c>
      <c r="E131" s="25">
        <f t="shared" ca="1" si="8"/>
        <v>7</v>
      </c>
    </row>
    <row r="132" spans="1:5" x14ac:dyDescent="0.25">
      <c r="A132" s="8">
        <f t="shared" si="6"/>
        <v>73</v>
      </c>
      <c r="B132" t="str">
        <f ca="1">TEXT(DATE(YEAR(Invoer!$A$5),1,1)+INT((ROWS(B$2:B132)-1)/3),"jjjjmmdd")</f>
        <v>19460213</v>
      </c>
      <c r="C132" s="20" t="str">
        <f>INDEX(Data,2,2+MOD(ROWS(C$2:C132)-1,3))</f>
        <v>12.00</v>
      </c>
      <c r="D132" s="14" t="str">
        <f t="shared" ca="1" si="7"/>
        <v>—</v>
      </c>
      <c r="E132" s="25">
        <f t="shared" ca="1" si="8"/>
        <v>7</v>
      </c>
    </row>
    <row r="133" spans="1:5" x14ac:dyDescent="0.25">
      <c r="A133" s="8">
        <f t="shared" si="6"/>
        <v>73</v>
      </c>
      <c r="B133" t="str">
        <f ca="1">TEXT(DATE(YEAR(Invoer!$A$5),1,1)+INT((ROWS(B$2:B133)-1)/3),"jjjjmmdd")</f>
        <v>19460213</v>
      </c>
      <c r="C133" s="20" t="str">
        <f>INDEX(Data,2,2+MOD(ROWS(C$2:C133)-1,3))</f>
        <v>16.00</v>
      </c>
      <c r="D133" s="14" t="str">
        <f t="shared" ca="1" si="7"/>
        <v>—</v>
      </c>
      <c r="E133" s="25">
        <f t="shared" ca="1" si="8"/>
        <v>7</v>
      </c>
    </row>
    <row r="134" spans="1:5" x14ac:dyDescent="0.25">
      <c r="A134" s="8">
        <f t="shared" si="6"/>
        <v>73</v>
      </c>
      <c r="B134" t="str">
        <f ca="1">TEXT(DATE(YEAR(Invoer!$A$5),1,1)+INT((ROWS(B$2:B134)-1)/3),"jjjjmmdd")</f>
        <v>19460214</v>
      </c>
      <c r="C134" s="20" t="str">
        <f>INDEX(Data,2,2+MOD(ROWS(C$2:C134)-1,3))</f>
        <v>08.00</v>
      </c>
      <c r="D134" s="14" t="str">
        <f t="shared" ca="1" si="7"/>
        <v>—</v>
      </c>
      <c r="E134" s="25">
        <f t="shared" ca="1" si="8"/>
        <v>7</v>
      </c>
    </row>
    <row r="135" spans="1:5" x14ac:dyDescent="0.25">
      <c r="A135" s="8">
        <f t="shared" si="6"/>
        <v>73</v>
      </c>
      <c r="B135" t="str">
        <f ca="1">TEXT(DATE(YEAR(Invoer!$A$5),1,1)+INT((ROWS(B$2:B135)-1)/3),"jjjjmmdd")</f>
        <v>19460214</v>
      </c>
      <c r="C135" s="20" t="str">
        <f>INDEX(Data,2,2+MOD(ROWS(C$2:C135)-1,3))</f>
        <v>12.00</v>
      </c>
      <c r="D135" s="14" t="str">
        <f t="shared" ca="1" si="7"/>
        <v>—</v>
      </c>
      <c r="E135" s="25">
        <f t="shared" ca="1" si="8"/>
        <v>7</v>
      </c>
    </row>
    <row r="136" spans="1:5" x14ac:dyDescent="0.25">
      <c r="A136" s="8">
        <f t="shared" si="6"/>
        <v>73</v>
      </c>
      <c r="B136" t="str">
        <f ca="1">TEXT(DATE(YEAR(Invoer!$A$5),1,1)+INT((ROWS(B$2:B136)-1)/3),"jjjjmmdd")</f>
        <v>19460214</v>
      </c>
      <c r="C136" s="20" t="str">
        <f>INDEX(Data,2,2+MOD(ROWS(C$2:C136)-1,3))</f>
        <v>16.00</v>
      </c>
      <c r="D136" s="14" t="str">
        <f t="shared" ca="1" si="7"/>
        <v>—</v>
      </c>
      <c r="E136" s="25">
        <f t="shared" ca="1" si="8"/>
        <v>7</v>
      </c>
    </row>
    <row r="137" spans="1:5" x14ac:dyDescent="0.25">
      <c r="A137" s="8">
        <f t="shared" si="6"/>
        <v>73</v>
      </c>
      <c r="B137" t="str">
        <f ca="1">TEXT(DATE(YEAR(Invoer!$A$5),1,1)+INT((ROWS(B$2:B137)-1)/3),"jjjjmmdd")</f>
        <v>19460215</v>
      </c>
      <c r="C137" s="20" t="str">
        <f>INDEX(Data,2,2+MOD(ROWS(C$2:C137)-1,3))</f>
        <v>08.00</v>
      </c>
      <c r="D137" s="14" t="str">
        <f t="shared" ca="1" si="7"/>
        <v>—</v>
      </c>
      <c r="E137" s="25">
        <f t="shared" ca="1" si="8"/>
        <v>7</v>
      </c>
    </row>
    <row r="138" spans="1:5" x14ac:dyDescent="0.25">
      <c r="A138" s="8">
        <f t="shared" si="6"/>
        <v>73</v>
      </c>
      <c r="B138" t="str">
        <f ca="1">TEXT(DATE(YEAR(Invoer!$A$5),1,1)+INT((ROWS(B$2:B138)-1)/3),"jjjjmmdd")</f>
        <v>19460215</v>
      </c>
      <c r="C138" s="20" t="str">
        <f>INDEX(Data,2,2+MOD(ROWS(C$2:C138)-1,3))</f>
        <v>12.00</v>
      </c>
      <c r="D138" s="14" t="str">
        <f t="shared" ca="1" si="7"/>
        <v>—</v>
      </c>
      <c r="E138" s="25">
        <f t="shared" ca="1" si="8"/>
        <v>7</v>
      </c>
    </row>
    <row r="139" spans="1:5" x14ac:dyDescent="0.25">
      <c r="A139" s="8">
        <f t="shared" si="6"/>
        <v>73</v>
      </c>
      <c r="B139" t="str">
        <f ca="1">TEXT(DATE(YEAR(Invoer!$A$5),1,1)+INT((ROWS(B$2:B139)-1)/3),"jjjjmmdd")</f>
        <v>19460215</v>
      </c>
      <c r="C139" s="20" t="str">
        <f>INDEX(Data,2,2+MOD(ROWS(C$2:C139)-1,3))</f>
        <v>16.00</v>
      </c>
      <c r="D139" s="14" t="str">
        <f t="shared" ca="1" si="7"/>
        <v>—</v>
      </c>
      <c r="E139" s="25">
        <f t="shared" ca="1" si="8"/>
        <v>7</v>
      </c>
    </row>
    <row r="140" spans="1:5" x14ac:dyDescent="0.25">
      <c r="A140" s="8">
        <f t="shared" si="6"/>
        <v>73</v>
      </c>
      <c r="B140" t="str">
        <f ca="1">TEXT(DATE(YEAR(Invoer!$A$5),1,1)+INT((ROWS(B$2:B140)-1)/3),"jjjjmmdd")</f>
        <v>19460216</v>
      </c>
      <c r="C140" s="20" t="str">
        <f>INDEX(Data,2,2+MOD(ROWS(C$2:C140)-1,3))</f>
        <v>08.00</v>
      </c>
      <c r="D140" s="14" t="str">
        <f t="shared" ca="1" si="7"/>
        <v>—</v>
      </c>
      <c r="E140" s="25">
        <f t="shared" ca="1" si="8"/>
        <v>7</v>
      </c>
    </row>
    <row r="141" spans="1:5" x14ac:dyDescent="0.25">
      <c r="A141" s="8">
        <f t="shared" si="6"/>
        <v>73</v>
      </c>
      <c r="B141" t="str">
        <f ca="1">TEXT(DATE(YEAR(Invoer!$A$5),1,1)+INT((ROWS(B$2:B141)-1)/3),"jjjjmmdd")</f>
        <v>19460216</v>
      </c>
      <c r="C141" s="20" t="str">
        <f>INDEX(Data,2,2+MOD(ROWS(C$2:C141)-1,3))</f>
        <v>12.00</v>
      </c>
      <c r="D141" s="14" t="str">
        <f t="shared" ca="1" si="7"/>
        <v>—</v>
      </c>
      <c r="E141" s="25">
        <f t="shared" ca="1" si="8"/>
        <v>7</v>
      </c>
    </row>
    <row r="142" spans="1:5" x14ac:dyDescent="0.25">
      <c r="A142" s="8">
        <f t="shared" si="6"/>
        <v>73</v>
      </c>
      <c r="B142" t="str">
        <f ca="1">TEXT(DATE(YEAR(Invoer!$A$5),1,1)+INT((ROWS(B$2:B142)-1)/3),"jjjjmmdd")</f>
        <v>19460216</v>
      </c>
      <c r="C142" s="20" t="str">
        <f>INDEX(Data,2,2+MOD(ROWS(C$2:C142)-1,3))</f>
        <v>16.00</v>
      </c>
      <c r="D142" s="14" t="str">
        <f t="shared" ca="1" si="7"/>
        <v>—</v>
      </c>
      <c r="E142" s="25">
        <f t="shared" ca="1" si="8"/>
        <v>7</v>
      </c>
    </row>
    <row r="143" spans="1:5" x14ac:dyDescent="0.25">
      <c r="A143" s="8">
        <f t="shared" si="6"/>
        <v>73</v>
      </c>
      <c r="B143" t="str">
        <f ca="1">TEXT(DATE(YEAR(Invoer!$A$5),1,1)+INT((ROWS(B$2:B143)-1)/3),"jjjjmmdd")</f>
        <v>19460217</v>
      </c>
      <c r="C143" s="20" t="str">
        <f>INDEX(Data,2,2+MOD(ROWS(C$2:C143)-1,3))</f>
        <v>08.00</v>
      </c>
      <c r="D143" s="14" t="str">
        <f t="shared" ca="1" si="7"/>
        <v>—</v>
      </c>
      <c r="E143" s="25">
        <f t="shared" ca="1" si="8"/>
        <v>7</v>
      </c>
    </row>
    <row r="144" spans="1:5" x14ac:dyDescent="0.25">
      <c r="A144" s="8">
        <f t="shared" si="6"/>
        <v>73</v>
      </c>
      <c r="B144" t="str">
        <f ca="1">TEXT(DATE(YEAR(Invoer!$A$5),1,1)+INT((ROWS(B$2:B144)-1)/3),"jjjjmmdd")</f>
        <v>19460217</v>
      </c>
      <c r="C144" s="20" t="str">
        <f>INDEX(Data,2,2+MOD(ROWS(C$2:C144)-1,3))</f>
        <v>12.00</v>
      </c>
      <c r="D144" s="14" t="str">
        <f t="shared" ca="1" si="7"/>
        <v>—</v>
      </c>
      <c r="E144" s="25">
        <f t="shared" ca="1" si="8"/>
        <v>7</v>
      </c>
    </row>
    <row r="145" spans="1:5" x14ac:dyDescent="0.25">
      <c r="A145" s="8">
        <f t="shared" si="6"/>
        <v>73</v>
      </c>
      <c r="B145" t="str">
        <f ca="1">TEXT(DATE(YEAR(Invoer!$A$5),1,1)+INT((ROWS(B$2:B145)-1)/3),"jjjjmmdd")</f>
        <v>19460217</v>
      </c>
      <c r="C145" s="20" t="str">
        <f>INDEX(Data,2,2+MOD(ROWS(C$2:C145)-1,3))</f>
        <v>16.00</v>
      </c>
      <c r="D145" s="14" t="str">
        <f t="shared" ca="1" si="7"/>
        <v>—</v>
      </c>
      <c r="E145" s="25">
        <f t="shared" ca="1" si="8"/>
        <v>7</v>
      </c>
    </row>
    <row r="146" spans="1:5" x14ac:dyDescent="0.25">
      <c r="A146" s="8">
        <f t="shared" si="6"/>
        <v>73</v>
      </c>
      <c r="B146" t="str">
        <f ca="1">TEXT(DATE(YEAR(Invoer!$A$5),1,1)+INT((ROWS(B$2:B146)-1)/3),"jjjjmmdd")</f>
        <v>19460218</v>
      </c>
      <c r="C146" s="20" t="str">
        <f>INDEX(Data,2,2+MOD(ROWS(C$2:C146)-1,3))</f>
        <v>08.00</v>
      </c>
      <c r="D146" s="14" t="str">
        <f t="shared" ca="1" si="7"/>
        <v>—</v>
      </c>
      <c r="E146" s="25">
        <f t="shared" ca="1" si="8"/>
        <v>7</v>
      </c>
    </row>
    <row r="147" spans="1:5" x14ac:dyDescent="0.25">
      <c r="A147" s="8">
        <f t="shared" si="6"/>
        <v>73</v>
      </c>
      <c r="B147" t="str">
        <f ca="1">TEXT(DATE(YEAR(Invoer!$A$5),1,1)+INT((ROWS(B$2:B147)-1)/3),"jjjjmmdd")</f>
        <v>19460218</v>
      </c>
      <c r="C147" s="20" t="str">
        <f>INDEX(Data,2,2+MOD(ROWS(C$2:C147)-1,3))</f>
        <v>12.00</v>
      </c>
      <c r="D147" s="14" t="str">
        <f t="shared" ca="1" si="7"/>
        <v>—</v>
      </c>
      <c r="E147" s="25">
        <f t="shared" ca="1" si="8"/>
        <v>7</v>
      </c>
    </row>
    <row r="148" spans="1:5" x14ac:dyDescent="0.25">
      <c r="A148" s="8">
        <f t="shared" si="6"/>
        <v>73</v>
      </c>
      <c r="B148" t="str">
        <f ca="1">TEXT(DATE(YEAR(Invoer!$A$5),1,1)+INT((ROWS(B$2:B148)-1)/3),"jjjjmmdd")</f>
        <v>19460218</v>
      </c>
      <c r="C148" s="20" t="str">
        <f>INDEX(Data,2,2+MOD(ROWS(C$2:C148)-1,3))</f>
        <v>16.00</v>
      </c>
      <c r="D148" s="14" t="str">
        <f t="shared" ca="1" si="7"/>
        <v>—</v>
      </c>
      <c r="E148" s="25">
        <f t="shared" ca="1" si="8"/>
        <v>7</v>
      </c>
    </row>
    <row r="149" spans="1:5" x14ac:dyDescent="0.25">
      <c r="A149" s="8">
        <f t="shared" si="6"/>
        <v>73</v>
      </c>
      <c r="B149" t="str">
        <f ca="1">TEXT(DATE(YEAR(Invoer!$A$5),1,1)+INT((ROWS(B$2:B149)-1)/3),"jjjjmmdd")</f>
        <v>19460219</v>
      </c>
      <c r="C149" s="20" t="str">
        <f>INDEX(Data,2,2+MOD(ROWS(C$2:C149)-1,3))</f>
        <v>08.00</v>
      </c>
      <c r="D149" s="14" t="str">
        <f t="shared" ca="1" si="7"/>
        <v>—</v>
      </c>
      <c r="E149" s="25">
        <f t="shared" ca="1" si="8"/>
        <v>7</v>
      </c>
    </row>
    <row r="150" spans="1:5" x14ac:dyDescent="0.25">
      <c r="A150" s="8">
        <f t="shared" si="6"/>
        <v>73</v>
      </c>
      <c r="B150" t="str">
        <f ca="1">TEXT(DATE(YEAR(Invoer!$A$5),1,1)+INT((ROWS(B$2:B150)-1)/3),"jjjjmmdd")</f>
        <v>19460219</v>
      </c>
      <c r="C150" s="20" t="str">
        <f>INDEX(Data,2,2+MOD(ROWS(C$2:C150)-1,3))</f>
        <v>12.00</v>
      </c>
      <c r="D150" s="14" t="str">
        <f t="shared" ca="1" si="7"/>
        <v>—</v>
      </c>
      <c r="E150" s="25">
        <f t="shared" ca="1" si="8"/>
        <v>7</v>
      </c>
    </row>
    <row r="151" spans="1:5" x14ac:dyDescent="0.25">
      <c r="A151" s="8">
        <f t="shared" si="6"/>
        <v>73</v>
      </c>
      <c r="B151" t="str">
        <f ca="1">TEXT(DATE(YEAR(Invoer!$A$5),1,1)+INT((ROWS(B$2:B151)-1)/3),"jjjjmmdd")</f>
        <v>19460219</v>
      </c>
      <c r="C151" s="20" t="str">
        <f>INDEX(Data,2,2+MOD(ROWS(C$2:C151)-1,3))</f>
        <v>16.00</v>
      </c>
      <c r="D151" s="14" t="str">
        <f t="shared" ca="1" si="7"/>
        <v>—</v>
      </c>
      <c r="E151" s="25">
        <f t="shared" ca="1" si="8"/>
        <v>7</v>
      </c>
    </row>
    <row r="152" spans="1:5" x14ac:dyDescent="0.25">
      <c r="A152" s="8">
        <f t="shared" si="6"/>
        <v>73</v>
      </c>
      <c r="B152" t="str">
        <f ca="1">TEXT(DATE(YEAR(Invoer!$A$5),1,1)+INT((ROWS(B$2:B152)-1)/3),"jjjjmmdd")</f>
        <v>19460220</v>
      </c>
      <c r="C152" s="20" t="str">
        <f>INDEX(Data,2,2+MOD(ROWS(C$2:C152)-1,3))</f>
        <v>08.00</v>
      </c>
      <c r="D152" s="14" t="str">
        <f t="shared" ca="1" si="7"/>
        <v>—</v>
      </c>
      <c r="E152" s="25">
        <f t="shared" ca="1" si="8"/>
        <v>7</v>
      </c>
    </row>
    <row r="153" spans="1:5" x14ac:dyDescent="0.25">
      <c r="A153" s="8">
        <f t="shared" si="6"/>
        <v>73</v>
      </c>
      <c r="B153" t="str">
        <f ca="1">TEXT(DATE(YEAR(Invoer!$A$5),1,1)+INT((ROWS(B$2:B153)-1)/3),"jjjjmmdd")</f>
        <v>19460220</v>
      </c>
      <c r="C153" s="20" t="str">
        <f>INDEX(Data,2,2+MOD(ROWS(C$2:C153)-1,3))</f>
        <v>12.00</v>
      </c>
      <c r="D153" s="14" t="str">
        <f t="shared" ca="1" si="7"/>
        <v>—</v>
      </c>
      <c r="E153" s="25">
        <f t="shared" ca="1" si="8"/>
        <v>7</v>
      </c>
    </row>
    <row r="154" spans="1:5" x14ac:dyDescent="0.25">
      <c r="A154" s="8">
        <f t="shared" si="6"/>
        <v>73</v>
      </c>
      <c r="B154" t="str">
        <f ca="1">TEXT(DATE(YEAR(Invoer!$A$5),1,1)+INT((ROWS(B$2:B154)-1)/3),"jjjjmmdd")</f>
        <v>19460220</v>
      </c>
      <c r="C154" s="20" t="str">
        <f>INDEX(Data,2,2+MOD(ROWS(C$2:C154)-1,3))</f>
        <v>16.00</v>
      </c>
      <c r="D154" s="14" t="str">
        <f t="shared" ca="1" si="7"/>
        <v>—</v>
      </c>
      <c r="E154" s="25">
        <f t="shared" ca="1" si="8"/>
        <v>7</v>
      </c>
    </row>
    <row r="155" spans="1:5" x14ac:dyDescent="0.25">
      <c r="A155" s="8">
        <f t="shared" si="6"/>
        <v>73</v>
      </c>
      <c r="B155" t="str">
        <f ca="1">TEXT(DATE(YEAR(Invoer!$A$5),1,1)+INT((ROWS(B$2:B155)-1)/3),"jjjjmmdd")</f>
        <v>19460221</v>
      </c>
      <c r="C155" s="20" t="str">
        <f>INDEX(Data,2,2+MOD(ROWS(C$2:C155)-1,3))</f>
        <v>08.00</v>
      </c>
      <c r="D155" s="14" t="str">
        <f t="shared" ca="1" si="7"/>
        <v>—</v>
      </c>
      <c r="E155" s="25">
        <f t="shared" ca="1" si="8"/>
        <v>7</v>
      </c>
    </row>
    <row r="156" spans="1:5" x14ac:dyDescent="0.25">
      <c r="A156" s="8">
        <f t="shared" si="6"/>
        <v>73</v>
      </c>
      <c r="B156" t="str">
        <f ca="1">TEXT(DATE(YEAR(Invoer!$A$5),1,1)+INT((ROWS(B$2:B156)-1)/3),"jjjjmmdd")</f>
        <v>19460221</v>
      </c>
      <c r="C156" s="20" t="str">
        <f>INDEX(Data,2,2+MOD(ROWS(C$2:C156)-1,3))</f>
        <v>12.00</v>
      </c>
      <c r="D156" s="14" t="str">
        <f t="shared" ca="1" si="7"/>
        <v>—</v>
      </c>
      <c r="E156" s="25">
        <f t="shared" ca="1" si="8"/>
        <v>7</v>
      </c>
    </row>
    <row r="157" spans="1:5" x14ac:dyDescent="0.25">
      <c r="A157" s="8">
        <f t="shared" si="6"/>
        <v>73</v>
      </c>
      <c r="B157" t="str">
        <f ca="1">TEXT(DATE(YEAR(Invoer!$A$5),1,1)+INT((ROWS(B$2:B157)-1)/3),"jjjjmmdd")</f>
        <v>19460221</v>
      </c>
      <c r="C157" s="20" t="str">
        <f>INDEX(Data,2,2+MOD(ROWS(C$2:C157)-1,3))</f>
        <v>16.00</v>
      </c>
      <c r="D157" s="14" t="str">
        <f t="shared" ca="1" si="7"/>
        <v>—</v>
      </c>
      <c r="E157" s="25">
        <f t="shared" ca="1" si="8"/>
        <v>7</v>
      </c>
    </row>
    <row r="158" spans="1:5" x14ac:dyDescent="0.25">
      <c r="A158" s="8">
        <f t="shared" si="6"/>
        <v>73</v>
      </c>
      <c r="B158" t="str">
        <f ca="1">TEXT(DATE(YEAR(Invoer!$A$5),1,1)+INT((ROWS(B$2:B158)-1)/3),"jjjjmmdd")</f>
        <v>19460222</v>
      </c>
      <c r="C158" s="20" t="str">
        <f>INDEX(Data,2,2+MOD(ROWS(C$2:C158)-1,3))</f>
        <v>08.00</v>
      </c>
      <c r="D158" s="14" t="str">
        <f t="shared" ca="1" si="7"/>
        <v>—</v>
      </c>
      <c r="E158" s="25">
        <f t="shared" ca="1" si="8"/>
        <v>7</v>
      </c>
    </row>
    <row r="159" spans="1:5" x14ac:dyDescent="0.25">
      <c r="A159" s="8">
        <f t="shared" si="6"/>
        <v>73</v>
      </c>
      <c r="B159" t="str">
        <f ca="1">TEXT(DATE(YEAR(Invoer!$A$5),1,1)+INT((ROWS(B$2:B159)-1)/3),"jjjjmmdd")</f>
        <v>19460222</v>
      </c>
      <c r="C159" s="20" t="str">
        <f>INDEX(Data,2,2+MOD(ROWS(C$2:C159)-1,3))</f>
        <v>12.00</v>
      </c>
      <c r="D159" s="14" t="str">
        <f t="shared" ca="1" si="7"/>
        <v>—</v>
      </c>
      <c r="E159" s="25">
        <f t="shared" ca="1" si="8"/>
        <v>7</v>
      </c>
    </row>
    <row r="160" spans="1:5" x14ac:dyDescent="0.25">
      <c r="A160" s="8">
        <f t="shared" si="6"/>
        <v>73</v>
      </c>
      <c r="B160" t="str">
        <f ca="1">TEXT(DATE(YEAR(Invoer!$A$5),1,1)+INT((ROWS(B$2:B160)-1)/3),"jjjjmmdd")</f>
        <v>19460222</v>
      </c>
      <c r="C160" s="20" t="str">
        <f>INDEX(Data,2,2+MOD(ROWS(C$2:C160)-1,3))</f>
        <v>16.00</v>
      </c>
      <c r="D160" s="14" t="str">
        <f t="shared" ca="1" si="7"/>
        <v>—</v>
      </c>
      <c r="E160" s="25">
        <f t="shared" ca="1" si="8"/>
        <v>7</v>
      </c>
    </row>
    <row r="161" spans="1:5" x14ac:dyDescent="0.25">
      <c r="A161" s="8">
        <f t="shared" si="6"/>
        <v>73</v>
      </c>
      <c r="B161" t="str">
        <f ca="1">TEXT(DATE(YEAR(Invoer!$A$5),1,1)+INT((ROWS(B$2:B161)-1)/3),"jjjjmmdd")</f>
        <v>19460223</v>
      </c>
      <c r="C161" s="20" t="str">
        <f>INDEX(Data,2,2+MOD(ROWS(C$2:C161)-1,3))</f>
        <v>08.00</v>
      </c>
      <c r="D161" s="14" t="str">
        <f t="shared" ca="1" si="7"/>
        <v>—</v>
      </c>
      <c r="E161" s="25">
        <f t="shared" ca="1" si="8"/>
        <v>7</v>
      </c>
    </row>
    <row r="162" spans="1:5" x14ac:dyDescent="0.25">
      <c r="A162" s="8">
        <f t="shared" si="6"/>
        <v>73</v>
      </c>
      <c r="B162" t="str">
        <f ca="1">TEXT(DATE(YEAR(Invoer!$A$5),1,1)+INT((ROWS(B$2:B162)-1)/3),"jjjjmmdd")</f>
        <v>19460223</v>
      </c>
      <c r="C162" s="20" t="str">
        <f>INDEX(Data,2,2+MOD(ROWS(C$2:C162)-1,3))</f>
        <v>12.00</v>
      </c>
      <c r="D162" s="14" t="str">
        <f t="shared" ca="1" si="7"/>
        <v>—</v>
      </c>
      <c r="E162" s="25">
        <f t="shared" ca="1" si="8"/>
        <v>7</v>
      </c>
    </row>
    <row r="163" spans="1:5" x14ac:dyDescent="0.25">
      <c r="A163" s="8">
        <f t="shared" si="6"/>
        <v>73</v>
      </c>
      <c r="B163" t="str">
        <f ca="1">TEXT(DATE(YEAR(Invoer!$A$5),1,1)+INT((ROWS(B$2:B163)-1)/3),"jjjjmmdd")</f>
        <v>19460223</v>
      </c>
      <c r="C163" s="20" t="str">
        <f>INDEX(Data,2,2+MOD(ROWS(C$2:C163)-1,3))</f>
        <v>16.00</v>
      </c>
      <c r="D163" s="14" t="str">
        <f t="shared" ca="1" si="7"/>
        <v>—</v>
      </c>
      <c r="E163" s="25">
        <f t="shared" ca="1" si="8"/>
        <v>7</v>
      </c>
    </row>
    <row r="164" spans="1:5" x14ac:dyDescent="0.25">
      <c r="A164" s="8">
        <f t="shared" si="6"/>
        <v>73</v>
      </c>
      <c r="B164" t="str">
        <f ca="1">TEXT(DATE(YEAR(Invoer!$A$5),1,1)+INT((ROWS(B$2:B164)-1)/3),"jjjjmmdd")</f>
        <v>19460224</v>
      </c>
      <c r="C164" s="20" t="str">
        <f>INDEX(Data,2,2+MOD(ROWS(C$2:C164)-1,3))</f>
        <v>08.00</v>
      </c>
      <c r="D164" s="14" t="str">
        <f t="shared" ca="1" si="7"/>
        <v>—</v>
      </c>
      <c r="E164" s="25">
        <f t="shared" ca="1" si="8"/>
        <v>7</v>
      </c>
    </row>
    <row r="165" spans="1:5" x14ac:dyDescent="0.25">
      <c r="A165" s="8">
        <f t="shared" si="6"/>
        <v>73</v>
      </c>
      <c r="B165" t="str">
        <f ca="1">TEXT(DATE(YEAR(Invoer!$A$5),1,1)+INT((ROWS(B$2:B165)-1)/3),"jjjjmmdd")</f>
        <v>19460224</v>
      </c>
      <c r="C165" s="20" t="str">
        <f>INDEX(Data,2,2+MOD(ROWS(C$2:C165)-1,3))</f>
        <v>12.00</v>
      </c>
      <c r="D165" s="14" t="str">
        <f t="shared" ca="1" si="7"/>
        <v>—</v>
      </c>
      <c r="E165" s="25">
        <f t="shared" ca="1" si="8"/>
        <v>7</v>
      </c>
    </row>
    <row r="166" spans="1:5" x14ac:dyDescent="0.25">
      <c r="A166" s="8">
        <f t="shared" si="6"/>
        <v>73</v>
      </c>
      <c r="B166" t="str">
        <f ca="1">TEXT(DATE(YEAR(Invoer!$A$5),1,1)+INT((ROWS(B$2:B166)-1)/3),"jjjjmmdd")</f>
        <v>19460224</v>
      </c>
      <c r="C166" s="20" t="str">
        <f>INDEX(Data,2,2+MOD(ROWS(C$2:C166)-1,3))</f>
        <v>16.00</v>
      </c>
      <c r="D166" s="14" t="str">
        <f t="shared" ca="1" si="7"/>
        <v>—</v>
      </c>
      <c r="E166" s="25">
        <f t="shared" ca="1" si="8"/>
        <v>7</v>
      </c>
    </row>
    <row r="167" spans="1:5" x14ac:dyDescent="0.25">
      <c r="A167" s="8">
        <f t="shared" si="6"/>
        <v>73</v>
      </c>
      <c r="B167" t="str">
        <f ca="1">TEXT(DATE(YEAR(Invoer!$A$5),1,1)+INT((ROWS(B$2:B167)-1)/3),"jjjjmmdd")</f>
        <v>19460225</v>
      </c>
      <c r="C167" s="20" t="str">
        <f>INDEX(Data,2,2+MOD(ROWS(C$2:C167)-1,3))</f>
        <v>08.00</v>
      </c>
      <c r="D167" s="14" t="str">
        <f t="shared" ca="1" si="7"/>
        <v>—</v>
      </c>
      <c r="E167" s="25">
        <f t="shared" ca="1" si="8"/>
        <v>7</v>
      </c>
    </row>
    <row r="168" spans="1:5" x14ac:dyDescent="0.25">
      <c r="A168" s="8">
        <f t="shared" si="6"/>
        <v>73</v>
      </c>
      <c r="B168" t="str">
        <f ca="1">TEXT(DATE(YEAR(Invoer!$A$5),1,1)+INT((ROWS(B$2:B168)-1)/3),"jjjjmmdd")</f>
        <v>19460225</v>
      </c>
      <c r="C168" s="20" t="str">
        <f>INDEX(Data,2,2+MOD(ROWS(C$2:C168)-1,3))</f>
        <v>12.00</v>
      </c>
      <c r="D168" s="14" t="str">
        <f t="shared" ca="1" si="7"/>
        <v>—</v>
      </c>
      <c r="E168" s="25">
        <f t="shared" ca="1" si="8"/>
        <v>7</v>
      </c>
    </row>
    <row r="169" spans="1:5" x14ac:dyDescent="0.25">
      <c r="A169" s="8">
        <f t="shared" si="6"/>
        <v>73</v>
      </c>
      <c r="B169" t="str">
        <f ca="1">TEXT(DATE(YEAR(Invoer!$A$5),1,1)+INT((ROWS(B$2:B169)-1)/3),"jjjjmmdd")</f>
        <v>19460225</v>
      </c>
      <c r="C169" s="20" t="str">
        <f>INDEX(Data,2,2+MOD(ROWS(C$2:C169)-1,3))</f>
        <v>16.00</v>
      </c>
      <c r="D169" s="14" t="str">
        <f t="shared" ca="1" si="7"/>
        <v>—</v>
      </c>
      <c r="E169" s="25">
        <f t="shared" ca="1" si="8"/>
        <v>7</v>
      </c>
    </row>
    <row r="170" spans="1:5" x14ac:dyDescent="0.25">
      <c r="A170" s="8">
        <f t="shared" si="6"/>
        <v>73</v>
      </c>
      <c r="B170" t="str">
        <f ca="1">TEXT(DATE(YEAR(Invoer!$A$5),1,1)+INT((ROWS(B$2:B170)-1)/3),"jjjjmmdd")</f>
        <v>19460226</v>
      </c>
      <c r="C170" s="20" t="str">
        <f>INDEX(Data,2,2+MOD(ROWS(C$2:C170)-1,3))</f>
        <v>08.00</v>
      </c>
      <c r="D170" s="14" t="str">
        <f t="shared" ca="1" si="7"/>
        <v>—</v>
      </c>
      <c r="E170" s="25">
        <f t="shared" ca="1" si="8"/>
        <v>7</v>
      </c>
    </row>
    <row r="171" spans="1:5" x14ac:dyDescent="0.25">
      <c r="A171" s="8">
        <f t="shared" si="6"/>
        <v>73</v>
      </c>
      <c r="B171" t="str">
        <f ca="1">TEXT(DATE(YEAR(Invoer!$A$5),1,1)+INT((ROWS(B$2:B171)-1)/3),"jjjjmmdd")</f>
        <v>19460226</v>
      </c>
      <c r="C171" s="20" t="str">
        <f>INDEX(Data,2,2+MOD(ROWS(C$2:C171)-1,3))</f>
        <v>12.00</v>
      </c>
      <c r="D171" s="14" t="str">
        <f t="shared" ca="1" si="7"/>
        <v>—</v>
      </c>
      <c r="E171" s="25">
        <f t="shared" ca="1" si="8"/>
        <v>7</v>
      </c>
    </row>
    <row r="172" spans="1:5" x14ac:dyDescent="0.25">
      <c r="A172" s="8">
        <f t="shared" si="6"/>
        <v>73</v>
      </c>
      <c r="B172" t="str">
        <f ca="1">TEXT(DATE(YEAR(Invoer!$A$5),1,1)+INT((ROWS(B$2:B172)-1)/3),"jjjjmmdd")</f>
        <v>19460226</v>
      </c>
      <c r="C172" s="20" t="str">
        <f>INDEX(Data,2,2+MOD(ROWS(C$2:C172)-1,3))</f>
        <v>16.00</v>
      </c>
      <c r="D172" s="14" t="str">
        <f t="shared" ca="1" si="7"/>
        <v>—</v>
      </c>
      <c r="E172" s="25">
        <f t="shared" ca="1" si="8"/>
        <v>7</v>
      </c>
    </row>
    <row r="173" spans="1:5" x14ac:dyDescent="0.25">
      <c r="A173" s="8">
        <f t="shared" si="6"/>
        <v>73</v>
      </c>
      <c r="B173" t="str">
        <f ca="1">TEXT(DATE(YEAR(Invoer!$A$5),1,1)+INT((ROWS(B$2:B173)-1)/3),"jjjjmmdd")</f>
        <v>19460227</v>
      </c>
      <c r="C173" s="20" t="str">
        <f>INDEX(Data,2,2+MOD(ROWS(C$2:C173)-1,3))</f>
        <v>08.00</v>
      </c>
      <c r="D173" s="14" t="str">
        <f t="shared" ca="1" si="7"/>
        <v>—</v>
      </c>
      <c r="E173" s="25">
        <f t="shared" ca="1" si="8"/>
        <v>7</v>
      </c>
    </row>
    <row r="174" spans="1:5" x14ac:dyDescent="0.25">
      <c r="A174" s="8">
        <f t="shared" si="6"/>
        <v>73</v>
      </c>
      <c r="B174" t="str">
        <f ca="1">TEXT(DATE(YEAR(Invoer!$A$5),1,1)+INT((ROWS(B$2:B174)-1)/3),"jjjjmmdd")</f>
        <v>19460227</v>
      </c>
      <c r="C174" s="20" t="str">
        <f>INDEX(Data,2,2+MOD(ROWS(C$2:C174)-1,3))</f>
        <v>12.00</v>
      </c>
      <c r="D174" s="14" t="str">
        <f t="shared" ca="1" si="7"/>
        <v>—</v>
      </c>
      <c r="E174" s="25">
        <f t="shared" ca="1" si="8"/>
        <v>7</v>
      </c>
    </row>
    <row r="175" spans="1:5" x14ac:dyDescent="0.25">
      <c r="A175" s="8">
        <f t="shared" si="6"/>
        <v>73</v>
      </c>
      <c r="B175" t="str">
        <f ca="1">TEXT(DATE(YEAR(Invoer!$A$5),1,1)+INT((ROWS(B$2:B175)-1)/3),"jjjjmmdd")</f>
        <v>19460227</v>
      </c>
      <c r="C175" s="20" t="str">
        <f>INDEX(Data,2,2+MOD(ROWS(C$2:C175)-1,3))</f>
        <v>16.00</v>
      </c>
      <c r="D175" s="14" t="str">
        <f t="shared" ca="1" si="7"/>
        <v>—</v>
      </c>
      <c r="E175" s="25">
        <f t="shared" ca="1" si="8"/>
        <v>7</v>
      </c>
    </row>
    <row r="176" spans="1:5" x14ac:dyDescent="0.25">
      <c r="A176" s="8">
        <f t="shared" si="6"/>
        <v>73</v>
      </c>
      <c r="B176" t="str">
        <f ca="1">TEXT(DATE(YEAR(Invoer!$A$5),1,1)+INT((ROWS(B$2:B176)-1)/3),"jjjjmmdd")</f>
        <v>19460228</v>
      </c>
      <c r="C176" s="20" t="str">
        <f>INDEX(Data,2,2+MOD(ROWS(C$2:C176)-1,3))</f>
        <v>08.00</v>
      </c>
      <c r="D176" s="14" t="str">
        <f t="shared" ca="1" si="7"/>
        <v>—</v>
      </c>
      <c r="E176" s="25">
        <f t="shared" ca="1" si="8"/>
        <v>7</v>
      </c>
    </row>
    <row r="177" spans="1:5" x14ac:dyDescent="0.25">
      <c r="A177" s="8">
        <f t="shared" si="6"/>
        <v>73</v>
      </c>
      <c r="B177" t="str">
        <f ca="1">TEXT(DATE(YEAR(Invoer!$A$5),1,1)+INT((ROWS(B$2:B177)-1)/3),"jjjjmmdd")</f>
        <v>19460228</v>
      </c>
      <c r="C177" s="20" t="str">
        <f>INDEX(Data,2,2+MOD(ROWS(C$2:C177)-1,3))</f>
        <v>12.00</v>
      </c>
      <c r="D177" s="14" t="str">
        <f t="shared" ca="1" si="7"/>
        <v>—</v>
      </c>
      <c r="E177" s="25">
        <f t="shared" ca="1" si="8"/>
        <v>7</v>
      </c>
    </row>
    <row r="178" spans="1:5" x14ac:dyDescent="0.25">
      <c r="A178" s="8">
        <f t="shared" si="6"/>
        <v>73</v>
      </c>
      <c r="B178" t="str">
        <f ca="1">TEXT(DATE(YEAR(Invoer!$A$5),1,1)+INT((ROWS(B$2:B178)-1)/3),"jjjjmmdd")</f>
        <v>19460228</v>
      </c>
      <c r="C178" s="20" t="str">
        <f>INDEX(Data,2,2+MOD(ROWS(C$2:C178)-1,3))</f>
        <v>16.00</v>
      </c>
      <c r="D178" s="14" t="str">
        <f t="shared" ca="1" si="7"/>
        <v>—</v>
      </c>
      <c r="E178" s="25">
        <f t="shared" ca="1" si="8"/>
        <v>7</v>
      </c>
    </row>
    <row r="179" spans="1:5" x14ac:dyDescent="0.25">
      <c r="A179" s="8">
        <f t="shared" si="6"/>
        <v>73</v>
      </c>
      <c r="B179" t="str">
        <f ca="1">TEXT(DATE(YEAR(Invoer!$A$5),1,1)+INT((ROWS(B$2:B179)-1)/3),"jjjjmmdd")</f>
        <v>19460301</v>
      </c>
      <c r="C179" s="20" t="str">
        <f>INDEX(Data,2,2+MOD(ROWS(C$2:C179)-1,3))</f>
        <v>08.00</v>
      </c>
      <c r="D179" s="14" t="str">
        <f t="shared" ca="1" si="7"/>
        <v>—</v>
      </c>
      <c r="E179" s="25">
        <f t="shared" ca="1" si="8"/>
        <v>7</v>
      </c>
    </row>
    <row r="180" spans="1:5" x14ac:dyDescent="0.25">
      <c r="A180" s="8">
        <f t="shared" si="6"/>
        <v>73</v>
      </c>
      <c r="B180" t="str">
        <f ca="1">TEXT(DATE(YEAR(Invoer!$A$5),1,1)+INT((ROWS(B$2:B180)-1)/3),"jjjjmmdd")</f>
        <v>19460301</v>
      </c>
      <c r="C180" s="20" t="str">
        <f>INDEX(Data,2,2+MOD(ROWS(C$2:C180)-1,3))</f>
        <v>12.00</v>
      </c>
      <c r="D180" s="14" t="str">
        <f t="shared" ca="1" si="7"/>
        <v>—</v>
      </c>
      <c r="E180" s="25">
        <f t="shared" ca="1" si="8"/>
        <v>7</v>
      </c>
    </row>
    <row r="181" spans="1:5" x14ac:dyDescent="0.25">
      <c r="A181" s="8">
        <f t="shared" si="6"/>
        <v>73</v>
      </c>
      <c r="B181" t="str">
        <f ca="1">TEXT(DATE(YEAR(Invoer!$A$5),1,1)+INT((ROWS(B$2:B181)-1)/3),"jjjjmmdd")</f>
        <v>19460301</v>
      </c>
      <c r="C181" s="20" t="str">
        <f>INDEX(Data,2,2+MOD(ROWS(C$2:C181)-1,3))</f>
        <v>16.00</v>
      </c>
      <c r="D181" s="14" t="str">
        <f t="shared" ca="1" si="7"/>
        <v>—</v>
      </c>
      <c r="E181" s="25">
        <f t="shared" ca="1" si="8"/>
        <v>7</v>
      </c>
    </row>
    <row r="182" spans="1:5" x14ac:dyDescent="0.25">
      <c r="A182" s="8">
        <f t="shared" si="6"/>
        <v>73</v>
      </c>
      <c r="B182" t="str">
        <f ca="1">TEXT(DATE(YEAR(Invoer!$A$5),1,1)+INT((ROWS(B$2:B182)-1)/3),"jjjjmmdd")</f>
        <v>19460302</v>
      </c>
      <c r="C182" s="20" t="str">
        <f>INDEX(Data,2,2+MOD(ROWS(C$2:C182)-1,3))</f>
        <v>08.00</v>
      </c>
      <c r="D182" s="14" t="str">
        <f t="shared" ca="1" si="7"/>
        <v>—</v>
      </c>
      <c r="E182" s="25">
        <f t="shared" ca="1" si="8"/>
        <v>7</v>
      </c>
    </row>
    <row r="183" spans="1:5" x14ac:dyDescent="0.25">
      <c r="A183" s="8">
        <f t="shared" si="6"/>
        <v>73</v>
      </c>
      <c r="B183" t="str">
        <f ca="1">TEXT(DATE(YEAR(Invoer!$A$5),1,1)+INT((ROWS(B$2:B183)-1)/3),"jjjjmmdd")</f>
        <v>19460302</v>
      </c>
      <c r="C183" s="20" t="str">
        <f>INDEX(Data,2,2+MOD(ROWS(C$2:C183)-1,3))</f>
        <v>12.00</v>
      </c>
      <c r="D183" s="14" t="str">
        <f t="shared" ca="1" si="7"/>
        <v>—</v>
      </c>
      <c r="E183" s="25">
        <f t="shared" ca="1" si="8"/>
        <v>7</v>
      </c>
    </row>
    <row r="184" spans="1:5" x14ac:dyDescent="0.25">
      <c r="A184" s="8">
        <f t="shared" si="6"/>
        <v>73</v>
      </c>
      <c r="B184" t="str">
        <f ca="1">TEXT(DATE(YEAR(Invoer!$A$5),1,1)+INT((ROWS(B$2:B184)-1)/3),"jjjjmmdd")</f>
        <v>19460302</v>
      </c>
      <c r="C184" s="20" t="str">
        <f>INDEX(Data,2,2+MOD(ROWS(C$2:C184)-1,3))</f>
        <v>16.00</v>
      </c>
      <c r="D184" s="14" t="str">
        <f t="shared" ca="1" si="7"/>
        <v>—</v>
      </c>
      <c r="E184" s="25">
        <f t="shared" ca="1" si="8"/>
        <v>7</v>
      </c>
    </row>
    <row r="185" spans="1:5" x14ac:dyDescent="0.25">
      <c r="A185" s="8">
        <f t="shared" si="6"/>
        <v>73</v>
      </c>
      <c r="B185" t="str">
        <f ca="1">TEXT(DATE(YEAR(Invoer!$A$5),1,1)+INT((ROWS(B$2:B185)-1)/3),"jjjjmmdd")</f>
        <v>19460303</v>
      </c>
      <c r="C185" s="20" t="str">
        <f>INDEX(Data,2,2+MOD(ROWS(C$2:C185)-1,3))</f>
        <v>08.00</v>
      </c>
      <c r="D185" s="14" t="str">
        <f t="shared" ca="1" si="7"/>
        <v>—</v>
      </c>
      <c r="E185" s="25">
        <f t="shared" ca="1" si="8"/>
        <v>7</v>
      </c>
    </row>
    <row r="186" spans="1:5" x14ac:dyDescent="0.25">
      <c r="A186" s="8">
        <f t="shared" si="6"/>
        <v>73</v>
      </c>
      <c r="B186" t="str">
        <f ca="1">TEXT(DATE(YEAR(Invoer!$A$5),1,1)+INT((ROWS(B$2:B186)-1)/3),"jjjjmmdd")</f>
        <v>19460303</v>
      </c>
      <c r="C186" s="20" t="str">
        <f>INDEX(Data,2,2+MOD(ROWS(C$2:C186)-1,3))</f>
        <v>12.00</v>
      </c>
      <c r="D186" s="14" t="str">
        <f t="shared" ca="1" si="7"/>
        <v>—</v>
      </c>
      <c r="E186" s="25">
        <f t="shared" ca="1" si="8"/>
        <v>7</v>
      </c>
    </row>
    <row r="187" spans="1:5" x14ac:dyDescent="0.25">
      <c r="A187" s="8">
        <f t="shared" si="6"/>
        <v>73</v>
      </c>
      <c r="B187" t="str">
        <f ca="1">TEXT(DATE(YEAR(Invoer!$A$5),1,1)+INT((ROWS(B$2:B187)-1)/3),"jjjjmmdd")</f>
        <v>19460303</v>
      </c>
      <c r="C187" s="20" t="str">
        <f>INDEX(Data,2,2+MOD(ROWS(C$2:C187)-1,3))</f>
        <v>16.00</v>
      </c>
      <c r="D187" s="14" t="str">
        <f t="shared" ca="1" si="7"/>
        <v>—</v>
      </c>
      <c r="E187" s="25">
        <f t="shared" ca="1" si="8"/>
        <v>7</v>
      </c>
    </row>
    <row r="188" spans="1:5" x14ac:dyDescent="0.25">
      <c r="A188" s="8">
        <f t="shared" si="6"/>
        <v>73</v>
      </c>
      <c r="B188" t="str">
        <f ca="1">TEXT(DATE(YEAR(Invoer!$A$5),1,1)+INT((ROWS(B$2:B188)-1)/3),"jjjjmmdd")</f>
        <v>19460304</v>
      </c>
      <c r="C188" s="20" t="str">
        <f>INDEX(Data,2,2+MOD(ROWS(C$2:C188)-1,3))</f>
        <v>08.00</v>
      </c>
      <c r="D188" s="14" t="str">
        <f t="shared" ca="1" si="7"/>
        <v>—</v>
      </c>
      <c r="E188" s="25">
        <f t="shared" ca="1" si="8"/>
        <v>7</v>
      </c>
    </row>
    <row r="189" spans="1:5" x14ac:dyDescent="0.25">
      <c r="A189" s="8">
        <f t="shared" si="6"/>
        <v>73</v>
      </c>
      <c r="B189" t="str">
        <f ca="1">TEXT(DATE(YEAR(Invoer!$A$5),1,1)+INT((ROWS(B$2:B189)-1)/3),"jjjjmmdd")</f>
        <v>19460304</v>
      </c>
      <c r="C189" s="20" t="str">
        <f>INDEX(Data,2,2+MOD(ROWS(C$2:C189)-1,3))</f>
        <v>12.00</v>
      </c>
      <c r="D189" s="14" t="str">
        <f t="shared" ca="1" si="7"/>
        <v>—</v>
      </c>
      <c r="E189" s="25">
        <f t="shared" ca="1" si="8"/>
        <v>7</v>
      </c>
    </row>
    <row r="190" spans="1:5" x14ac:dyDescent="0.25">
      <c r="A190" s="8">
        <f t="shared" si="6"/>
        <v>73</v>
      </c>
      <c r="B190" t="str">
        <f ca="1">TEXT(DATE(YEAR(Invoer!$A$5),1,1)+INT((ROWS(B$2:B190)-1)/3),"jjjjmmdd")</f>
        <v>19460304</v>
      </c>
      <c r="C190" s="20" t="str">
        <f>INDEX(Data,2,2+MOD(ROWS(C$2:C190)-1,3))</f>
        <v>16.00</v>
      </c>
      <c r="D190" s="14" t="str">
        <f t="shared" ca="1" si="7"/>
        <v>—</v>
      </c>
      <c r="E190" s="25">
        <f t="shared" ca="1" si="8"/>
        <v>7</v>
      </c>
    </row>
    <row r="191" spans="1:5" x14ac:dyDescent="0.25">
      <c r="A191" s="8">
        <f t="shared" si="6"/>
        <v>73</v>
      </c>
      <c r="B191" t="str">
        <f ca="1">TEXT(DATE(YEAR(Invoer!$A$5),1,1)+INT((ROWS(B$2:B191)-1)/3),"jjjjmmdd")</f>
        <v>19460305</v>
      </c>
      <c r="C191" s="20" t="str">
        <f>INDEX(Data,2,2+MOD(ROWS(C$2:C191)-1,3))</f>
        <v>08.00</v>
      </c>
      <c r="D191" s="14" t="str">
        <f t="shared" ca="1" si="7"/>
        <v>—</v>
      </c>
      <c r="E191" s="25">
        <f t="shared" ca="1" si="8"/>
        <v>7</v>
      </c>
    </row>
    <row r="192" spans="1:5" x14ac:dyDescent="0.25">
      <c r="A192" s="8">
        <f t="shared" si="6"/>
        <v>73</v>
      </c>
      <c r="B192" t="str">
        <f ca="1">TEXT(DATE(YEAR(Invoer!$A$5),1,1)+INT((ROWS(B$2:B192)-1)/3),"jjjjmmdd")</f>
        <v>19460305</v>
      </c>
      <c r="C192" s="20" t="str">
        <f>INDEX(Data,2,2+MOD(ROWS(C$2:C192)-1,3))</f>
        <v>12.00</v>
      </c>
      <c r="D192" s="14" t="str">
        <f t="shared" ca="1" si="7"/>
        <v>—</v>
      </c>
      <c r="E192" s="25">
        <f t="shared" ca="1" si="8"/>
        <v>7</v>
      </c>
    </row>
    <row r="193" spans="1:5" x14ac:dyDescent="0.25">
      <c r="A193" s="8">
        <f t="shared" si="6"/>
        <v>73</v>
      </c>
      <c r="B193" t="str">
        <f ca="1">TEXT(DATE(YEAR(Invoer!$A$5),1,1)+INT((ROWS(B$2:B193)-1)/3),"jjjjmmdd")</f>
        <v>19460305</v>
      </c>
      <c r="C193" s="20" t="str">
        <f>INDEX(Data,2,2+MOD(ROWS(C$2:C193)-1,3))</f>
        <v>16.00</v>
      </c>
      <c r="D193" s="14" t="str">
        <f t="shared" ca="1" si="7"/>
        <v>—</v>
      </c>
      <c r="E193" s="25">
        <f t="shared" ca="1" si="8"/>
        <v>7</v>
      </c>
    </row>
    <row r="194" spans="1:5" x14ac:dyDescent="0.25">
      <c r="A194" s="8">
        <f t="shared" ref="A194:A257" si="9">INDEX(Stations,2,1)</f>
        <v>73</v>
      </c>
      <c r="B194" t="str">
        <f ca="1">TEXT(DATE(YEAR(Invoer!$A$5),1,1)+INT((ROWS(B$2:B194)-1)/3),"jjjjmmdd")</f>
        <v>19460306</v>
      </c>
      <c r="C194" s="20" t="str">
        <f>INDEX(Data,2,2+MOD(ROWS(C$2:C194)-1,3))</f>
        <v>08.00</v>
      </c>
      <c r="D194" s="14" t="str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25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</row>
    <row r="195" spans="1:5" x14ac:dyDescent="0.25">
      <c r="A195" s="8">
        <f t="shared" si="9"/>
        <v>73</v>
      </c>
      <c r="B195" t="str">
        <f ca="1">TEXT(DATE(YEAR(Invoer!$A$5),1,1)+INT((ROWS(B$2:B195)-1)/3),"jjjjmmdd")</f>
        <v>19460306</v>
      </c>
      <c r="C195" s="20" t="str">
        <f>INDEX(Data,2,2+MOD(ROWS(C$2:C195)-1,3))</f>
        <v>12.00</v>
      </c>
      <c r="D195" s="14" t="str">
        <f t="shared" ca="1" si="10"/>
        <v>—</v>
      </c>
      <c r="E195" s="25">
        <f t="shared" ca="1" si="11"/>
        <v>7</v>
      </c>
    </row>
    <row r="196" spans="1:5" x14ac:dyDescent="0.25">
      <c r="A196" s="8">
        <f t="shared" si="9"/>
        <v>73</v>
      </c>
      <c r="B196" t="str">
        <f ca="1">TEXT(DATE(YEAR(Invoer!$A$5),1,1)+INT((ROWS(B$2:B196)-1)/3),"jjjjmmdd")</f>
        <v>19460306</v>
      </c>
      <c r="C196" s="20" t="str">
        <f>INDEX(Data,2,2+MOD(ROWS(C$2:C196)-1,3))</f>
        <v>16.00</v>
      </c>
      <c r="D196" s="14" t="str">
        <f t="shared" ca="1" si="10"/>
        <v>—</v>
      </c>
      <c r="E196" s="25">
        <f t="shared" ca="1" si="11"/>
        <v>7</v>
      </c>
    </row>
    <row r="197" spans="1:5" x14ac:dyDescent="0.25">
      <c r="A197" s="8">
        <f t="shared" si="9"/>
        <v>73</v>
      </c>
      <c r="B197" t="str">
        <f ca="1">TEXT(DATE(YEAR(Invoer!$A$5),1,1)+INT((ROWS(B$2:B197)-1)/3),"jjjjmmdd")</f>
        <v>19460307</v>
      </c>
      <c r="C197" s="20" t="str">
        <f>INDEX(Data,2,2+MOD(ROWS(C$2:C197)-1,3))</f>
        <v>08.00</v>
      </c>
      <c r="D197" s="14" t="str">
        <f t="shared" ca="1" si="10"/>
        <v>—</v>
      </c>
      <c r="E197" s="25">
        <f t="shared" ca="1" si="11"/>
        <v>7</v>
      </c>
    </row>
    <row r="198" spans="1:5" x14ac:dyDescent="0.25">
      <c r="A198" s="8">
        <f t="shared" si="9"/>
        <v>73</v>
      </c>
      <c r="B198" t="str">
        <f ca="1">TEXT(DATE(YEAR(Invoer!$A$5),1,1)+INT((ROWS(B$2:B198)-1)/3),"jjjjmmdd")</f>
        <v>19460307</v>
      </c>
      <c r="C198" s="20" t="str">
        <f>INDEX(Data,2,2+MOD(ROWS(C$2:C198)-1,3))</f>
        <v>12.00</v>
      </c>
      <c r="D198" s="14" t="str">
        <f t="shared" ca="1" si="10"/>
        <v>—</v>
      </c>
      <c r="E198" s="25">
        <f t="shared" ca="1" si="11"/>
        <v>7</v>
      </c>
    </row>
    <row r="199" spans="1:5" x14ac:dyDescent="0.25">
      <c r="A199" s="8">
        <f t="shared" si="9"/>
        <v>73</v>
      </c>
      <c r="B199" t="str">
        <f ca="1">TEXT(DATE(YEAR(Invoer!$A$5),1,1)+INT((ROWS(B$2:B199)-1)/3),"jjjjmmdd")</f>
        <v>19460307</v>
      </c>
      <c r="C199" s="20" t="str">
        <f>INDEX(Data,2,2+MOD(ROWS(C$2:C199)-1,3))</f>
        <v>16.00</v>
      </c>
      <c r="D199" s="14" t="str">
        <f t="shared" ca="1" si="10"/>
        <v>—</v>
      </c>
      <c r="E199" s="25">
        <f t="shared" ca="1" si="11"/>
        <v>7</v>
      </c>
    </row>
    <row r="200" spans="1:5" x14ac:dyDescent="0.25">
      <c r="A200" s="8">
        <f t="shared" si="9"/>
        <v>73</v>
      </c>
      <c r="B200" t="str">
        <f ca="1">TEXT(DATE(YEAR(Invoer!$A$5),1,1)+INT((ROWS(B$2:B200)-1)/3),"jjjjmmdd")</f>
        <v>19460308</v>
      </c>
      <c r="C200" s="20" t="str">
        <f>INDEX(Data,2,2+MOD(ROWS(C$2:C200)-1,3))</f>
        <v>08.00</v>
      </c>
      <c r="D200" s="14" t="str">
        <f t="shared" ca="1" si="10"/>
        <v>—</v>
      </c>
      <c r="E200" s="25">
        <f t="shared" ca="1" si="11"/>
        <v>7</v>
      </c>
    </row>
    <row r="201" spans="1:5" x14ac:dyDescent="0.25">
      <c r="A201" s="8">
        <f t="shared" si="9"/>
        <v>73</v>
      </c>
      <c r="B201" t="str">
        <f ca="1">TEXT(DATE(YEAR(Invoer!$A$5),1,1)+INT((ROWS(B$2:B201)-1)/3),"jjjjmmdd")</f>
        <v>19460308</v>
      </c>
      <c r="C201" s="20" t="str">
        <f>INDEX(Data,2,2+MOD(ROWS(C$2:C201)-1,3))</f>
        <v>12.00</v>
      </c>
      <c r="D201" s="14" t="str">
        <f t="shared" ca="1" si="10"/>
        <v>—</v>
      </c>
      <c r="E201" s="25">
        <f t="shared" ca="1" si="11"/>
        <v>7</v>
      </c>
    </row>
    <row r="202" spans="1:5" x14ac:dyDescent="0.25">
      <c r="A202" s="8">
        <f t="shared" si="9"/>
        <v>73</v>
      </c>
      <c r="B202" t="str">
        <f ca="1">TEXT(DATE(YEAR(Invoer!$A$5),1,1)+INT((ROWS(B$2:B202)-1)/3),"jjjjmmdd")</f>
        <v>19460308</v>
      </c>
      <c r="C202" s="20" t="str">
        <f>INDEX(Data,2,2+MOD(ROWS(C$2:C202)-1,3))</f>
        <v>16.00</v>
      </c>
      <c r="D202" s="14" t="str">
        <f t="shared" ca="1" si="10"/>
        <v>—</v>
      </c>
      <c r="E202" s="25">
        <f t="shared" ca="1" si="11"/>
        <v>7</v>
      </c>
    </row>
    <row r="203" spans="1:5" x14ac:dyDescent="0.25">
      <c r="A203" s="8">
        <f t="shared" si="9"/>
        <v>73</v>
      </c>
      <c r="B203" t="str">
        <f ca="1">TEXT(DATE(YEAR(Invoer!$A$5),1,1)+INT((ROWS(B$2:B203)-1)/3),"jjjjmmdd")</f>
        <v>19460309</v>
      </c>
      <c r="C203" s="20" t="str">
        <f>INDEX(Data,2,2+MOD(ROWS(C$2:C203)-1,3))</f>
        <v>08.00</v>
      </c>
      <c r="D203" s="14" t="str">
        <f t="shared" ca="1" si="10"/>
        <v>—</v>
      </c>
      <c r="E203" s="25">
        <f t="shared" ca="1" si="11"/>
        <v>7</v>
      </c>
    </row>
    <row r="204" spans="1:5" x14ac:dyDescent="0.25">
      <c r="A204" s="8">
        <f t="shared" si="9"/>
        <v>73</v>
      </c>
      <c r="B204" t="str">
        <f ca="1">TEXT(DATE(YEAR(Invoer!$A$5),1,1)+INT((ROWS(B$2:B204)-1)/3),"jjjjmmdd")</f>
        <v>19460309</v>
      </c>
      <c r="C204" s="20" t="str">
        <f>INDEX(Data,2,2+MOD(ROWS(C$2:C204)-1,3))</f>
        <v>12.00</v>
      </c>
      <c r="D204" s="14" t="str">
        <f t="shared" ca="1" si="10"/>
        <v>—</v>
      </c>
      <c r="E204" s="25">
        <f t="shared" ca="1" si="11"/>
        <v>7</v>
      </c>
    </row>
    <row r="205" spans="1:5" x14ac:dyDescent="0.25">
      <c r="A205" s="8">
        <f t="shared" si="9"/>
        <v>73</v>
      </c>
      <c r="B205" t="str">
        <f ca="1">TEXT(DATE(YEAR(Invoer!$A$5),1,1)+INT((ROWS(B$2:B205)-1)/3),"jjjjmmdd")</f>
        <v>19460309</v>
      </c>
      <c r="C205" s="20" t="str">
        <f>INDEX(Data,2,2+MOD(ROWS(C$2:C205)-1,3))</f>
        <v>16.00</v>
      </c>
      <c r="D205" s="14" t="str">
        <f t="shared" ca="1" si="10"/>
        <v>—</v>
      </c>
      <c r="E205" s="25">
        <f t="shared" ca="1" si="11"/>
        <v>7</v>
      </c>
    </row>
    <row r="206" spans="1:5" x14ac:dyDescent="0.25">
      <c r="A206" s="8">
        <f t="shared" si="9"/>
        <v>73</v>
      </c>
      <c r="B206" t="str">
        <f ca="1">TEXT(DATE(YEAR(Invoer!$A$5),1,1)+INT((ROWS(B$2:B206)-1)/3),"jjjjmmdd")</f>
        <v>19460310</v>
      </c>
      <c r="C206" s="20" t="str">
        <f>INDEX(Data,2,2+MOD(ROWS(C$2:C206)-1,3))</f>
        <v>08.00</v>
      </c>
      <c r="D206" s="14" t="str">
        <f t="shared" ca="1" si="10"/>
        <v>—</v>
      </c>
      <c r="E206" s="25">
        <f t="shared" ca="1" si="11"/>
        <v>7</v>
      </c>
    </row>
    <row r="207" spans="1:5" x14ac:dyDescent="0.25">
      <c r="A207" s="8">
        <f t="shared" si="9"/>
        <v>73</v>
      </c>
      <c r="B207" t="str">
        <f ca="1">TEXT(DATE(YEAR(Invoer!$A$5),1,1)+INT((ROWS(B$2:B207)-1)/3),"jjjjmmdd")</f>
        <v>19460310</v>
      </c>
      <c r="C207" s="20" t="str">
        <f>INDEX(Data,2,2+MOD(ROWS(C$2:C207)-1,3))</f>
        <v>12.00</v>
      </c>
      <c r="D207" s="14" t="str">
        <f t="shared" ca="1" si="10"/>
        <v>—</v>
      </c>
      <c r="E207" s="25">
        <f t="shared" ca="1" si="11"/>
        <v>7</v>
      </c>
    </row>
    <row r="208" spans="1:5" x14ac:dyDescent="0.25">
      <c r="A208" s="8">
        <f t="shared" si="9"/>
        <v>73</v>
      </c>
      <c r="B208" t="str">
        <f ca="1">TEXT(DATE(YEAR(Invoer!$A$5),1,1)+INT((ROWS(B$2:B208)-1)/3),"jjjjmmdd")</f>
        <v>19460310</v>
      </c>
      <c r="C208" s="20" t="str">
        <f>INDEX(Data,2,2+MOD(ROWS(C$2:C208)-1,3))</f>
        <v>16.00</v>
      </c>
      <c r="D208" s="14" t="str">
        <f t="shared" ca="1" si="10"/>
        <v>—</v>
      </c>
      <c r="E208" s="25">
        <f t="shared" ca="1" si="11"/>
        <v>7</v>
      </c>
    </row>
    <row r="209" spans="1:5" x14ac:dyDescent="0.25">
      <c r="A209" s="8">
        <f t="shared" si="9"/>
        <v>73</v>
      </c>
      <c r="B209" t="str">
        <f ca="1">TEXT(DATE(YEAR(Invoer!$A$5),1,1)+INT((ROWS(B$2:B209)-1)/3),"jjjjmmdd")</f>
        <v>19460311</v>
      </c>
      <c r="C209" s="20" t="str">
        <f>INDEX(Data,2,2+MOD(ROWS(C$2:C209)-1,3))</f>
        <v>08.00</v>
      </c>
      <c r="D209" s="14" t="str">
        <f t="shared" ca="1" si="10"/>
        <v>—</v>
      </c>
      <c r="E209" s="25">
        <f t="shared" ca="1" si="11"/>
        <v>7</v>
      </c>
    </row>
    <row r="210" spans="1:5" x14ac:dyDescent="0.25">
      <c r="A210" s="8">
        <f t="shared" si="9"/>
        <v>73</v>
      </c>
      <c r="B210" t="str">
        <f ca="1">TEXT(DATE(YEAR(Invoer!$A$5),1,1)+INT((ROWS(B$2:B210)-1)/3),"jjjjmmdd")</f>
        <v>19460311</v>
      </c>
      <c r="C210" s="20" t="str">
        <f>INDEX(Data,2,2+MOD(ROWS(C$2:C210)-1,3))</f>
        <v>12.00</v>
      </c>
      <c r="D210" s="14" t="str">
        <f t="shared" ca="1" si="10"/>
        <v>—</v>
      </c>
      <c r="E210" s="25">
        <f t="shared" ca="1" si="11"/>
        <v>7</v>
      </c>
    </row>
    <row r="211" spans="1:5" x14ac:dyDescent="0.25">
      <c r="A211" s="8">
        <f t="shared" si="9"/>
        <v>73</v>
      </c>
      <c r="B211" t="str">
        <f ca="1">TEXT(DATE(YEAR(Invoer!$A$5),1,1)+INT((ROWS(B$2:B211)-1)/3),"jjjjmmdd")</f>
        <v>19460311</v>
      </c>
      <c r="C211" s="20" t="str">
        <f>INDEX(Data,2,2+MOD(ROWS(C$2:C211)-1,3))</f>
        <v>16.00</v>
      </c>
      <c r="D211" s="14" t="str">
        <f t="shared" ca="1" si="10"/>
        <v>—</v>
      </c>
      <c r="E211" s="25">
        <f t="shared" ca="1" si="11"/>
        <v>7</v>
      </c>
    </row>
    <row r="212" spans="1:5" x14ac:dyDescent="0.25">
      <c r="A212" s="8">
        <f t="shared" si="9"/>
        <v>73</v>
      </c>
      <c r="B212" t="str">
        <f ca="1">TEXT(DATE(YEAR(Invoer!$A$5),1,1)+INT((ROWS(B$2:B212)-1)/3),"jjjjmmdd")</f>
        <v>19460312</v>
      </c>
      <c r="C212" s="20" t="str">
        <f>INDEX(Data,2,2+MOD(ROWS(C$2:C212)-1,3))</f>
        <v>08.00</v>
      </c>
      <c r="D212" s="14" t="str">
        <f t="shared" ca="1" si="10"/>
        <v>—</v>
      </c>
      <c r="E212" s="25">
        <f t="shared" ca="1" si="11"/>
        <v>7</v>
      </c>
    </row>
    <row r="213" spans="1:5" x14ac:dyDescent="0.25">
      <c r="A213" s="8">
        <f t="shared" si="9"/>
        <v>73</v>
      </c>
      <c r="B213" t="str">
        <f ca="1">TEXT(DATE(YEAR(Invoer!$A$5),1,1)+INT((ROWS(B$2:B213)-1)/3),"jjjjmmdd")</f>
        <v>19460312</v>
      </c>
      <c r="C213" s="20" t="str">
        <f>INDEX(Data,2,2+MOD(ROWS(C$2:C213)-1,3))</f>
        <v>12.00</v>
      </c>
      <c r="D213" s="14" t="str">
        <f t="shared" ca="1" si="10"/>
        <v>—</v>
      </c>
      <c r="E213" s="25">
        <f t="shared" ca="1" si="11"/>
        <v>7</v>
      </c>
    </row>
    <row r="214" spans="1:5" x14ac:dyDescent="0.25">
      <c r="A214" s="8">
        <f t="shared" si="9"/>
        <v>73</v>
      </c>
      <c r="B214" t="str">
        <f ca="1">TEXT(DATE(YEAR(Invoer!$A$5),1,1)+INT((ROWS(B$2:B214)-1)/3),"jjjjmmdd")</f>
        <v>19460312</v>
      </c>
      <c r="C214" s="20" t="str">
        <f>INDEX(Data,2,2+MOD(ROWS(C$2:C214)-1,3))</f>
        <v>16.00</v>
      </c>
      <c r="D214" s="14" t="str">
        <f t="shared" ca="1" si="10"/>
        <v>—</v>
      </c>
      <c r="E214" s="25">
        <f t="shared" ca="1" si="11"/>
        <v>7</v>
      </c>
    </row>
    <row r="215" spans="1:5" x14ac:dyDescent="0.25">
      <c r="A215" s="8">
        <f t="shared" si="9"/>
        <v>73</v>
      </c>
      <c r="B215" t="str">
        <f ca="1">TEXT(DATE(YEAR(Invoer!$A$5),1,1)+INT((ROWS(B$2:B215)-1)/3),"jjjjmmdd")</f>
        <v>19460313</v>
      </c>
      <c r="C215" s="20" t="str">
        <f>INDEX(Data,2,2+MOD(ROWS(C$2:C215)-1,3))</f>
        <v>08.00</v>
      </c>
      <c r="D215" s="14" t="str">
        <f t="shared" ca="1" si="10"/>
        <v>—</v>
      </c>
      <c r="E215" s="25">
        <f t="shared" ca="1" si="11"/>
        <v>7</v>
      </c>
    </row>
    <row r="216" spans="1:5" x14ac:dyDescent="0.25">
      <c r="A216" s="8">
        <f t="shared" si="9"/>
        <v>73</v>
      </c>
      <c r="B216" t="str">
        <f ca="1">TEXT(DATE(YEAR(Invoer!$A$5),1,1)+INT((ROWS(B$2:B216)-1)/3),"jjjjmmdd")</f>
        <v>19460313</v>
      </c>
      <c r="C216" s="20" t="str">
        <f>INDEX(Data,2,2+MOD(ROWS(C$2:C216)-1,3))</f>
        <v>12.00</v>
      </c>
      <c r="D216" s="14" t="str">
        <f t="shared" ca="1" si="10"/>
        <v>—</v>
      </c>
      <c r="E216" s="25">
        <f t="shared" ca="1" si="11"/>
        <v>7</v>
      </c>
    </row>
    <row r="217" spans="1:5" x14ac:dyDescent="0.25">
      <c r="A217" s="8">
        <f t="shared" si="9"/>
        <v>73</v>
      </c>
      <c r="B217" t="str">
        <f ca="1">TEXT(DATE(YEAR(Invoer!$A$5),1,1)+INT((ROWS(B$2:B217)-1)/3),"jjjjmmdd")</f>
        <v>19460313</v>
      </c>
      <c r="C217" s="20" t="str">
        <f>INDEX(Data,2,2+MOD(ROWS(C$2:C217)-1,3))</f>
        <v>16.00</v>
      </c>
      <c r="D217" s="14" t="str">
        <f t="shared" ca="1" si="10"/>
        <v>—</v>
      </c>
      <c r="E217" s="25">
        <f t="shared" ca="1" si="11"/>
        <v>7</v>
      </c>
    </row>
    <row r="218" spans="1:5" x14ac:dyDescent="0.25">
      <c r="A218" s="8">
        <f t="shared" si="9"/>
        <v>73</v>
      </c>
      <c r="B218" t="str">
        <f ca="1">TEXT(DATE(YEAR(Invoer!$A$5),1,1)+INT((ROWS(B$2:B218)-1)/3),"jjjjmmdd")</f>
        <v>19460314</v>
      </c>
      <c r="C218" s="20" t="str">
        <f>INDEX(Data,2,2+MOD(ROWS(C$2:C218)-1,3))</f>
        <v>08.00</v>
      </c>
      <c r="D218" s="14" t="str">
        <f t="shared" ca="1" si="10"/>
        <v>—</v>
      </c>
      <c r="E218" s="25">
        <f t="shared" ca="1" si="11"/>
        <v>7</v>
      </c>
    </row>
    <row r="219" spans="1:5" x14ac:dyDescent="0.25">
      <c r="A219" s="8">
        <f t="shared" si="9"/>
        <v>73</v>
      </c>
      <c r="B219" t="str">
        <f ca="1">TEXT(DATE(YEAR(Invoer!$A$5),1,1)+INT((ROWS(B$2:B219)-1)/3),"jjjjmmdd")</f>
        <v>19460314</v>
      </c>
      <c r="C219" s="20" t="str">
        <f>INDEX(Data,2,2+MOD(ROWS(C$2:C219)-1,3))</f>
        <v>12.00</v>
      </c>
      <c r="D219" s="14" t="str">
        <f t="shared" ca="1" si="10"/>
        <v>—</v>
      </c>
      <c r="E219" s="25">
        <f t="shared" ca="1" si="11"/>
        <v>7</v>
      </c>
    </row>
    <row r="220" spans="1:5" x14ac:dyDescent="0.25">
      <c r="A220" s="8">
        <f t="shared" si="9"/>
        <v>73</v>
      </c>
      <c r="B220" t="str">
        <f ca="1">TEXT(DATE(YEAR(Invoer!$A$5),1,1)+INT((ROWS(B$2:B220)-1)/3),"jjjjmmdd")</f>
        <v>19460314</v>
      </c>
      <c r="C220" s="20" t="str">
        <f>INDEX(Data,2,2+MOD(ROWS(C$2:C220)-1,3))</f>
        <v>16.00</v>
      </c>
      <c r="D220" s="14" t="str">
        <f t="shared" ca="1" si="10"/>
        <v>—</v>
      </c>
      <c r="E220" s="25">
        <f t="shared" ca="1" si="11"/>
        <v>7</v>
      </c>
    </row>
    <row r="221" spans="1:5" x14ac:dyDescent="0.25">
      <c r="A221" s="8">
        <f t="shared" si="9"/>
        <v>73</v>
      </c>
      <c r="B221" t="str">
        <f ca="1">TEXT(DATE(YEAR(Invoer!$A$5),1,1)+INT((ROWS(B$2:B221)-1)/3),"jjjjmmdd")</f>
        <v>19460315</v>
      </c>
      <c r="C221" s="20" t="str">
        <f>INDEX(Data,2,2+MOD(ROWS(C$2:C221)-1,3))</f>
        <v>08.00</v>
      </c>
      <c r="D221" s="14" t="str">
        <f t="shared" ca="1" si="10"/>
        <v>—</v>
      </c>
      <c r="E221" s="25">
        <f t="shared" ca="1" si="11"/>
        <v>7</v>
      </c>
    </row>
    <row r="222" spans="1:5" x14ac:dyDescent="0.25">
      <c r="A222" s="8">
        <f t="shared" si="9"/>
        <v>73</v>
      </c>
      <c r="B222" t="str">
        <f ca="1">TEXT(DATE(YEAR(Invoer!$A$5),1,1)+INT((ROWS(B$2:B222)-1)/3),"jjjjmmdd")</f>
        <v>19460315</v>
      </c>
      <c r="C222" s="20" t="str">
        <f>INDEX(Data,2,2+MOD(ROWS(C$2:C222)-1,3))</f>
        <v>12.00</v>
      </c>
      <c r="D222" s="14" t="str">
        <f t="shared" ca="1" si="10"/>
        <v>—</v>
      </c>
      <c r="E222" s="25">
        <f t="shared" ca="1" si="11"/>
        <v>7</v>
      </c>
    </row>
    <row r="223" spans="1:5" x14ac:dyDescent="0.25">
      <c r="A223" s="8">
        <f t="shared" si="9"/>
        <v>73</v>
      </c>
      <c r="B223" t="str">
        <f ca="1">TEXT(DATE(YEAR(Invoer!$A$5),1,1)+INT((ROWS(B$2:B223)-1)/3),"jjjjmmdd")</f>
        <v>19460315</v>
      </c>
      <c r="C223" s="20" t="str">
        <f>INDEX(Data,2,2+MOD(ROWS(C$2:C223)-1,3))</f>
        <v>16.00</v>
      </c>
      <c r="D223" s="14" t="str">
        <f t="shared" ca="1" si="10"/>
        <v>—</v>
      </c>
      <c r="E223" s="25">
        <f t="shared" ca="1" si="11"/>
        <v>7</v>
      </c>
    </row>
    <row r="224" spans="1:5" x14ac:dyDescent="0.25">
      <c r="A224" s="8">
        <f t="shared" si="9"/>
        <v>73</v>
      </c>
      <c r="B224" t="str">
        <f ca="1">TEXT(DATE(YEAR(Invoer!$A$5),1,1)+INT((ROWS(B$2:B224)-1)/3),"jjjjmmdd")</f>
        <v>19460316</v>
      </c>
      <c r="C224" s="20" t="str">
        <f>INDEX(Data,2,2+MOD(ROWS(C$2:C224)-1,3))</f>
        <v>08.00</v>
      </c>
      <c r="D224" s="14" t="str">
        <f t="shared" ca="1" si="10"/>
        <v>—</v>
      </c>
      <c r="E224" s="25">
        <f t="shared" ca="1" si="11"/>
        <v>7</v>
      </c>
    </row>
    <row r="225" spans="1:5" x14ac:dyDescent="0.25">
      <c r="A225" s="8">
        <f t="shared" si="9"/>
        <v>73</v>
      </c>
      <c r="B225" t="str">
        <f ca="1">TEXT(DATE(YEAR(Invoer!$A$5),1,1)+INT((ROWS(B$2:B225)-1)/3),"jjjjmmdd")</f>
        <v>19460316</v>
      </c>
      <c r="C225" s="20" t="str">
        <f>INDEX(Data,2,2+MOD(ROWS(C$2:C225)-1,3))</f>
        <v>12.00</v>
      </c>
      <c r="D225" s="14" t="str">
        <f t="shared" ca="1" si="10"/>
        <v>—</v>
      </c>
      <c r="E225" s="25">
        <f t="shared" ca="1" si="11"/>
        <v>7</v>
      </c>
    </row>
    <row r="226" spans="1:5" x14ac:dyDescent="0.25">
      <c r="A226" s="8">
        <f t="shared" si="9"/>
        <v>73</v>
      </c>
      <c r="B226" t="str">
        <f ca="1">TEXT(DATE(YEAR(Invoer!$A$5),1,1)+INT((ROWS(B$2:B226)-1)/3),"jjjjmmdd")</f>
        <v>19460316</v>
      </c>
      <c r="C226" s="20" t="str">
        <f>INDEX(Data,2,2+MOD(ROWS(C$2:C226)-1,3))</f>
        <v>16.00</v>
      </c>
      <c r="D226" s="14" t="str">
        <f t="shared" ca="1" si="10"/>
        <v>—</v>
      </c>
      <c r="E226" s="25">
        <f t="shared" ca="1" si="11"/>
        <v>7</v>
      </c>
    </row>
    <row r="227" spans="1:5" x14ac:dyDescent="0.25">
      <c r="A227" s="8">
        <f t="shared" si="9"/>
        <v>73</v>
      </c>
      <c r="B227" t="str">
        <f ca="1">TEXT(DATE(YEAR(Invoer!$A$5),1,1)+INT((ROWS(B$2:B227)-1)/3),"jjjjmmdd")</f>
        <v>19460317</v>
      </c>
      <c r="C227" s="20" t="str">
        <f>INDEX(Data,2,2+MOD(ROWS(C$2:C227)-1,3))</f>
        <v>08.00</v>
      </c>
      <c r="D227" s="14" t="str">
        <f t="shared" ca="1" si="10"/>
        <v>—</v>
      </c>
      <c r="E227" s="25">
        <f t="shared" ca="1" si="11"/>
        <v>7</v>
      </c>
    </row>
    <row r="228" spans="1:5" x14ac:dyDescent="0.25">
      <c r="A228" s="8">
        <f t="shared" si="9"/>
        <v>73</v>
      </c>
      <c r="B228" t="str">
        <f ca="1">TEXT(DATE(YEAR(Invoer!$A$5),1,1)+INT((ROWS(B$2:B228)-1)/3),"jjjjmmdd")</f>
        <v>19460317</v>
      </c>
      <c r="C228" s="20" t="str">
        <f>INDEX(Data,2,2+MOD(ROWS(C$2:C228)-1,3))</f>
        <v>12.00</v>
      </c>
      <c r="D228" s="14" t="str">
        <f t="shared" ca="1" si="10"/>
        <v>—</v>
      </c>
      <c r="E228" s="25">
        <f t="shared" ca="1" si="11"/>
        <v>7</v>
      </c>
    </row>
    <row r="229" spans="1:5" x14ac:dyDescent="0.25">
      <c r="A229" s="8">
        <f t="shared" si="9"/>
        <v>73</v>
      </c>
      <c r="B229" t="str">
        <f ca="1">TEXT(DATE(YEAR(Invoer!$A$5),1,1)+INT((ROWS(B$2:B229)-1)/3),"jjjjmmdd")</f>
        <v>19460317</v>
      </c>
      <c r="C229" s="20" t="str">
        <f>INDEX(Data,2,2+MOD(ROWS(C$2:C229)-1,3))</f>
        <v>16.00</v>
      </c>
      <c r="D229" s="14" t="str">
        <f t="shared" ca="1" si="10"/>
        <v>—</v>
      </c>
      <c r="E229" s="25">
        <f t="shared" ca="1" si="11"/>
        <v>7</v>
      </c>
    </row>
    <row r="230" spans="1:5" x14ac:dyDescent="0.25">
      <c r="A230" s="8">
        <f t="shared" si="9"/>
        <v>73</v>
      </c>
      <c r="B230" t="str">
        <f ca="1">TEXT(DATE(YEAR(Invoer!$A$5),1,1)+INT((ROWS(B$2:B230)-1)/3),"jjjjmmdd")</f>
        <v>19460318</v>
      </c>
      <c r="C230" s="20" t="str">
        <f>INDEX(Data,2,2+MOD(ROWS(C$2:C230)-1,3))</f>
        <v>08.00</v>
      </c>
      <c r="D230" s="14" t="str">
        <f t="shared" ca="1" si="10"/>
        <v>—</v>
      </c>
      <c r="E230" s="25">
        <f t="shared" ca="1" si="11"/>
        <v>7</v>
      </c>
    </row>
    <row r="231" spans="1:5" x14ac:dyDescent="0.25">
      <c r="A231" s="8">
        <f t="shared" si="9"/>
        <v>73</v>
      </c>
      <c r="B231" t="str">
        <f ca="1">TEXT(DATE(YEAR(Invoer!$A$5),1,1)+INT((ROWS(B$2:B231)-1)/3),"jjjjmmdd")</f>
        <v>19460318</v>
      </c>
      <c r="C231" s="20" t="str">
        <f>INDEX(Data,2,2+MOD(ROWS(C$2:C231)-1,3))</f>
        <v>12.00</v>
      </c>
      <c r="D231" s="14" t="str">
        <f t="shared" ca="1" si="10"/>
        <v>—</v>
      </c>
      <c r="E231" s="25">
        <f t="shared" ca="1" si="11"/>
        <v>7</v>
      </c>
    </row>
    <row r="232" spans="1:5" x14ac:dyDescent="0.25">
      <c r="A232" s="8">
        <f t="shared" si="9"/>
        <v>73</v>
      </c>
      <c r="B232" t="str">
        <f ca="1">TEXT(DATE(YEAR(Invoer!$A$5),1,1)+INT((ROWS(B$2:B232)-1)/3),"jjjjmmdd")</f>
        <v>19460318</v>
      </c>
      <c r="C232" s="20" t="str">
        <f>INDEX(Data,2,2+MOD(ROWS(C$2:C232)-1,3))</f>
        <v>16.00</v>
      </c>
      <c r="D232" s="14" t="str">
        <f t="shared" ca="1" si="10"/>
        <v>—</v>
      </c>
      <c r="E232" s="25">
        <f t="shared" ca="1" si="11"/>
        <v>7</v>
      </c>
    </row>
    <row r="233" spans="1:5" x14ac:dyDescent="0.25">
      <c r="A233" s="8">
        <f t="shared" si="9"/>
        <v>73</v>
      </c>
      <c r="B233" t="str">
        <f ca="1">TEXT(DATE(YEAR(Invoer!$A$5),1,1)+INT((ROWS(B$2:B233)-1)/3),"jjjjmmdd")</f>
        <v>19460319</v>
      </c>
      <c r="C233" s="20" t="str">
        <f>INDEX(Data,2,2+MOD(ROWS(C$2:C233)-1,3))</f>
        <v>08.00</v>
      </c>
      <c r="D233" s="14" t="str">
        <f t="shared" ca="1" si="10"/>
        <v>—</v>
      </c>
      <c r="E233" s="25">
        <f t="shared" ca="1" si="11"/>
        <v>7</v>
      </c>
    </row>
    <row r="234" spans="1:5" x14ac:dyDescent="0.25">
      <c r="A234" s="8">
        <f t="shared" si="9"/>
        <v>73</v>
      </c>
      <c r="B234" t="str">
        <f ca="1">TEXT(DATE(YEAR(Invoer!$A$5),1,1)+INT((ROWS(B$2:B234)-1)/3),"jjjjmmdd")</f>
        <v>19460319</v>
      </c>
      <c r="C234" s="20" t="str">
        <f>INDEX(Data,2,2+MOD(ROWS(C$2:C234)-1,3))</f>
        <v>12.00</v>
      </c>
      <c r="D234" s="14" t="str">
        <f t="shared" ca="1" si="10"/>
        <v>—</v>
      </c>
      <c r="E234" s="25">
        <f t="shared" ca="1" si="11"/>
        <v>7</v>
      </c>
    </row>
    <row r="235" spans="1:5" x14ac:dyDescent="0.25">
      <c r="A235" s="8">
        <f t="shared" si="9"/>
        <v>73</v>
      </c>
      <c r="B235" t="str">
        <f ca="1">TEXT(DATE(YEAR(Invoer!$A$5),1,1)+INT((ROWS(B$2:B235)-1)/3),"jjjjmmdd")</f>
        <v>19460319</v>
      </c>
      <c r="C235" s="20" t="str">
        <f>INDEX(Data,2,2+MOD(ROWS(C$2:C235)-1,3))</f>
        <v>16.00</v>
      </c>
      <c r="D235" s="14" t="str">
        <f t="shared" ca="1" si="10"/>
        <v>—</v>
      </c>
      <c r="E235" s="25">
        <f t="shared" ca="1" si="11"/>
        <v>7</v>
      </c>
    </row>
    <row r="236" spans="1:5" x14ac:dyDescent="0.25">
      <c r="A236" s="8">
        <f t="shared" si="9"/>
        <v>73</v>
      </c>
      <c r="B236" t="str">
        <f ca="1">TEXT(DATE(YEAR(Invoer!$A$5),1,1)+INT((ROWS(B$2:B236)-1)/3),"jjjjmmdd")</f>
        <v>19460320</v>
      </c>
      <c r="C236" s="20" t="str">
        <f>INDEX(Data,2,2+MOD(ROWS(C$2:C236)-1,3))</f>
        <v>08.00</v>
      </c>
      <c r="D236" s="14" t="str">
        <f t="shared" ca="1" si="10"/>
        <v>—</v>
      </c>
      <c r="E236" s="25">
        <f t="shared" ca="1" si="11"/>
        <v>7</v>
      </c>
    </row>
    <row r="237" spans="1:5" x14ac:dyDescent="0.25">
      <c r="A237" s="8">
        <f t="shared" si="9"/>
        <v>73</v>
      </c>
      <c r="B237" t="str">
        <f ca="1">TEXT(DATE(YEAR(Invoer!$A$5),1,1)+INT((ROWS(B$2:B237)-1)/3),"jjjjmmdd")</f>
        <v>19460320</v>
      </c>
      <c r="C237" s="20" t="str">
        <f>INDEX(Data,2,2+MOD(ROWS(C$2:C237)-1,3))</f>
        <v>12.00</v>
      </c>
      <c r="D237" s="14" t="str">
        <f t="shared" ca="1" si="10"/>
        <v>—</v>
      </c>
      <c r="E237" s="25">
        <f t="shared" ca="1" si="11"/>
        <v>7</v>
      </c>
    </row>
    <row r="238" spans="1:5" x14ac:dyDescent="0.25">
      <c r="A238" s="8">
        <f t="shared" si="9"/>
        <v>73</v>
      </c>
      <c r="B238" t="str">
        <f ca="1">TEXT(DATE(YEAR(Invoer!$A$5),1,1)+INT((ROWS(B$2:B238)-1)/3),"jjjjmmdd")</f>
        <v>19460320</v>
      </c>
      <c r="C238" s="20" t="str">
        <f>INDEX(Data,2,2+MOD(ROWS(C$2:C238)-1,3))</f>
        <v>16.00</v>
      </c>
      <c r="D238" s="14" t="str">
        <f t="shared" ca="1" si="10"/>
        <v>—</v>
      </c>
      <c r="E238" s="25">
        <f t="shared" ca="1" si="11"/>
        <v>7</v>
      </c>
    </row>
    <row r="239" spans="1:5" x14ac:dyDescent="0.25">
      <c r="A239" s="8">
        <f t="shared" si="9"/>
        <v>73</v>
      </c>
      <c r="B239" t="str">
        <f ca="1">TEXT(DATE(YEAR(Invoer!$A$5),1,1)+INT((ROWS(B$2:B239)-1)/3),"jjjjmmdd")</f>
        <v>19460321</v>
      </c>
      <c r="C239" s="20" t="str">
        <f>INDEX(Data,2,2+MOD(ROWS(C$2:C239)-1,3))</f>
        <v>08.00</v>
      </c>
      <c r="D239" s="14" t="str">
        <f t="shared" ca="1" si="10"/>
        <v>—</v>
      </c>
      <c r="E239" s="25">
        <f t="shared" ca="1" si="11"/>
        <v>7</v>
      </c>
    </row>
    <row r="240" spans="1:5" x14ac:dyDescent="0.25">
      <c r="A240" s="8">
        <f t="shared" si="9"/>
        <v>73</v>
      </c>
      <c r="B240" t="str">
        <f ca="1">TEXT(DATE(YEAR(Invoer!$A$5),1,1)+INT((ROWS(B$2:B240)-1)/3),"jjjjmmdd")</f>
        <v>19460321</v>
      </c>
      <c r="C240" s="20" t="str">
        <f>INDEX(Data,2,2+MOD(ROWS(C$2:C240)-1,3))</f>
        <v>12.00</v>
      </c>
      <c r="D240" s="14" t="str">
        <f t="shared" ca="1" si="10"/>
        <v>—</v>
      </c>
      <c r="E240" s="25">
        <f t="shared" ca="1" si="11"/>
        <v>7</v>
      </c>
    </row>
    <row r="241" spans="1:5" x14ac:dyDescent="0.25">
      <c r="A241" s="8">
        <f t="shared" si="9"/>
        <v>73</v>
      </c>
      <c r="B241" t="str">
        <f ca="1">TEXT(DATE(YEAR(Invoer!$A$5),1,1)+INT((ROWS(B$2:B241)-1)/3),"jjjjmmdd")</f>
        <v>19460321</v>
      </c>
      <c r="C241" s="20" t="str">
        <f>INDEX(Data,2,2+MOD(ROWS(C$2:C241)-1,3))</f>
        <v>16.00</v>
      </c>
      <c r="D241" s="14" t="str">
        <f t="shared" ca="1" si="10"/>
        <v>—</v>
      </c>
      <c r="E241" s="25">
        <f t="shared" ca="1" si="11"/>
        <v>7</v>
      </c>
    </row>
    <row r="242" spans="1:5" x14ac:dyDescent="0.25">
      <c r="A242" s="8">
        <f t="shared" si="9"/>
        <v>73</v>
      </c>
      <c r="B242" t="str">
        <f ca="1">TEXT(DATE(YEAR(Invoer!$A$5),1,1)+INT((ROWS(B$2:B242)-1)/3),"jjjjmmdd")</f>
        <v>19460322</v>
      </c>
      <c r="C242" s="20" t="str">
        <f>INDEX(Data,2,2+MOD(ROWS(C$2:C242)-1,3))</f>
        <v>08.00</v>
      </c>
      <c r="D242" s="14" t="str">
        <f t="shared" ca="1" si="10"/>
        <v>—</v>
      </c>
      <c r="E242" s="25">
        <f t="shared" ca="1" si="11"/>
        <v>7</v>
      </c>
    </row>
    <row r="243" spans="1:5" x14ac:dyDescent="0.25">
      <c r="A243" s="8">
        <f t="shared" si="9"/>
        <v>73</v>
      </c>
      <c r="B243" t="str">
        <f ca="1">TEXT(DATE(YEAR(Invoer!$A$5),1,1)+INT((ROWS(B$2:B243)-1)/3),"jjjjmmdd")</f>
        <v>19460322</v>
      </c>
      <c r="C243" s="20" t="str">
        <f>INDEX(Data,2,2+MOD(ROWS(C$2:C243)-1,3))</f>
        <v>12.00</v>
      </c>
      <c r="D243" s="14" t="str">
        <f t="shared" ca="1" si="10"/>
        <v>—</v>
      </c>
      <c r="E243" s="25">
        <f t="shared" ca="1" si="11"/>
        <v>7</v>
      </c>
    </row>
    <row r="244" spans="1:5" x14ac:dyDescent="0.25">
      <c r="A244" s="8">
        <f t="shared" si="9"/>
        <v>73</v>
      </c>
      <c r="B244" t="str">
        <f ca="1">TEXT(DATE(YEAR(Invoer!$A$5),1,1)+INT((ROWS(B$2:B244)-1)/3),"jjjjmmdd")</f>
        <v>19460322</v>
      </c>
      <c r="C244" s="20" t="str">
        <f>INDEX(Data,2,2+MOD(ROWS(C$2:C244)-1,3))</f>
        <v>16.00</v>
      </c>
      <c r="D244" s="14" t="str">
        <f t="shared" ca="1" si="10"/>
        <v>—</v>
      </c>
      <c r="E244" s="25">
        <f t="shared" ca="1" si="11"/>
        <v>7</v>
      </c>
    </row>
    <row r="245" spans="1:5" x14ac:dyDescent="0.25">
      <c r="A245" s="8">
        <f t="shared" si="9"/>
        <v>73</v>
      </c>
      <c r="B245" t="str">
        <f ca="1">TEXT(DATE(YEAR(Invoer!$A$5),1,1)+INT((ROWS(B$2:B245)-1)/3),"jjjjmmdd")</f>
        <v>19460323</v>
      </c>
      <c r="C245" s="20" t="str">
        <f>INDEX(Data,2,2+MOD(ROWS(C$2:C245)-1,3))</f>
        <v>08.00</v>
      </c>
      <c r="D245" s="14" t="str">
        <f t="shared" ca="1" si="10"/>
        <v>—</v>
      </c>
      <c r="E245" s="25">
        <f t="shared" ca="1" si="11"/>
        <v>7</v>
      </c>
    </row>
    <row r="246" spans="1:5" x14ac:dyDescent="0.25">
      <c r="A246" s="8">
        <f t="shared" si="9"/>
        <v>73</v>
      </c>
      <c r="B246" t="str">
        <f ca="1">TEXT(DATE(YEAR(Invoer!$A$5),1,1)+INT((ROWS(B$2:B246)-1)/3),"jjjjmmdd")</f>
        <v>19460323</v>
      </c>
      <c r="C246" s="20" t="str">
        <f>INDEX(Data,2,2+MOD(ROWS(C$2:C246)-1,3))</f>
        <v>12.00</v>
      </c>
      <c r="D246" s="14" t="str">
        <f t="shared" ca="1" si="10"/>
        <v>—</v>
      </c>
      <c r="E246" s="25">
        <f t="shared" ca="1" si="11"/>
        <v>7</v>
      </c>
    </row>
    <row r="247" spans="1:5" x14ac:dyDescent="0.25">
      <c r="A247" s="8">
        <f t="shared" si="9"/>
        <v>73</v>
      </c>
      <c r="B247" t="str">
        <f ca="1">TEXT(DATE(YEAR(Invoer!$A$5),1,1)+INT((ROWS(B$2:B247)-1)/3),"jjjjmmdd")</f>
        <v>19460323</v>
      </c>
      <c r="C247" s="20" t="str">
        <f>INDEX(Data,2,2+MOD(ROWS(C$2:C247)-1,3))</f>
        <v>16.00</v>
      </c>
      <c r="D247" s="14" t="str">
        <f t="shared" ca="1" si="10"/>
        <v>—</v>
      </c>
      <c r="E247" s="25">
        <f t="shared" ca="1" si="11"/>
        <v>7</v>
      </c>
    </row>
    <row r="248" spans="1:5" x14ac:dyDescent="0.25">
      <c r="A248" s="8">
        <f t="shared" si="9"/>
        <v>73</v>
      </c>
      <c r="B248" t="str">
        <f ca="1">TEXT(DATE(YEAR(Invoer!$A$5),1,1)+INT((ROWS(B$2:B248)-1)/3),"jjjjmmdd")</f>
        <v>19460324</v>
      </c>
      <c r="C248" s="20" t="str">
        <f>INDEX(Data,2,2+MOD(ROWS(C$2:C248)-1,3))</f>
        <v>08.00</v>
      </c>
      <c r="D248" s="14" t="str">
        <f t="shared" ca="1" si="10"/>
        <v>—</v>
      </c>
      <c r="E248" s="25">
        <f t="shared" ca="1" si="11"/>
        <v>7</v>
      </c>
    </row>
    <row r="249" spans="1:5" x14ac:dyDescent="0.25">
      <c r="A249" s="8">
        <f t="shared" si="9"/>
        <v>73</v>
      </c>
      <c r="B249" t="str">
        <f ca="1">TEXT(DATE(YEAR(Invoer!$A$5),1,1)+INT((ROWS(B$2:B249)-1)/3),"jjjjmmdd")</f>
        <v>19460324</v>
      </c>
      <c r="C249" s="20" t="str">
        <f>INDEX(Data,2,2+MOD(ROWS(C$2:C249)-1,3))</f>
        <v>12.00</v>
      </c>
      <c r="D249" s="14" t="str">
        <f t="shared" ca="1" si="10"/>
        <v>—</v>
      </c>
      <c r="E249" s="25">
        <f t="shared" ca="1" si="11"/>
        <v>7</v>
      </c>
    </row>
    <row r="250" spans="1:5" x14ac:dyDescent="0.25">
      <c r="A250" s="8">
        <f t="shared" si="9"/>
        <v>73</v>
      </c>
      <c r="B250" t="str">
        <f ca="1">TEXT(DATE(YEAR(Invoer!$A$5),1,1)+INT((ROWS(B$2:B250)-1)/3),"jjjjmmdd")</f>
        <v>19460324</v>
      </c>
      <c r="C250" s="20" t="str">
        <f>INDEX(Data,2,2+MOD(ROWS(C$2:C250)-1,3))</f>
        <v>16.00</v>
      </c>
      <c r="D250" s="14" t="str">
        <f t="shared" ca="1" si="10"/>
        <v>—</v>
      </c>
      <c r="E250" s="25">
        <f t="shared" ca="1" si="11"/>
        <v>7</v>
      </c>
    </row>
    <row r="251" spans="1:5" x14ac:dyDescent="0.25">
      <c r="A251" s="8">
        <f t="shared" si="9"/>
        <v>73</v>
      </c>
      <c r="B251" t="str">
        <f ca="1">TEXT(DATE(YEAR(Invoer!$A$5),1,1)+INT((ROWS(B$2:B251)-1)/3),"jjjjmmdd")</f>
        <v>19460325</v>
      </c>
      <c r="C251" s="20" t="str">
        <f>INDEX(Data,2,2+MOD(ROWS(C$2:C251)-1,3))</f>
        <v>08.00</v>
      </c>
      <c r="D251" s="14" t="str">
        <f t="shared" ca="1" si="10"/>
        <v>—</v>
      </c>
      <c r="E251" s="25">
        <f t="shared" ca="1" si="11"/>
        <v>7</v>
      </c>
    </row>
    <row r="252" spans="1:5" x14ac:dyDescent="0.25">
      <c r="A252" s="8">
        <f t="shared" si="9"/>
        <v>73</v>
      </c>
      <c r="B252" t="str">
        <f ca="1">TEXT(DATE(YEAR(Invoer!$A$5),1,1)+INT((ROWS(B$2:B252)-1)/3),"jjjjmmdd")</f>
        <v>19460325</v>
      </c>
      <c r="C252" s="20" t="str">
        <f>INDEX(Data,2,2+MOD(ROWS(C$2:C252)-1,3))</f>
        <v>12.00</v>
      </c>
      <c r="D252" s="14" t="str">
        <f t="shared" ca="1" si="10"/>
        <v>—</v>
      </c>
      <c r="E252" s="25">
        <f t="shared" ca="1" si="11"/>
        <v>7</v>
      </c>
    </row>
    <row r="253" spans="1:5" x14ac:dyDescent="0.25">
      <c r="A253" s="8">
        <f t="shared" si="9"/>
        <v>73</v>
      </c>
      <c r="B253" t="str">
        <f ca="1">TEXT(DATE(YEAR(Invoer!$A$5),1,1)+INT((ROWS(B$2:B253)-1)/3),"jjjjmmdd")</f>
        <v>19460325</v>
      </c>
      <c r="C253" s="20" t="str">
        <f>INDEX(Data,2,2+MOD(ROWS(C$2:C253)-1,3))</f>
        <v>16.00</v>
      </c>
      <c r="D253" s="14" t="str">
        <f t="shared" ca="1" si="10"/>
        <v>—</v>
      </c>
      <c r="E253" s="25">
        <f t="shared" ca="1" si="11"/>
        <v>7</v>
      </c>
    </row>
    <row r="254" spans="1:5" x14ac:dyDescent="0.25">
      <c r="A254" s="8">
        <f t="shared" si="9"/>
        <v>73</v>
      </c>
      <c r="B254" t="str">
        <f ca="1">TEXT(DATE(YEAR(Invoer!$A$5),1,1)+INT((ROWS(B$2:B254)-1)/3),"jjjjmmdd")</f>
        <v>19460326</v>
      </c>
      <c r="C254" s="20" t="str">
        <f>INDEX(Data,2,2+MOD(ROWS(C$2:C254)-1,3))</f>
        <v>08.00</v>
      </c>
      <c r="D254" s="14" t="str">
        <f t="shared" ca="1" si="10"/>
        <v>—</v>
      </c>
      <c r="E254" s="25">
        <f t="shared" ca="1" si="11"/>
        <v>7</v>
      </c>
    </row>
    <row r="255" spans="1:5" x14ac:dyDescent="0.25">
      <c r="A255" s="8">
        <f t="shared" si="9"/>
        <v>73</v>
      </c>
      <c r="B255" t="str">
        <f ca="1">TEXT(DATE(YEAR(Invoer!$A$5),1,1)+INT((ROWS(B$2:B255)-1)/3),"jjjjmmdd")</f>
        <v>19460326</v>
      </c>
      <c r="C255" s="20" t="str">
        <f>INDEX(Data,2,2+MOD(ROWS(C$2:C255)-1,3))</f>
        <v>12.00</v>
      </c>
      <c r="D255" s="14" t="str">
        <f t="shared" ca="1" si="10"/>
        <v>—</v>
      </c>
      <c r="E255" s="25">
        <f t="shared" ca="1" si="11"/>
        <v>7</v>
      </c>
    </row>
    <row r="256" spans="1:5" x14ac:dyDescent="0.25">
      <c r="A256" s="8">
        <f t="shared" si="9"/>
        <v>73</v>
      </c>
      <c r="B256" t="str">
        <f ca="1">TEXT(DATE(YEAR(Invoer!$A$5),1,1)+INT((ROWS(B$2:B256)-1)/3),"jjjjmmdd")</f>
        <v>19460326</v>
      </c>
      <c r="C256" s="20" t="str">
        <f>INDEX(Data,2,2+MOD(ROWS(C$2:C256)-1,3))</f>
        <v>16.00</v>
      </c>
      <c r="D256" s="14" t="str">
        <f t="shared" ca="1" si="10"/>
        <v>—</v>
      </c>
      <c r="E256" s="25">
        <f t="shared" ca="1" si="11"/>
        <v>7</v>
      </c>
    </row>
    <row r="257" spans="1:5" x14ac:dyDescent="0.25">
      <c r="A257" s="8">
        <f t="shared" si="9"/>
        <v>73</v>
      </c>
      <c r="B257" t="str">
        <f ca="1">TEXT(DATE(YEAR(Invoer!$A$5),1,1)+INT((ROWS(B$2:B257)-1)/3),"jjjjmmdd")</f>
        <v>19460327</v>
      </c>
      <c r="C257" s="20" t="str">
        <f>INDEX(Data,2,2+MOD(ROWS(C$2:C257)-1,3))</f>
        <v>08.00</v>
      </c>
      <c r="D257" s="14" t="str">
        <f t="shared" ca="1" si="10"/>
        <v>—</v>
      </c>
      <c r="E257" s="25">
        <f t="shared" ca="1" si="11"/>
        <v>7</v>
      </c>
    </row>
    <row r="258" spans="1:5" x14ac:dyDescent="0.25">
      <c r="A258" s="8">
        <f t="shared" ref="A258:A321" si="12">INDEX(Stations,2,1)</f>
        <v>73</v>
      </c>
      <c r="B258" t="str">
        <f ca="1">TEXT(DATE(YEAR(Invoer!$A$5),1,1)+INT((ROWS(B$2:B258)-1)/3),"jjjjmmdd")</f>
        <v>19460327</v>
      </c>
      <c r="C258" s="20" t="str">
        <f>INDEX(Data,2,2+MOD(ROWS(C$2:C258)-1,3))</f>
        <v>12.00</v>
      </c>
      <c r="D258" s="14" t="str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25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</row>
    <row r="259" spans="1:5" x14ac:dyDescent="0.25">
      <c r="A259" s="8">
        <f t="shared" si="12"/>
        <v>73</v>
      </c>
      <c r="B259" t="str">
        <f ca="1">TEXT(DATE(YEAR(Invoer!$A$5),1,1)+INT((ROWS(B$2:B259)-1)/3),"jjjjmmdd")</f>
        <v>19460327</v>
      </c>
      <c r="C259" s="20" t="str">
        <f>INDEX(Data,2,2+MOD(ROWS(C$2:C259)-1,3))</f>
        <v>16.00</v>
      </c>
      <c r="D259" s="14" t="str">
        <f t="shared" ca="1" si="13"/>
        <v>—</v>
      </c>
      <c r="E259" s="25">
        <f t="shared" ca="1" si="14"/>
        <v>7</v>
      </c>
    </row>
    <row r="260" spans="1:5" x14ac:dyDescent="0.25">
      <c r="A260" s="8">
        <f t="shared" si="12"/>
        <v>73</v>
      </c>
      <c r="B260" t="str">
        <f ca="1">TEXT(DATE(YEAR(Invoer!$A$5),1,1)+INT((ROWS(B$2:B260)-1)/3),"jjjjmmdd")</f>
        <v>19460328</v>
      </c>
      <c r="C260" s="20" t="str">
        <f>INDEX(Data,2,2+MOD(ROWS(C$2:C260)-1,3))</f>
        <v>08.00</v>
      </c>
      <c r="D260" s="14" t="str">
        <f t="shared" ca="1" si="13"/>
        <v>—</v>
      </c>
      <c r="E260" s="25">
        <f t="shared" ca="1" si="14"/>
        <v>7</v>
      </c>
    </row>
    <row r="261" spans="1:5" x14ac:dyDescent="0.25">
      <c r="A261" s="8">
        <f t="shared" si="12"/>
        <v>73</v>
      </c>
      <c r="B261" t="str">
        <f ca="1">TEXT(DATE(YEAR(Invoer!$A$5),1,1)+INT((ROWS(B$2:B261)-1)/3),"jjjjmmdd")</f>
        <v>19460328</v>
      </c>
      <c r="C261" s="20" t="str">
        <f>INDEX(Data,2,2+MOD(ROWS(C$2:C261)-1,3))</f>
        <v>12.00</v>
      </c>
      <c r="D261" s="14" t="str">
        <f t="shared" ca="1" si="13"/>
        <v>—</v>
      </c>
      <c r="E261" s="25">
        <f t="shared" ca="1" si="14"/>
        <v>7</v>
      </c>
    </row>
    <row r="262" spans="1:5" x14ac:dyDescent="0.25">
      <c r="A262" s="8">
        <f t="shared" si="12"/>
        <v>73</v>
      </c>
      <c r="B262" t="str">
        <f ca="1">TEXT(DATE(YEAR(Invoer!$A$5),1,1)+INT((ROWS(B$2:B262)-1)/3),"jjjjmmdd")</f>
        <v>19460328</v>
      </c>
      <c r="C262" s="20" t="str">
        <f>INDEX(Data,2,2+MOD(ROWS(C$2:C262)-1,3))</f>
        <v>16.00</v>
      </c>
      <c r="D262" s="14" t="str">
        <f t="shared" ca="1" si="13"/>
        <v>—</v>
      </c>
      <c r="E262" s="25">
        <f t="shared" ca="1" si="14"/>
        <v>7</v>
      </c>
    </row>
    <row r="263" spans="1:5" x14ac:dyDescent="0.25">
      <c r="A263" s="8">
        <f t="shared" si="12"/>
        <v>73</v>
      </c>
      <c r="B263" t="str">
        <f ca="1">TEXT(DATE(YEAR(Invoer!$A$5),1,1)+INT((ROWS(B$2:B263)-1)/3),"jjjjmmdd")</f>
        <v>19460329</v>
      </c>
      <c r="C263" s="20" t="str">
        <f>INDEX(Data,2,2+MOD(ROWS(C$2:C263)-1,3))</f>
        <v>08.00</v>
      </c>
      <c r="D263" s="14" t="str">
        <f t="shared" ca="1" si="13"/>
        <v>—</v>
      </c>
      <c r="E263" s="25">
        <f t="shared" ca="1" si="14"/>
        <v>7</v>
      </c>
    </row>
    <row r="264" spans="1:5" x14ac:dyDescent="0.25">
      <c r="A264" s="8">
        <f t="shared" si="12"/>
        <v>73</v>
      </c>
      <c r="B264" t="str">
        <f ca="1">TEXT(DATE(YEAR(Invoer!$A$5),1,1)+INT((ROWS(B$2:B264)-1)/3),"jjjjmmdd")</f>
        <v>19460329</v>
      </c>
      <c r="C264" s="20" t="str">
        <f>INDEX(Data,2,2+MOD(ROWS(C$2:C264)-1,3))</f>
        <v>12.00</v>
      </c>
      <c r="D264" s="14" t="str">
        <f t="shared" ca="1" si="13"/>
        <v>—</v>
      </c>
      <c r="E264" s="25">
        <f t="shared" ca="1" si="14"/>
        <v>7</v>
      </c>
    </row>
    <row r="265" spans="1:5" x14ac:dyDescent="0.25">
      <c r="A265" s="8">
        <f t="shared" si="12"/>
        <v>73</v>
      </c>
      <c r="B265" t="str">
        <f ca="1">TEXT(DATE(YEAR(Invoer!$A$5),1,1)+INT((ROWS(B$2:B265)-1)/3),"jjjjmmdd")</f>
        <v>19460329</v>
      </c>
      <c r="C265" s="20" t="str">
        <f>INDEX(Data,2,2+MOD(ROWS(C$2:C265)-1,3))</f>
        <v>16.00</v>
      </c>
      <c r="D265" s="14" t="str">
        <f t="shared" ca="1" si="13"/>
        <v>—</v>
      </c>
      <c r="E265" s="25">
        <f t="shared" ca="1" si="14"/>
        <v>7</v>
      </c>
    </row>
    <row r="266" spans="1:5" x14ac:dyDescent="0.25">
      <c r="A266" s="8">
        <f t="shared" si="12"/>
        <v>73</v>
      </c>
      <c r="B266" t="str">
        <f ca="1">TEXT(DATE(YEAR(Invoer!$A$5),1,1)+INT((ROWS(B$2:B266)-1)/3),"jjjjmmdd")</f>
        <v>19460330</v>
      </c>
      <c r="C266" s="20" t="str">
        <f>INDEX(Data,2,2+MOD(ROWS(C$2:C266)-1,3))</f>
        <v>08.00</v>
      </c>
      <c r="D266" s="14" t="str">
        <f t="shared" ca="1" si="13"/>
        <v>—</v>
      </c>
      <c r="E266" s="25">
        <f t="shared" ca="1" si="14"/>
        <v>7</v>
      </c>
    </row>
    <row r="267" spans="1:5" x14ac:dyDescent="0.25">
      <c r="A267" s="8">
        <f t="shared" si="12"/>
        <v>73</v>
      </c>
      <c r="B267" t="str">
        <f ca="1">TEXT(DATE(YEAR(Invoer!$A$5),1,1)+INT((ROWS(B$2:B267)-1)/3),"jjjjmmdd")</f>
        <v>19460330</v>
      </c>
      <c r="C267" s="20" t="str">
        <f>INDEX(Data,2,2+MOD(ROWS(C$2:C267)-1,3))</f>
        <v>12.00</v>
      </c>
      <c r="D267" s="14" t="str">
        <f t="shared" ca="1" si="13"/>
        <v>—</v>
      </c>
      <c r="E267" s="25">
        <f t="shared" ca="1" si="14"/>
        <v>7</v>
      </c>
    </row>
    <row r="268" spans="1:5" x14ac:dyDescent="0.25">
      <c r="A268" s="8">
        <f t="shared" si="12"/>
        <v>73</v>
      </c>
      <c r="B268" t="str">
        <f ca="1">TEXT(DATE(YEAR(Invoer!$A$5),1,1)+INT((ROWS(B$2:B268)-1)/3),"jjjjmmdd")</f>
        <v>19460330</v>
      </c>
      <c r="C268" s="20" t="str">
        <f>INDEX(Data,2,2+MOD(ROWS(C$2:C268)-1,3))</f>
        <v>16.00</v>
      </c>
      <c r="D268" s="14" t="str">
        <f t="shared" ca="1" si="13"/>
        <v>—</v>
      </c>
      <c r="E268" s="25">
        <f t="shared" ca="1" si="14"/>
        <v>7</v>
      </c>
    </row>
    <row r="269" spans="1:5" x14ac:dyDescent="0.25">
      <c r="A269" s="8">
        <f t="shared" si="12"/>
        <v>73</v>
      </c>
      <c r="B269" t="str">
        <f ca="1">TEXT(DATE(YEAR(Invoer!$A$5),1,1)+INT((ROWS(B$2:B269)-1)/3),"jjjjmmdd")</f>
        <v>19460331</v>
      </c>
      <c r="C269" s="20" t="str">
        <f>INDEX(Data,2,2+MOD(ROWS(C$2:C269)-1,3))</f>
        <v>08.00</v>
      </c>
      <c r="D269" s="14" t="str">
        <f t="shared" ca="1" si="13"/>
        <v>—</v>
      </c>
      <c r="E269" s="25">
        <f t="shared" ca="1" si="14"/>
        <v>7</v>
      </c>
    </row>
    <row r="270" spans="1:5" x14ac:dyDescent="0.25">
      <c r="A270" s="8">
        <f t="shared" si="12"/>
        <v>73</v>
      </c>
      <c r="B270" t="str">
        <f ca="1">TEXT(DATE(YEAR(Invoer!$A$5),1,1)+INT((ROWS(B$2:B270)-1)/3),"jjjjmmdd")</f>
        <v>19460331</v>
      </c>
      <c r="C270" s="20" t="str">
        <f>INDEX(Data,2,2+MOD(ROWS(C$2:C270)-1,3))</f>
        <v>12.00</v>
      </c>
      <c r="D270" s="14" t="str">
        <f t="shared" ca="1" si="13"/>
        <v>—</v>
      </c>
      <c r="E270" s="25">
        <f t="shared" ca="1" si="14"/>
        <v>7</v>
      </c>
    </row>
    <row r="271" spans="1:5" x14ac:dyDescent="0.25">
      <c r="A271" s="8">
        <f t="shared" si="12"/>
        <v>73</v>
      </c>
      <c r="B271" t="str">
        <f ca="1">TEXT(DATE(YEAR(Invoer!$A$5),1,1)+INT((ROWS(B$2:B271)-1)/3),"jjjjmmdd")</f>
        <v>19460331</v>
      </c>
      <c r="C271" s="20" t="str">
        <f>INDEX(Data,2,2+MOD(ROWS(C$2:C271)-1,3))</f>
        <v>16.00</v>
      </c>
      <c r="D271" s="14" t="str">
        <f t="shared" ca="1" si="13"/>
        <v>—</v>
      </c>
      <c r="E271" s="25">
        <f t="shared" ca="1" si="14"/>
        <v>7</v>
      </c>
    </row>
    <row r="272" spans="1:5" x14ac:dyDescent="0.25">
      <c r="A272" s="8">
        <f t="shared" si="12"/>
        <v>73</v>
      </c>
      <c r="B272" t="str">
        <f ca="1">TEXT(DATE(YEAR(Invoer!$A$5),1,1)+INT((ROWS(B$2:B272)-1)/3),"jjjjmmdd")</f>
        <v>19460401</v>
      </c>
      <c r="C272" s="20" t="str">
        <f>INDEX(Data,2,2+MOD(ROWS(C$2:C272)-1,3))</f>
        <v>08.00</v>
      </c>
      <c r="D272" s="14" t="str">
        <f t="shared" ca="1" si="13"/>
        <v>—</v>
      </c>
      <c r="E272" s="25">
        <f t="shared" ca="1" si="14"/>
        <v>7</v>
      </c>
    </row>
    <row r="273" spans="1:5" x14ac:dyDescent="0.25">
      <c r="A273" s="8">
        <f t="shared" si="12"/>
        <v>73</v>
      </c>
      <c r="B273" t="str">
        <f ca="1">TEXT(DATE(YEAR(Invoer!$A$5),1,1)+INT((ROWS(B$2:B273)-1)/3),"jjjjmmdd")</f>
        <v>19460401</v>
      </c>
      <c r="C273" s="20" t="str">
        <f>INDEX(Data,2,2+MOD(ROWS(C$2:C273)-1,3))</f>
        <v>12.00</v>
      </c>
      <c r="D273" s="14" t="str">
        <f t="shared" ca="1" si="13"/>
        <v>—</v>
      </c>
      <c r="E273" s="25">
        <f t="shared" ca="1" si="14"/>
        <v>7</v>
      </c>
    </row>
    <row r="274" spans="1:5" x14ac:dyDescent="0.25">
      <c r="A274" s="8">
        <f t="shared" si="12"/>
        <v>73</v>
      </c>
      <c r="B274" t="str">
        <f ca="1">TEXT(DATE(YEAR(Invoer!$A$5),1,1)+INT((ROWS(B$2:B274)-1)/3),"jjjjmmdd")</f>
        <v>19460401</v>
      </c>
      <c r="C274" s="20" t="str">
        <f>INDEX(Data,2,2+MOD(ROWS(C$2:C274)-1,3))</f>
        <v>16.00</v>
      </c>
      <c r="D274" s="14" t="str">
        <f t="shared" ca="1" si="13"/>
        <v>—</v>
      </c>
      <c r="E274" s="25">
        <f t="shared" ca="1" si="14"/>
        <v>7</v>
      </c>
    </row>
    <row r="275" spans="1:5" x14ac:dyDescent="0.25">
      <c r="A275" s="8">
        <f t="shared" si="12"/>
        <v>73</v>
      </c>
      <c r="B275" t="str">
        <f ca="1">TEXT(DATE(YEAR(Invoer!$A$5),1,1)+INT((ROWS(B$2:B275)-1)/3),"jjjjmmdd")</f>
        <v>19460402</v>
      </c>
      <c r="C275" s="20" t="str">
        <f>INDEX(Data,2,2+MOD(ROWS(C$2:C275)-1,3))</f>
        <v>08.00</v>
      </c>
      <c r="D275" s="14" t="str">
        <f t="shared" ca="1" si="13"/>
        <v>—</v>
      </c>
      <c r="E275" s="25">
        <f t="shared" ca="1" si="14"/>
        <v>7</v>
      </c>
    </row>
    <row r="276" spans="1:5" x14ac:dyDescent="0.25">
      <c r="A276" s="8">
        <f t="shared" si="12"/>
        <v>73</v>
      </c>
      <c r="B276" t="str">
        <f ca="1">TEXT(DATE(YEAR(Invoer!$A$5),1,1)+INT((ROWS(B$2:B276)-1)/3),"jjjjmmdd")</f>
        <v>19460402</v>
      </c>
      <c r="C276" s="20" t="str">
        <f>INDEX(Data,2,2+MOD(ROWS(C$2:C276)-1,3))</f>
        <v>12.00</v>
      </c>
      <c r="D276" s="14" t="str">
        <f t="shared" ca="1" si="13"/>
        <v>—</v>
      </c>
      <c r="E276" s="25">
        <f t="shared" ca="1" si="14"/>
        <v>7</v>
      </c>
    </row>
    <row r="277" spans="1:5" x14ac:dyDescent="0.25">
      <c r="A277" s="8">
        <f t="shared" si="12"/>
        <v>73</v>
      </c>
      <c r="B277" t="str">
        <f ca="1">TEXT(DATE(YEAR(Invoer!$A$5),1,1)+INT((ROWS(B$2:B277)-1)/3),"jjjjmmdd")</f>
        <v>19460402</v>
      </c>
      <c r="C277" s="20" t="str">
        <f>INDEX(Data,2,2+MOD(ROWS(C$2:C277)-1,3))</f>
        <v>16.00</v>
      </c>
      <c r="D277" s="14" t="str">
        <f t="shared" ca="1" si="13"/>
        <v>—</v>
      </c>
      <c r="E277" s="25">
        <f t="shared" ca="1" si="14"/>
        <v>7</v>
      </c>
    </row>
    <row r="278" spans="1:5" x14ac:dyDescent="0.25">
      <c r="A278" s="8">
        <f t="shared" si="12"/>
        <v>73</v>
      </c>
      <c r="B278" t="str">
        <f ca="1">TEXT(DATE(YEAR(Invoer!$A$5),1,1)+INT((ROWS(B$2:B278)-1)/3),"jjjjmmdd")</f>
        <v>19460403</v>
      </c>
      <c r="C278" s="20" t="str">
        <f>INDEX(Data,2,2+MOD(ROWS(C$2:C278)-1,3))</f>
        <v>08.00</v>
      </c>
      <c r="D278" s="14" t="str">
        <f t="shared" ca="1" si="13"/>
        <v>—</v>
      </c>
      <c r="E278" s="25">
        <f t="shared" ca="1" si="14"/>
        <v>7</v>
      </c>
    </row>
    <row r="279" spans="1:5" x14ac:dyDescent="0.25">
      <c r="A279" s="8">
        <f t="shared" si="12"/>
        <v>73</v>
      </c>
      <c r="B279" t="str">
        <f ca="1">TEXT(DATE(YEAR(Invoer!$A$5),1,1)+INT((ROWS(B$2:B279)-1)/3),"jjjjmmdd")</f>
        <v>19460403</v>
      </c>
      <c r="C279" s="20" t="str">
        <f>INDEX(Data,2,2+MOD(ROWS(C$2:C279)-1,3))</f>
        <v>12.00</v>
      </c>
      <c r="D279" s="14" t="str">
        <f t="shared" ca="1" si="13"/>
        <v>—</v>
      </c>
      <c r="E279" s="25">
        <f t="shared" ca="1" si="14"/>
        <v>7</v>
      </c>
    </row>
    <row r="280" spans="1:5" x14ac:dyDescent="0.25">
      <c r="A280" s="8">
        <f t="shared" si="12"/>
        <v>73</v>
      </c>
      <c r="B280" t="str">
        <f ca="1">TEXT(DATE(YEAR(Invoer!$A$5),1,1)+INT((ROWS(B$2:B280)-1)/3),"jjjjmmdd")</f>
        <v>19460403</v>
      </c>
      <c r="C280" s="20" t="str">
        <f>INDEX(Data,2,2+MOD(ROWS(C$2:C280)-1,3))</f>
        <v>16.00</v>
      </c>
      <c r="D280" s="14" t="str">
        <f t="shared" ca="1" si="13"/>
        <v>—</v>
      </c>
      <c r="E280" s="25">
        <f t="shared" ca="1" si="14"/>
        <v>7</v>
      </c>
    </row>
    <row r="281" spans="1:5" x14ac:dyDescent="0.25">
      <c r="A281" s="8">
        <f t="shared" si="12"/>
        <v>73</v>
      </c>
      <c r="B281" t="str">
        <f ca="1">TEXT(DATE(YEAR(Invoer!$A$5),1,1)+INT((ROWS(B$2:B281)-1)/3),"jjjjmmdd")</f>
        <v>19460404</v>
      </c>
      <c r="C281" s="20" t="str">
        <f>INDEX(Data,2,2+MOD(ROWS(C$2:C281)-1,3))</f>
        <v>08.00</v>
      </c>
      <c r="D281" s="14" t="str">
        <f t="shared" ca="1" si="13"/>
        <v>—</v>
      </c>
      <c r="E281" s="25">
        <f t="shared" ca="1" si="14"/>
        <v>7</v>
      </c>
    </row>
    <row r="282" spans="1:5" x14ac:dyDescent="0.25">
      <c r="A282" s="8">
        <f t="shared" si="12"/>
        <v>73</v>
      </c>
      <c r="B282" t="str">
        <f ca="1">TEXT(DATE(YEAR(Invoer!$A$5),1,1)+INT((ROWS(B$2:B282)-1)/3),"jjjjmmdd")</f>
        <v>19460404</v>
      </c>
      <c r="C282" s="20" t="str">
        <f>INDEX(Data,2,2+MOD(ROWS(C$2:C282)-1,3))</f>
        <v>12.00</v>
      </c>
      <c r="D282" s="14" t="str">
        <f t="shared" ca="1" si="13"/>
        <v>—</v>
      </c>
      <c r="E282" s="25">
        <f t="shared" ca="1" si="14"/>
        <v>7</v>
      </c>
    </row>
    <row r="283" spans="1:5" x14ac:dyDescent="0.25">
      <c r="A283" s="8">
        <f t="shared" si="12"/>
        <v>73</v>
      </c>
      <c r="B283" t="str">
        <f ca="1">TEXT(DATE(YEAR(Invoer!$A$5),1,1)+INT((ROWS(B$2:B283)-1)/3),"jjjjmmdd")</f>
        <v>19460404</v>
      </c>
      <c r="C283" s="20" t="str">
        <f>INDEX(Data,2,2+MOD(ROWS(C$2:C283)-1,3))</f>
        <v>16.00</v>
      </c>
      <c r="D283" s="14" t="str">
        <f t="shared" ca="1" si="13"/>
        <v>—</v>
      </c>
      <c r="E283" s="25">
        <f t="shared" ca="1" si="14"/>
        <v>7</v>
      </c>
    </row>
    <row r="284" spans="1:5" x14ac:dyDescent="0.25">
      <c r="A284" s="8">
        <f t="shared" si="12"/>
        <v>73</v>
      </c>
      <c r="B284" t="str">
        <f ca="1">TEXT(DATE(YEAR(Invoer!$A$5),1,1)+INT((ROWS(B$2:B284)-1)/3),"jjjjmmdd")</f>
        <v>19460405</v>
      </c>
      <c r="C284" s="20" t="str">
        <f>INDEX(Data,2,2+MOD(ROWS(C$2:C284)-1,3))</f>
        <v>08.00</v>
      </c>
      <c r="D284" s="14" t="str">
        <f t="shared" ca="1" si="13"/>
        <v>—</v>
      </c>
      <c r="E284" s="25">
        <f t="shared" ca="1" si="14"/>
        <v>7</v>
      </c>
    </row>
    <row r="285" spans="1:5" x14ac:dyDescent="0.25">
      <c r="A285" s="8">
        <f t="shared" si="12"/>
        <v>73</v>
      </c>
      <c r="B285" t="str">
        <f ca="1">TEXT(DATE(YEAR(Invoer!$A$5),1,1)+INT((ROWS(B$2:B285)-1)/3),"jjjjmmdd")</f>
        <v>19460405</v>
      </c>
      <c r="C285" s="20" t="str">
        <f>INDEX(Data,2,2+MOD(ROWS(C$2:C285)-1,3))</f>
        <v>12.00</v>
      </c>
      <c r="D285" s="14" t="str">
        <f t="shared" ca="1" si="13"/>
        <v>—</v>
      </c>
      <c r="E285" s="25">
        <f t="shared" ca="1" si="14"/>
        <v>7</v>
      </c>
    </row>
    <row r="286" spans="1:5" x14ac:dyDescent="0.25">
      <c r="A286" s="8">
        <f t="shared" si="12"/>
        <v>73</v>
      </c>
      <c r="B286" t="str">
        <f ca="1">TEXT(DATE(YEAR(Invoer!$A$5),1,1)+INT((ROWS(B$2:B286)-1)/3),"jjjjmmdd")</f>
        <v>19460405</v>
      </c>
      <c r="C286" s="20" t="str">
        <f>INDEX(Data,2,2+MOD(ROWS(C$2:C286)-1,3))</f>
        <v>16.00</v>
      </c>
      <c r="D286" s="14" t="str">
        <f t="shared" ca="1" si="13"/>
        <v>—</v>
      </c>
      <c r="E286" s="25">
        <f t="shared" ca="1" si="14"/>
        <v>7</v>
      </c>
    </row>
    <row r="287" spans="1:5" x14ac:dyDescent="0.25">
      <c r="A287" s="8">
        <f t="shared" si="12"/>
        <v>73</v>
      </c>
      <c r="B287" t="str">
        <f ca="1">TEXT(DATE(YEAR(Invoer!$A$5),1,1)+INT((ROWS(B$2:B287)-1)/3),"jjjjmmdd")</f>
        <v>19460406</v>
      </c>
      <c r="C287" s="20" t="str">
        <f>INDEX(Data,2,2+MOD(ROWS(C$2:C287)-1,3))</f>
        <v>08.00</v>
      </c>
      <c r="D287" s="14" t="str">
        <f t="shared" ca="1" si="13"/>
        <v>—</v>
      </c>
      <c r="E287" s="25">
        <f t="shared" ca="1" si="14"/>
        <v>7</v>
      </c>
    </row>
    <row r="288" spans="1:5" x14ac:dyDescent="0.25">
      <c r="A288" s="8">
        <f t="shared" si="12"/>
        <v>73</v>
      </c>
      <c r="B288" t="str">
        <f ca="1">TEXT(DATE(YEAR(Invoer!$A$5),1,1)+INT((ROWS(B$2:B288)-1)/3),"jjjjmmdd")</f>
        <v>19460406</v>
      </c>
      <c r="C288" s="20" t="str">
        <f>INDEX(Data,2,2+MOD(ROWS(C$2:C288)-1,3))</f>
        <v>12.00</v>
      </c>
      <c r="D288" s="14" t="str">
        <f t="shared" ca="1" si="13"/>
        <v>—</v>
      </c>
      <c r="E288" s="25">
        <f t="shared" ca="1" si="14"/>
        <v>7</v>
      </c>
    </row>
    <row r="289" spans="1:5" x14ac:dyDescent="0.25">
      <c r="A289" s="8">
        <f t="shared" si="12"/>
        <v>73</v>
      </c>
      <c r="B289" t="str">
        <f ca="1">TEXT(DATE(YEAR(Invoer!$A$5),1,1)+INT((ROWS(B$2:B289)-1)/3),"jjjjmmdd")</f>
        <v>19460406</v>
      </c>
      <c r="C289" s="20" t="str">
        <f>INDEX(Data,2,2+MOD(ROWS(C$2:C289)-1,3))</f>
        <v>16.00</v>
      </c>
      <c r="D289" s="14" t="str">
        <f t="shared" ca="1" si="13"/>
        <v>—</v>
      </c>
      <c r="E289" s="25">
        <f t="shared" ca="1" si="14"/>
        <v>7</v>
      </c>
    </row>
    <row r="290" spans="1:5" x14ac:dyDescent="0.25">
      <c r="A290" s="8">
        <f t="shared" si="12"/>
        <v>73</v>
      </c>
      <c r="B290" t="str">
        <f ca="1">TEXT(DATE(YEAR(Invoer!$A$5),1,1)+INT((ROWS(B$2:B290)-1)/3),"jjjjmmdd")</f>
        <v>19460407</v>
      </c>
      <c r="C290" s="20" t="str">
        <f>INDEX(Data,2,2+MOD(ROWS(C$2:C290)-1,3))</f>
        <v>08.00</v>
      </c>
      <c r="D290" s="14" t="str">
        <f t="shared" ca="1" si="13"/>
        <v>—</v>
      </c>
      <c r="E290" s="25">
        <f t="shared" ca="1" si="14"/>
        <v>7</v>
      </c>
    </row>
    <row r="291" spans="1:5" x14ac:dyDescent="0.25">
      <c r="A291" s="8">
        <f t="shared" si="12"/>
        <v>73</v>
      </c>
      <c r="B291" t="str">
        <f ca="1">TEXT(DATE(YEAR(Invoer!$A$5),1,1)+INT((ROWS(B$2:B291)-1)/3),"jjjjmmdd")</f>
        <v>19460407</v>
      </c>
      <c r="C291" s="20" t="str">
        <f>INDEX(Data,2,2+MOD(ROWS(C$2:C291)-1,3))</f>
        <v>12.00</v>
      </c>
      <c r="D291" s="14" t="str">
        <f t="shared" ca="1" si="13"/>
        <v>—</v>
      </c>
      <c r="E291" s="25">
        <f t="shared" ca="1" si="14"/>
        <v>7</v>
      </c>
    </row>
    <row r="292" spans="1:5" x14ac:dyDescent="0.25">
      <c r="A292" s="8">
        <f t="shared" si="12"/>
        <v>73</v>
      </c>
      <c r="B292" t="str">
        <f ca="1">TEXT(DATE(YEAR(Invoer!$A$5),1,1)+INT((ROWS(B$2:B292)-1)/3),"jjjjmmdd")</f>
        <v>19460407</v>
      </c>
      <c r="C292" s="20" t="str">
        <f>INDEX(Data,2,2+MOD(ROWS(C$2:C292)-1,3))</f>
        <v>16.00</v>
      </c>
      <c r="D292" s="14" t="str">
        <f t="shared" ca="1" si="13"/>
        <v>—</v>
      </c>
      <c r="E292" s="25">
        <f t="shared" ca="1" si="14"/>
        <v>7</v>
      </c>
    </row>
    <row r="293" spans="1:5" x14ac:dyDescent="0.25">
      <c r="A293" s="8">
        <f t="shared" si="12"/>
        <v>73</v>
      </c>
      <c r="B293" t="str">
        <f ca="1">TEXT(DATE(YEAR(Invoer!$A$5),1,1)+INT((ROWS(B$2:B293)-1)/3),"jjjjmmdd")</f>
        <v>19460408</v>
      </c>
      <c r="C293" s="20" t="str">
        <f>INDEX(Data,2,2+MOD(ROWS(C$2:C293)-1,3))</f>
        <v>08.00</v>
      </c>
      <c r="D293" s="14" t="str">
        <f t="shared" ca="1" si="13"/>
        <v>—</v>
      </c>
      <c r="E293" s="25">
        <f t="shared" ca="1" si="14"/>
        <v>7</v>
      </c>
    </row>
    <row r="294" spans="1:5" x14ac:dyDescent="0.25">
      <c r="A294" s="8">
        <f t="shared" si="12"/>
        <v>73</v>
      </c>
      <c r="B294" t="str">
        <f ca="1">TEXT(DATE(YEAR(Invoer!$A$5),1,1)+INT((ROWS(B$2:B294)-1)/3),"jjjjmmdd")</f>
        <v>19460408</v>
      </c>
      <c r="C294" s="20" t="str">
        <f>INDEX(Data,2,2+MOD(ROWS(C$2:C294)-1,3))</f>
        <v>12.00</v>
      </c>
      <c r="D294" s="14" t="str">
        <f t="shared" ca="1" si="13"/>
        <v>—</v>
      </c>
      <c r="E294" s="25">
        <f t="shared" ca="1" si="14"/>
        <v>7</v>
      </c>
    </row>
    <row r="295" spans="1:5" x14ac:dyDescent="0.25">
      <c r="A295" s="8">
        <f t="shared" si="12"/>
        <v>73</v>
      </c>
      <c r="B295" t="str">
        <f ca="1">TEXT(DATE(YEAR(Invoer!$A$5),1,1)+INT((ROWS(B$2:B295)-1)/3),"jjjjmmdd")</f>
        <v>19460408</v>
      </c>
      <c r="C295" s="20" t="str">
        <f>INDEX(Data,2,2+MOD(ROWS(C$2:C295)-1,3))</f>
        <v>16.00</v>
      </c>
      <c r="D295" s="14" t="str">
        <f t="shared" ca="1" si="13"/>
        <v>—</v>
      </c>
      <c r="E295" s="25">
        <f t="shared" ca="1" si="14"/>
        <v>7</v>
      </c>
    </row>
    <row r="296" spans="1:5" x14ac:dyDescent="0.25">
      <c r="A296" s="8">
        <f t="shared" si="12"/>
        <v>73</v>
      </c>
      <c r="B296" t="str">
        <f ca="1">TEXT(DATE(YEAR(Invoer!$A$5),1,1)+INT((ROWS(B$2:B296)-1)/3),"jjjjmmdd")</f>
        <v>19460409</v>
      </c>
      <c r="C296" s="20" t="str">
        <f>INDEX(Data,2,2+MOD(ROWS(C$2:C296)-1,3))</f>
        <v>08.00</v>
      </c>
      <c r="D296" s="14" t="str">
        <f t="shared" ca="1" si="13"/>
        <v>—</v>
      </c>
      <c r="E296" s="25">
        <f t="shared" ca="1" si="14"/>
        <v>7</v>
      </c>
    </row>
    <row r="297" spans="1:5" x14ac:dyDescent="0.25">
      <c r="A297" s="8">
        <f t="shared" si="12"/>
        <v>73</v>
      </c>
      <c r="B297" t="str">
        <f ca="1">TEXT(DATE(YEAR(Invoer!$A$5),1,1)+INT((ROWS(B$2:B297)-1)/3),"jjjjmmdd")</f>
        <v>19460409</v>
      </c>
      <c r="C297" s="20" t="str">
        <f>INDEX(Data,2,2+MOD(ROWS(C$2:C297)-1,3))</f>
        <v>12.00</v>
      </c>
      <c r="D297" s="14" t="str">
        <f t="shared" ca="1" si="13"/>
        <v>—</v>
      </c>
      <c r="E297" s="25">
        <f t="shared" ca="1" si="14"/>
        <v>7</v>
      </c>
    </row>
    <row r="298" spans="1:5" x14ac:dyDescent="0.25">
      <c r="A298" s="8">
        <f t="shared" si="12"/>
        <v>73</v>
      </c>
      <c r="B298" t="str">
        <f ca="1">TEXT(DATE(YEAR(Invoer!$A$5),1,1)+INT((ROWS(B$2:B298)-1)/3),"jjjjmmdd")</f>
        <v>19460409</v>
      </c>
      <c r="C298" s="20" t="str">
        <f>INDEX(Data,2,2+MOD(ROWS(C$2:C298)-1,3))</f>
        <v>16.00</v>
      </c>
      <c r="D298" s="14" t="str">
        <f t="shared" ca="1" si="13"/>
        <v>—</v>
      </c>
      <c r="E298" s="25">
        <f t="shared" ca="1" si="14"/>
        <v>7</v>
      </c>
    </row>
    <row r="299" spans="1:5" x14ac:dyDescent="0.25">
      <c r="A299" s="8">
        <f t="shared" si="12"/>
        <v>73</v>
      </c>
      <c r="B299" t="str">
        <f ca="1">TEXT(DATE(YEAR(Invoer!$A$5),1,1)+INT((ROWS(B$2:B299)-1)/3),"jjjjmmdd")</f>
        <v>19460410</v>
      </c>
      <c r="C299" s="20" t="str">
        <f>INDEX(Data,2,2+MOD(ROWS(C$2:C299)-1,3))</f>
        <v>08.00</v>
      </c>
      <c r="D299" s="14" t="str">
        <f t="shared" ca="1" si="13"/>
        <v>—</v>
      </c>
      <c r="E299" s="25">
        <f t="shared" ca="1" si="14"/>
        <v>7</v>
      </c>
    </row>
    <row r="300" spans="1:5" x14ac:dyDescent="0.25">
      <c r="A300" s="8">
        <f t="shared" si="12"/>
        <v>73</v>
      </c>
      <c r="B300" t="str">
        <f ca="1">TEXT(DATE(YEAR(Invoer!$A$5),1,1)+INT((ROWS(B$2:B300)-1)/3),"jjjjmmdd")</f>
        <v>19460410</v>
      </c>
      <c r="C300" s="20" t="str">
        <f>INDEX(Data,2,2+MOD(ROWS(C$2:C300)-1,3))</f>
        <v>12.00</v>
      </c>
      <c r="D300" s="14" t="str">
        <f t="shared" ca="1" si="13"/>
        <v>—</v>
      </c>
      <c r="E300" s="25">
        <f t="shared" ca="1" si="14"/>
        <v>7</v>
      </c>
    </row>
    <row r="301" spans="1:5" x14ac:dyDescent="0.25">
      <c r="A301" s="8">
        <f t="shared" si="12"/>
        <v>73</v>
      </c>
      <c r="B301" t="str">
        <f ca="1">TEXT(DATE(YEAR(Invoer!$A$5),1,1)+INT((ROWS(B$2:B301)-1)/3),"jjjjmmdd")</f>
        <v>19460410</v>
      </c>
      <c r="C301" s="20" t="str">
        <f>INDEX(Data,2,2+MOD(ROWS(C$2:C301)-1,3))</f>
        <v>16.00</v>
      </c>
      <c r="D301" s="14" t="str">
        <f t="shared" ca="1" si="13"/>
        <v>—</v>
      </c>
      <c r="E301" s="25">
        <f t="shared" ca="1" si="14"/>
        <v>7</v>
      </c>
    </row>
    <row r="302" spans="1:5" x14ac:dyDescent="0.25">
      <c r="A302" s="8">
        <f t="shared" si="12"/>
        <v>73</v>
      </c>
      <c r="B302" t="str">
        <f ca="1">TEXT(DATE(YEAR(Invoer!$A$5),1,1)+INT((ROWS(B$2:B302)-1)/3),"jjjjmmdd")</f>
        <v>19460411</v>
      </c>
      <c r="C302" s="20" t="str">
        <f>INDEX(Data,2,2+MOD(ROWS(C$2:C302)-1,3))</f>
        <v>08.00</v>
      </c>
      <c r="D302" s="14" t="str">
        <f t="shared" ca="1" si="13"/>
        <v>—</v>
      </c>
      <c r="E302" s="25">
        <f t="shared" ca="1" si="14"/>
        <v>7</v>
      </c>
    </row>
    <row r="303" spans="1:5" x14ac:dyDescent="0.25">
      <c r="A303" s="8">
        <f t="shared" si="12"/>
        <v>73</v>
      </c>
      <c r="B303" t="str">
        <f ca="1">TEXT(DATE(YEAR(Invoer!$A$5),1,1)+INT((ROWS(B$2:B303)-1)/3),"jjjjmmdd")</f>
        <v>19460411</v>
      </c>
      <c r="C303" s="20" t="str">
        <f>INDEX(Data,2,2+MOD(ROWS(C$2:C303)-1,3))</f>
        <v>12.00</v>
      </c>
      <c r="D303" s="14" t="str">
        <f t="shared" ca="1" si="13"/>
        <v>—</v>
      </c>
      <c r="E303" s="25">
        <f t="shared" ca="1" si="14"/>
        <v>7</v>
      </c>
    </row>
    <row r="304" spans="1:5" x14ac:dyDescent="0.25">
      <c r="A304" s="8">
        <f t="shared" si="12"/>
        <v>73</v>
      </c>
      <c r="B304" t="str">
        <f ca="1">TEXT(DATE(YEAR(Invoer!$A$5),1,1)+INT((ROWS(B$2:B304)-1)/3),"jjjjmmdd")</f>
        <v>19460411</v>
      </c>
      <c r="C304" s="20" t="str">
        <f>INDEX(Data,2,2+MOD(ROWS(C$2:C304)-1,3))</f>
        <v>16.00</v>
      </c>
      <c r="D304" s="14" t="str">
        <f t="shared" ca="1" si="13"/>
        <v>—</v>
      </c>
      <c r="E304" s="25">
        <f t="shared" ca="1" si="14"/>
        <v>7</v>
      </c>
    </row>
    <row r="305" spans="1:5" x14ac:dyDescent="0.25">
      <c r="A305" s="8">
        <f t="shared" si="12"/>
        <v>73</v>
      </c>
      <c r="B305" t="str">
        <f ca="1">TEXT(DATE(YEAR(Invoer!$A$5),1,1)+INT((ROWS(B$2:B305)-1)/3),"jjjjmmdd")</f>
        <v>19460412</v>
      </c>
      <c r="C305" s="20" t="str">
        <f>INDEX(Data,2,2+MOD(ROWS(C$2:C305)-1,3))</f>
        <v>08.00</v>
      </c>
      <c r="D305" s="14" t="str">
        <f t="shared" ca="1" si="13"/>
        <v>—</v>
      </c>
      <c r="E305" s="25">
        <f t="shared" ca="1" si="14"/>
        <v>7</v>
      </c>
    </row>
    <row r="306" spans="1:5" x14ac:dyDescent="0.25">
      <c r="A306" s="8">
        <f t="shared" si="12"/>
        <v>73</v>
      </c>
      <c r="B306" t="str">
        <f ca="1">TEXT(DATE(YEAR(Invoer!$A$5),1,1)+INT((ROWS(B$2:B306)-1)/3),"jjjjmmdd")</f>
        <v>19460412</v>
      </c>
      <c r="C306" s="20" t="str">
        <f>INDEX(Data,2,2+MOD(ROWS(C$2:C306)-1,3))</f>
        <v>12.00</v>
      </c>
      <c r="D306" s="14" t="str">
        <f t="shared" ca="1" si="13"/>
        <v>—</v>
      </c>
      <c r="E306" s="25">
        <f t="shared" ca="1" si="14"/>
        <v>7</v>
      </c>
    </row>
    <row r="307" spans="1:5" x14ac:dyDescent="0.25">
      <c r="A307" s="8">
        <f t="shared" si="12"/>
        <v>73</v>
      </c>
      <c r="B307" t="str">
        <f ca="1">TEXT(DATE(YEAR(Invoer!$A$5),1,1)+INT((ROWS(B$2:B307)-1)/3),"jjjjmmdd")</f>
        <v>19460412</v>
      </c>
      <c r="C307" s="20" t="str">
        <f>INDEX(Data,2,2+MOD(ROWS(C$2:C307)-1,3))</f>
        <v>16.00</v>
      </c>
      <c r="D307" s="14" t="str">
        <f t="shared" ca="1" si="13"/>
        <v>—</v>
      </c>
      <c r="E307" s="25">
        <f t="shared" ca="1" si="14"/>
        <v>7</v>
      </c>
    </row>
    <row r="308" spans="1:5" x14ac:dyDescent="0.25">
      <c r="A308" s="8">
        <f t="shared" si="12"/>
        <v>73</v>
      </c>
      <c r="B308" t="str">
        <f ca="1">TEXT(DATE(YEAR(Invoer!$A$5),1,1)+INT((ROWS(B$2:B308)-1)/3),"jjjjmmdd")</f>
        <v>19460413</v>
      </c>
      <c r="C308" s="20" t="str">
        <f>INDEX(Data,2,2+MOD(ROWS(C$2:C308)-1,3))</f>
        <v>08.00</v>
      </c>
      <c r="D308" s="14" t="str">
        <f t="shared" ca="1" si="13"/>
        <v>—</v>
      </c>
      <c r="E308" s="25">
        <f t="shared" ca="1" si="14"/>
        <v>7</v>
      </c>
    </row>
    <row r="309" spans="1:5" x14ac:dyDescent="0.25">
      <c r="A309" s="8">
        <f t="shared" si="12"/>
        <v>73</v>
      </c>
      <c r="B309" t="str">
        <f ca="1">TEXT(DATE(YEAR(Invoer!$A$5),1,1)+INT((ROWS(B$2:B309)-1)/3),"jjjjmmdd")</f>
        <v>19460413</v>
      </c>
      <c r="C309" s="20" t="str">
        <f>INDEX(Data,2,2+MOD(ROWS(C$2:C309)-1,3))</f>
        <v>12.00</v>
      </c>
      <c r="D309" s="14" t="str">
        <f t="shared" ca="1" si="13"/>
        <v>—</v>
      </c>
      <c r="E309" s="25">
        <f t="shared" ca="1" si="14"/>
        <v>7</v>
      </c>
    </row>
    <row r="310" spans="1:5" x14ac:dyDescent="0.25">
      <c r="A310" s="8">
        <f t="shared" si="12"/>
        <v>73</v>
      </c>
      <c r="B310" t="str">
        <f ca="1">TEXT(DATE(YEAR(Invoer!$A$5),1,1)+INT((ROWS(B$2:B310)-1)/3),"jjjjmmdd")</f>
        <v>19460413</v>
      </c>
      <c r="C310" s="20" t="str">
        <f>INDEX(Data,2,2+MOD(ROWS(C$2:C310)-1,3))</f>
        <v>16.00</v>
      </c>
      <c r="D310" s="14" t="str">
        <f t="shared" ca="1" si="13"/>
        <v>—</v>
      </c>
      <c r="E310" s="25">
        <f t="shared" ca="1" si="14"/>
        <v>7</v>
      </c>
    </row>
    <row r="311" spans="1:5" x14ac:dyDescent="0.25">
      <c r="A311" s="8">
        <f t="shared" si="12"/>
        <v>73</v>
      </c>
      <c r="B311" t="str">
        <f ca="1">TEXT(DATE(YEAR(Invoer!$A$5),1,1)+INT((ROWS(B$2:B311)-1)/3),"jjjjmmdd")</f>
        <v>19460414</v>
      </c>
      <c r="C311" s="20" t="str">
        <f>INDEX(Data,2,2+MOD(ROWS(C$2:C311)-1,3))</f>
        <v>08.00</v>
      </c>
      <c r="D311" s="14" t="str">
        <f t="shared" ca="1" si="13"/>
        <v>—</v>
      </c>
      <c r="E311" s="25">
        <f t="shared" ca="1" si="14"/>
        <v>7</v>
      </c>
    </row>
    <row r="312" spans="1:5" x14ac:dyDescent="0.25">
      <c r="A312" s="8">
        <f t="shared" si="12"/>
        <v>73</v>
      </c>
      <c r="B312" t="str">
        <f ca="1">TEXT(DATE(YEAR(Invoer!$A$5),1,1)+INT((ROWS(B$2:B312)-1)/3),"jjjjmmdd")</f>
        <v>19460414</v>
      </c>
      <c r="C312" s="20" t="str">
        <f>INDEX(Data,2,2+MOD(ROWS(C$2:C312)-1,3))</f>
        <v>12.00</v>
      </c>
      <c r="D312" s="14" t="str">
        <f t="shared" ca="1" si="13"/>
        <v>—</v>
      </c>
      <c r="E312" s="25">
        <f t="shared" ca="1" si="14"/>
        <v>7</v>
      </c>
    </row>
    <row r="313" spans="1:5" x14ac:dyDescent="0.25">
      <c r="A313" s="8">
        <f t="shared" si="12"/>
        <v>73</v>
      </c>
      <c r="B313" t="str">
        <f ca="1">TEXT(DATE(YEAR(Invoer!$A$5),1,1)+INT((ROWS(B$2:B313)-1)/3),"jjjjmmdd")</f>
        <v>19460414</v>
      </c>
      <c r="C313" s="20" t="str">
        <f>INDEX(Data,2,2+MOD(ROWS(C$2:C313)-1,3))</f>
        <v>16.00</v>
      </c>
      <c r="D313" s="14" t="str">
        <f t="shared" ca="1" si="13"/>
        <v>—</v>
      </c>
      <c r="E313" s="25">
        <f t="shared" ca="1" si="14"/>
        <v>7</v>
      </c>
    </row>
    <row r="314" spans="1:5" x14ac:dyDescent="0.25">
      <c r="A314" s="8">
        <f t="shared" si="12"/>
        <v>73</v>
      </c>
      <c r="B314" t="str">
        <f ca="1">TEXT(DATE(YEAR(Invoer!$A$5),1,1)+INT((ROWS(B$2:B314)-1)/3),"jjjjmmdd")</f>
        <v>19460415</v>
      </c>
      <c r="C314" s="20" t="str">
        <f>INDEX(Data,2,2+MOD(ROWS(C$2:C314)-1,3))</f>
        <v>08.00</v>
      </c>
      <c r="D314" s="14" t="str">
        <f t="shared" ca="1" si="13"/>
        <v>—</v>
      </c>
      <c r="E314" s="25">
        <f t="shared" ca="1" si="14"/>
        <v>7</v>
      </c>
    </row>
    <row r="315" spans="1:5" x14ac:dyDescent="0.25">
      <c r="A315" s="8">
        <f t="shared" si="12"/>
        <v>73</v>
      </c>
      <c r="B315" t="str">
        <f ca="1">TEXT(DATE(YEAR(Invoer!$A$5),1,1)+INT((ROWS(B$2:B315)-1)/3),"jjjjmmdd")</f>
        <v>19460415</v>
      </c>
      <c r="C315" s="20" t="str">
        <f>INDEX(Data,2,2+MOD(ROWS(C$2:C315)-1,3))</f>
        <v>12.00</v>
      </c>
      <c r="D315" s="14" t="str">
        <f t="shared" ca="1" si="13"/>
        <v>—</v>
      </c>
      <c r="E315" s="25">
        <f t="shared" ca="1" si="14"/>
        <v>7</v>
      </c>
    </row>
    <row r="316" spans="1:5" x14ac:dyDescent="0.25">
      <c r="A316" s="8">
        <f t="shared" si="12"/>
        <v>73</v>
      </c>
      <c r="B316" t="str">
        <f ca="1">TEXT(DATE(YEAR(Invoer!$A$5),1,1)+INT((ROWS(B$2:B316)-1)/3),"jjjjmmdd")</f>
        <v>19460415</v>
      </c>
      <c r="C316" s="20" t="str">
        <f>INDEX(Data,2,2+MOD(ROWS(C$2:C316)-1,3))</f>
        <v>16.00</v>
      </c>
      <c r="D316" s="14" t="str">
        <f t="shared" ca="1" si="13"/>
        <v>—</v>
      </c>
      <c r="E316" s="25">
        <f t="shared" ca="1" si="14"/>
        <v>7</v>
      </c>
    </row>
    <row r="317" spans="1:5" x14ac:dyDescent="0.25">
      <c r="A317" s="8">
        <f t="shared" si="12"/>
        <v>73</v>
      </c>
      <c r="B317" t="str">
        <f ca="1">TEXT(DATE(YEAR(Invoer!$A$5),1,1)+INT((ROWS(B$2:B317)-1)/3),"jjjjmmdd")</f>
        <v>19460416</v>
      </c>
      <c r="C317" s="20" t="str">
        <f>INDEX(Data,2,2+MOD(ROWS(C$2:C317)-1,3))</f>
        <v>08.00</v>
      </c>
      <c r="D317" s="14" t="str">
        <f t="shared" ca="1" si="13"/>
        <v>—</v>
      </c>
      <c r="E317" s="25">
        <f t="shared" ca="1" si="14"/>
        <v>7</v>
      </c>
    </row>
    <row r="318" spans="1:5" x14ac:dyDescent="0.25">
      <c r="A318" s="8">
        <f t="shared" si="12"/>
        <v>73</v>
      </c>
      <c r="B318" t="str">
        <f ca="1">TEXT(DATE(YEAR(Invoer!$A$5),1,1)+INT((ROWS(B$2:B318)-1)/3),"jjjjmmdd")</f>
        <v>19460416</v>
      </c>
      <c r="C318" s="20" t="str">
        <f>INDEX(Data,2,2+MOD(ROWS(C$2:C318)-1,3))</f>
        <v>12.00</v>
      </c>
      <c r="D318" s="14" t="str">
        <f t="shared" ca="1" si="13"/>
        <v>—</v>
      </c>
      <c r="E318" s="25">
        <f t="shared" ca="1" si="14"/>
        <v>7</v>
      </c>
    </row>
    <row r="319" spans="1:5" x14ac:dyDescent="0.25">
      <c r="A319" s="8">
        <f t="shared" si="12"/>
        <v>73</v>
      </c>
      <c r="B319" t="str">
        <f ca="1">TEXT(DATE(YEAR(Invoer!$A$5),1,1)+INT((ROWS(B$2:B319)-1)/3),"jjjjmmdd")</f>
        <v>19460416</v>
      </c>
      <c r="C319" s="20" t="str">
        <f>INDEX(Data,2,2+MOD(ROWS(C$2:C319)-1,3))</f>
        <v>16.00</v>
      </c>
      <c r="D319" s="14" t="str">
        <f t="shared" ca="1" si="13"/>
        <v>—</v>
      </c>
      <c r="E319" s="25">
        <f t="shared" ca="1" si="14"/>
        <v>7</v>
      </c>
    </row>
    <row r="320" spans="1:5" x14ac:dyDescent="0.25">
      <c r="A320" s="8">
        <f t="shared" si="12"/>
        <v>73</v>
      </c>
      <c r="B320" t="str">
        <f ca="1">TEXT(DATE(YEAR(Invoer!$A$5),1,1)+INT((ROWS(B$2:B320)-1)/3),"jjjjmmdd")</f>
        <v>19460417</v>
      </c>
      <c r="C320" s="20" t="str">
        <f>INDEX(Data,2,2+MOD(ROWS(C$2:C320)-1,3))</f>
        <v>08.00</v>
      </c>
      <c r="D320" s="14" t="str">
        <f t="shared" ca="1" si="13"/>
        <v>—</v>
      </c>
      <c r="E320" s="25">
        <f t="shared" ca="1" si="14"/>
        <v>7</v>
      </c>
    </row>
    <row r="321" spans="1:5" x14ac:dyDescent="0.25">
      <c r="A321" s="8">
        <f t="shared" si="12"/>
        <v>73</v>
      </c>
      <c r="B321" t="str">
        <f ca="1">TEXT(DATE(YEAR(Invoer!$A$5),1,1)+INT((ROWS(B$2:B321)-1)/3),"jjjjmmdd")</f>
        <v>19460417</v>
      </c>
      <c r="C321" s="20" t="str">
        <f>INDEX(Data,2,2+MOD(ROWS(C$2:C321)-1,3))</f>
        <v>12.00</v>
      </c>
      <c r="D321" s="14" t="str">
        <f t="shared" ca="1" si="13"/>
        <v>—</v>
      </c>
      <c r="E321" s="25">
        <f t="shared" ca="1" si="14"/>
        <v>7</v>
      </c>
    </row>
    <row r="322" spans="1:5" x14ac:dyDescent="0.25">
      <c r="A322" s="8">
        <f t="shared" ref="A322:A385" si="15">INDEX(Stations,2,1)</f>
        <v>73</v>
      </c>
      <c r="B322" t="str">
        <f ca="1">TEXT(DATE(YEAR(Invoer!$A$5),1,1)+INT((ROWS(B$2:B322)-1)/3),"jjjjmmdd")</f>
        <v>19460417</v>
      </c>
      <c r="C322" s="20" t="str">
        <f>INDEX(Data,2,2+MOD(ROWS(C$2:C322)-1,3))</f>
        <v>16.00</v>
      </c>
      <c r="D322" s="14" t="str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—</v>
      </c>
      <c r="E322" s="25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</row>
    <row r="323" spans="1:5" x14ac:dyDescent="0.25">
      <c r="A323" s="8">
        <f t="shared" si="15"/>
        <v>73</v>
      </c>
      <c r="B323" t="str">
        <f ca="1">TEXT(DATE(YEAR(Invoer!$A$5),1,1)+INT((ROWS(B$2:B323)-1)/3),"jjjjmmdd")</f>
        <v>19460418</v>
      </c>
      <c r="C323" s="20" t="str">
        <f>INDEX(Data,2,2+MOD(ROWS(C$2:C323)-1,3))</f>
        <v>08.00</v>
      </c>
      <c r="D323" s="14" t="str">
        <f t="shared" ca="1" si="16"/>
        <v>—</v>
      </c>
      <c r="E323" s="25">
        <f t="shared" ca="1" si="17"/>
        <v>7</v>
      </c>
    </row>
    <row r="324" spans="1:5" x14ac:dyDescent="0.25">
      <c r="A324" s="8">
        <f t="shared" si="15"/>
        <v>73</v>
      </c>
      <c r="B324" t="str">
        <f ca="1">TEXT(DATE(YEAR(Invoer!$A$5),1,1)+INT((ROWS(B$2:B324)-1)/3),"jjjjmmdd")</f>
        <v>19460418</v>
      </c>
      <c r="C324" s="20" t="str">
        <f>INDEX(Data,2,2+MOD(ROWS(C$2:C324)-1,3))</f>
        <v>12.00</v>
      </c>
      <c r="D324" s="14" t="str">
        <f t="shared" ca="1" si="16"/>
        <v>—</v>
      </c>
      <c r="E324" s="25">
        <f t="shared" ca="1" si="17"/>
        <v>7</v>
      </c>
    </row>
    <row r="325" spans="1:5" x14ac:dyDescent="0.25">
      <c r="A325" s="8">
        <f t="shared" si="15"/>
        <v>73</v>
      </c>
      <c r="B325" t="str">
        <f ca="1">TEXT(DATE(YEAR(Invoer!$A$5),1,1)+INT((ROWS(B$2:B325)-1)/3),"jjjjmmdd")</f>
        <v>19460418</v>
      </c>
      <c r="C325" s="20" t="str">
        <f>INDEX(Data,2,2+MOD(ROWS(C$2:C325)-1,3))</f>
        <v>16.00</v>
      </c>
      <c r="D325" s="14" t="str">
        <f t="shared" ca="1" si="16"/>
        <v>—</v>
      </c>
      <c r="E325" s="25">
        <f t="shared" ca="1" si="17"/>
        <v>7</v>
      </c>
    </row>
    <row r="326" spans="1:5" x14ac:dyDescent="0.25">
      <c r="A326" s="8">
        <f t="shared" si="15"/>
        <v>73</v>
      </c>
      <c r="B326" t="str">
        <f ca="1">TEXT(DATE(YEAR(Invoer!$A$5),1,1)+INT((ROWS(B$2:B326)-1)/3),"jjjjmmdd")</f>
        <v>19460419</v>
      </c>
      <c r="C326" s="20" t="str">
        <f>INDEX(Data,2,2+MOD(ROWS(C$2:C326)-1,3))</f>
        <v>08.00</v>
      </c>
      <c r="D326" s="14" t="str">
        <f t="shared" ca="1" si="16"/>
        <v>—</v>
      </c>
      <c r="E326" s="25">
        <f t="shared" ca="1" si="17"/>
        <v>7</v>
      </c>
    </row>
    <row r="327" spans="1:5" x14ac:dyDescent="0.25">
      <c r="A327" s="8">
        <f t="shared" si="15"/>
        <v>73</v>
      </c>
      <c r="B327" t="str">
        <f ca="1">TEXT(DATE(YEAR(Invoer!$A$5),1,1)+INT((ROWS(B$2:B327)-1)/3),"jjjjmmdd")</f>
        <v>19460419</v>
      </c>
      <c r="C327" s="20" t="str">
        <f>INDEX(Data,2,2+MOD(ROWS(C$2:C327)-1,3))</f>
        <v>12.00</v>
      </c>
      <c r="D327" s="14" t="str">
        <f t="shared" ca="1" si="16"/>
        <v>—</v>
      </c>
      <c r="E327" s="25">
        <f t="shared" ca="1" si="17"/>
        <v>7</v>
      </c>
    </row>
    <row r="328" spans="1:5" x14ac:dyDescent="0.25">
      <c r="A328" s="8">
        <f t="shared" si="15"/>
        <v>73</v>
      </c>
      <c r="B328" t="str">
        <f ca="1">TEXT(DATE(YEAR(Invoer!$A$5),1,1)+INT((ROWS(B$2:B328)-1)/3),"jjjjmmdd")</f>
        <v>19460419</v>
      </c>
      <c r="C328" s="20" t="str">
        <f>INDEX(Data,2,2+MOD(ROWS(C$2:C328)-1,3))</f>
        <v>16.00</v>
      </c>
      <c r="D328" s="14" t="str">
        <f t="shared" ca="1" si="16"/>
        <v>—</v>
      </c>
      <c r="E328" s="25">
        <f t="shared" ca="1" si="17"/>
        <v>7</v>
      </c>
    </row>
    <row r="329" spans="1:5" x14ac:dyDescent="0.25">
      <c r="A329" s="8">
        <f t="shared" si="15"/>
        <v>73</v>
      </c>
      <c r="B329" t="str">
        <f ca="1">TEXT(DATE(YEAR(Invoer!$A$5),1,1)+INT((ROWS(B$2:B329)-1)/3),"jjjjmmdd")</f>
        <v>19460420</v>
      </c>
      <c r="C329" s="20" t="str">
        <f>INDEX(Data,2,2+MOD(ROWS(C$2:C329)-1,3))</f>
        <v>08.00</v>
      </c>
      <c r="D329" s="14" t="str">
        <f t="shared" ca="1" si="16"/>
        <v>—</v>
      </c>
      <c r="E329" s="25">
        <f t="shared" ca="1" si="17"/>
        <v>7</v>
      </c>
    </row>
    <row r="330" spans="1:5" x14ac:dyDescent="0.25">
      <c r="A330" s="8">
        <f t="shared" si="15"/>
        <v>73</v>
      </c>
      <c r="B330" t="str">
        <f ca="1">TEXT(DATE(YEAR(Invoer!$A$5),1,1)+INT((ROWS(B$2:B330)-1)/3),"jjjjmmdd")</f>
        <v>19460420</v>
      </c>
      <c r="C330" s="20" t="str">
        <f>INDEX(Data,2,2+MOD(ROWS(C$2:C330)-1,3))</f>
        <v>12.00</v>
      </c>
      <c r="D330" s="14" t="str">
        <f t="shared" ca="1" si="16"/>
        <v>—</v>
      </c>
      <c r="E330" s="25">
        <f t="shared" ca="1" si="17"/>
        <v>7</v>
      </c>
    </row>
    <row r="331" spans="1:5" x14ac:dyDescent="0.25">
      <c r="A331" s="8">
        <f t="shared" si="15"/>
        <v>73</v>
      </c>
      <c r="B331" t="str">
        <f ca="1">TEXT(DATE(YEAR(Invoer!$A$5),1,1)+INT((ROWS(B$2:B331)-1)/3),"jjjjmmdd")</f>
        <v>19460420</v>
      </c>
      <c r="C331" s="20" t="str">
        <f>INDEX(Data,2,2+MOD(ROWS(C$2:C331)-1,3))</f>
        <v>16.00</v>
      </c>
      <c r="D331" s="14" t="str">
        <f t="shared" ca="1" si="16"/>
        <v>—</v>
      </c>
      <c r="E331" s="25">
        <f t="shared" ca="1" si="17"/>
        <v>7</v>
      </c>
    </row>
    <row r="332" spans="1:5" x14ac:dyDescent="0.25">
      <c r="A332" s="8">
        <f t="shared" si="15"/>
        <v>73</v>
      </c>
      <c r="B332" t="str">
        <f ca="1">TEXT(DATE(YEAR(Invoer!$A$5),1,1)+INT((ROWS(B$2:B332)-1)/3),"jjjjmmdd")</f>
        <v>19460421</v>
      </c>
      <c r="C332" s="20" t="str">
        <f>INDEX(Data,2,2+MOD(ROWS(C$2:C332)-1,3))</f>
        <v>08.00</v>
      </c>
      <c r="D332" s="14" t="str">
        <f t="shared" ca="1" si="16"/>
        <v>—</v>
      </c>
      <c r="E332" s="25">
        <f t="shared" ca="1" si="17"/>
        <v>7</v>
      </c>
    </row>
    <row r="333" spans="1:5" x14ac:dyDescent="0.25">
      <c r="A333" s="8">
        <f t="shared" si="15"/>
        <v>73</v>
      </c>
      <c r="B333" t="str">
        <f ca="1">TEXT(DATE(YEAR(Invoer!$A$5),1,1)+INT((ROWS(B$2:B333)-1)/3),"jjjjmmdd")</f>
        <v>19460421</v>
      </c>
      <c r="C333" s="20" t="str">
        <f>INDEX(Data,2,2+MOD(ROWS(C$2:C333)-1,3))</f>
        <v>12.00</v>
      </c>
      <c r="D333" s="14" t="str">
        <f t="shared" ca="1" si="16"/>
        <v>—</v>
      </c>
      <c r="E333" s="25">
        <f t="shared" ca="1" si="17"/>
        <v>7</v>
      </c>
    </row>
    <row r="334" spans="1:5" x14ac:dyDescent="0.25">
      <c r="A334" s="8">
        <f t="shared" si="15"/>
        <v>73</v>
      </c>
      <c r="B334" t="str">
        <f ca="1">TEXT(DATE(YEAR(Invoer!$A$5),1,1)+INT((ROWS(B$2:B334)-1)/3),"jjjjmmdd")</f>
        <v>19460421</v>
      </c>
      <c r="C334" s="20" t="str">
        <f>INDEX(Data,2,2+MOD(ROWS(C$2:C334)-1,3))</f>
        <v>16.00</v>
      </c>
      <c r="D334" s="14" t="str">
        <f t="shared" ca="1" si="16"/>
        <v>—</v>
      </c>
      <c r="E334" s="25">
        <f t="shared" ca="1" si="17"/>
        <v>7</v>
      </c>
    </row>
    <row r="335" spans="1:5" x14ac:dyDescent="0.25">
      <c r="A335" s="8">
        <f t="shared" si="15"/>
        <v>73</v>
      </c>
      <c r="B335" t="str">
        <f ca="1">TEXT(DATE(YEAR(Invoer!$A$5),1,1)+INT((ROWS(B$2:B335)-1)/3),"jjjjmmdd")</f>
        <v>19460422</v>
      </c>
      <c r="C335" s="20" t="str">
        <f>INDEX(Data,2,2+MOD(ROWS(C$2:C335)-1,3))</f>
        <v>08.00</v>
      </c>
      <c r="D335" s="14" t="str">
        <f t="shared" ca="1" si="16"/>
        <v>—</v>
      </c>
      <c r="E335" s="25">
        <f t="shared" ca="1" si="17"/>
        <v>7</v>
      </c>
    </row>
    <row r="336" spans="1:5" x14ac:dyDescent="0.25">
      <c r="A336" s="8">
        <f t="shared" si="15"/>
        <v>73</v>
      </c>
      <c r="B336" t="str">
        <f ca="1">TEXT(DATE(YEAR(Invoer!$A$5),1,1)+INT((ROWS(B$2:B336)-1)/3),"jjjjmmdd")</f>
        <v>19460422</v>
      </c>
      <c r="C336" s="20" t="str">
        <f>INDEX(Data,2,2+MOD(ROWS(C$2:C336)-1,3))</f>
        <v>12.00</v>
      </c>
      <c r="D336" s="14" t="str">
        <f t="shared" ca="1" si="16"/>
        <v>—</v>
      </c>
      <c r="E336" s="25">
        <f t="shared" ca="1" si="17"/>
        <v>7</v>
      </c>
    </row>
    <row r="337" spans="1:5" x14ac:dyDescent="0.25">
      <c r="A337" s="8">
        <f t="shared" si="15"/>
        <v>73</v>
      </c>
      <c r="B337" t="str">
        <f ca="1">TEXT(DATE(YEAR(Invoer!$A$5),1,1)+INT((ROWS(B$2:B337)-1)/3),"jjjjmmdd")</f>
        <v>19460422</v>
      </c>
      <c r="C337" s="20" t="str">
        <f>INDEX(Data,2,2+MOD(ROWS(C$2:C337)-1,3))</f>
        <v>16.00</v>
      </c>
      <c r="D337" s="14" t="str">
        <f t="shared" ca="1" si="16"/>
        <v>—</v>
      </c>
      <c r="E337" s="25">
        <f t="shared" ca="1" si="17"/>
        <v>7</v>
      </c>
    </row>
    <row r="338" spans="1:5" x14ac:dyDescent="0.25">
      <c r="A338" s="8">
        <f t="shared" si="15"/>
        <v>73</v>
      </c>
      <c r="B338" t="str">
        <f ca="1">TEXT(DATE(YEAR(Invoer!$A$5),1,1)+INT((ROWS(B$2:B338)-1)/3),"jjjjmmdd")</f>
        <v>19460423</v>
      </c>
      <c r="C338" s="20" t="str">
        <f>INDEX(Data,2,2+MOD(ROWS(C$2:C338)-1,3))</f>
        <v>08.00</v>
      </c>
      <c r="D338" s="14" t="str">
        <f t="shared" ca="1" si="16"/>
        <v>—</v>
      </c>
      <c r="E338" s="25">
        <f t="shared" ca="1" si="17"/>
        <v>7</v>
      </c>
    </row>
    <row r="339" spans="1:5" x14ac:dyDescent="0.25">
      <c r="A339" s="8">
        <f t="shared" si="15"/>
        <v>73</v>
      </c>
      <c r="B339" t="str">
        <f ca="1">TEXT(DATE(YEAR(Invoer!$A$5),1,1)+INT((ROWS(B$2:B339)-1)/3),"jjjjmmdd")</f>
        <v>19460423</v>
      </c>
      <c r="C339" s="20" t="str">
        <f>INDEX(Data,2,2+MOD(ROWS(C$2:C339)-1,3))</f>
        <v>12.00</v>
      </c>
      <c r="D339" s="14" t="str">
        <f t="shared" ca="1" si="16"/>
        <v>—</v>
      </c>
      <c r="E339" s="25">
        <f t="shared" ca="1" si="17"/>
        <v>7</v>
      </c>
    </row>
    <row r="340" spans="1:5" x14ac:dyDescent="0.25">
      <c r="A340" s="8">
        <f t="shared" si="15"/>
        <v>73</v>
      </c>
      <c r="B340" t="str">
        <f ca="1">TEXT(DATE(YEAR(Invoer!$A$5),1,1)+INT((ROWS(B$2:B340)-1)/3),"jjjjmmdd")</f>
        <v>19460423</v>
      </c>
      <c r="C340" s="20" t="str">
        <f>INDEX(Data,2,2+MOD(ROWS(C$2:C340)-1,3))</f>
        <v>16.00</v>
      </c>
      <c r="D340" s="14" t="str">
        <f t="shared" ca="1" si="16"/>
        <v>—</v>
      </c>
      <c r="E340" s="25">
        <f t="shared" ca="1" si="17"/>
        <v>7</v>
      </c>
    </row>
    <row r="341" spans="1:5" x14ac:dyDescent="0.25">
      <c r="A341" s="8">
        <f t="shared" si="15"/>
        <v>73</v>
      </c>
      <c r="B341" t="str">
        <f ca="1">TEXT(DATE(YEAR(Invoer!$A$5),1,1)+INT((ROWS(B$2:B341)-1)/3),"jjjjmmdd")</f>
        <v>19460424</v>
      </c>
      <c r="C341" s="20" t="str">
        <f>INDEX(Data,2,2+MOD(ROWS(C$2:C341)-1,3))</f>
        <v>08.00</v>
      </c>
      <c r="D341" s="14" t="str">
        <f t="shared" ca="1" si="16"/>
        <v>—</v>
      </c>
      <c r="E341" s="25">
        <f t="shared" ca="1" si="17"/>
        <v>7</v>
      </c>
    </row>
    <row r="342" spans="1:5" x14ac:dyDescent="0.25">
      <c r="A342" s="8">
        <f t="shared" si="15"/>
        <v>73</v>
      </c>
      <c r="B342" t="str">
        <f ca="1">TEXT(DATE(YEAR(Invoer!$A$5),1,1)+INT((ROWS(B$2:B342)-1)/3),"jjjjmmdd")</f>
        <v>19460424</v>
      </c>
      <c r="C342" s="20" t="str">
        <f>INDEX(Data,2,2+MOD(ROWS(C$2:C342)-1,3))</f>
        <v>12.00</v>
      </c>
      <c r="D342" s="14" t="str">
        <f t="shared" ca="1" si="16"/>
        <v>—</v>
      </c>
      <c r="E342" s="25">
        <f t="shared" ca="1" si="17"/>
        <v>7</v>
      </c>
    </row>
    <row r="343" spans="1:5" x14ac:dyDescent="0.25">
      <c r="A343" s="8">
        <f t="shared" si="15"/>
        <v>73</v>
      </c>
      <c r="B343" t="str">
        <f ca="1">TEXT(DATE(YEAR(Invoer!$A$5),1,1)+INT((ROWS(B$2:B343)-1)/3),"jjjjmmdd")</f>
        <v>19460424</v>
      </c>
      <c r="C343" s="20" t="str">
        <f>INDEX(Data,2,2+MOD(ROWS(C$2:C343)-1,3))</f>
        <v>16.00</v>
      </c>
      <c r="D343" s="14" t="str">
        <f t="shared" ca="1" si="16"/>
        <v>—</v>
      </c>
      <c r="E343" s="25">
        <f t="shared" ca="1" si="17"/>
        <v>7</v>
      </c>
    </row>
    <row r="344" spans="1:5" x14ac:dyDescent="0.25">
      <c r="A344" s="8">
        <f t="shared" si="15"/>
        <v>73</v>
      </c>
      <c r="B344" t="str">
        <f ca="1">TEXT(DATE(YEAR(Invoer!$A$5),1,1)+INT((ROWS(B$2:B344)-1)/3),"jjjjmmdd")</f>
        <v>19460425</v>
      </c>
      <c r="C344" s="20" t="str">
        <f>INDEX(Data,2,2+MOD(ROWS(C$2:C344)-1,3))</f>
        <v>08.00</v>
      </c>
      <c r="D344" s="14" t="str">
        <f t="shared" ca="1" si="16"/>
        <v>—</v>
      </c>
      <c r="E344" s="25">
        <f t="shared" ca="1" si="17"/>
        <v>7</v>
      </c>
    </row>
    <row r="345" spans="1:5" x14ac:dyDescent="0.25">
      <c r="A345" s="8">
        <f t="shared" si="15"/>
        <v>73</v>
      </c>
      <c r="B345" t="str">
        <f ca="1">TEXT(DATE(YEAR(Invoer!$A$5),1,1)+INT((ROWS(B$2:B345)-1)/3),"jjjjmmdd")</f>
        <v>19460425</v>
      </c>
      <c r="C345" s="20" t="str">
        <f>INDEX(Data,2,2+MOD(ROWS(C$2:C345)-1,3))</f>
        <v>12.00</v>
      </c>
      <c r="D345" s="14" t="str">
        <f t="shared" ca="1" si="16"/>
        <v>—</v>
      </c>
      <c r="E345" s="25">
        <f t="shared" ca="1" si="17"/>
        <v>7</v>
      </c>
    </row>
    <row r="346" spans="1:5" x14ac:dyDescent="0.25">
      <c r="A346" s="8">
        <f t="shared" si="15"/>
        <v>73</v>
      </c>
      <c r="B346" t="str">
        <f ca="1">TEXT(DATE(YEAR(Invoer!$A$5),1,1)+INT((ROWS(B$2:B346)-1)/3),"jjjjmmdd")</f>
        <v>19460425</v>
      </c>
      <c r="C346" s="20" t="str">
        <f>INDEX(Data,2,2+MOD(ROWS(C$2:C346)-1,3))</f>
        <v>16.00</v>
      </c>
      <c r="D346" s="14" t="str">
        <f t="shared" ca="1" si="16"/>
        <v>—</v>
      </c>
      <c r="E346" s="25">
        <f t="shared" ca="1" si="17"/>
        <v>7</v>
      </c>
    </row>
    <row r="347" spans="1:5" x14ac:dyDescent="0.25">
      <c r="A347" s="8">
        <f t="shared" si="15"/>
        <v>73</v>
      </c>
      <c r="B347" t="str">
        <f ca="1">TEXT(DATE(YEAR(Invoer!$A$5),1,1)+INT((ROWS(B$2:B347)-1)/3),"jjjjmmdd")</f>
        <v>19460426</v>
      </c>
      <c r="C347" s="20" t="str">
        <f>INDEX(Data,2,2+MOD(ROWS(C$2:C347)-1,3))</f>
        <v>08.00</v>
      </c>
      <c r="D347" s="14" t="str">
        <f t="shared" ca="1" si="16"/>
        <v>—</v>
      </c>
      <c r="E347" s="25">
        <f t="shared" ca="1" si="17"/>
        <v>7</v>
      </c>
    </row>
    <row r="348" spans="1:5" x14ac:dyDescent="0.25">
      <c r="A348" s="8">
        <f t="shared" si="15"/>
        <v>73</v>
      </c>
      <c r="B348" t="str">
        <f ca="1">TEXT(DATE(YEAR(Invoer!$A$5),1,1)+INT((ROWS(B$2:B348)-1)/3),"jjjjmmdd")</f>
        <v>19460426</v>
      </c>
      <c r="C348" s="20" t="str">
        <f>INDEX(Data,2,2+MOD(ROWS(C$2:C348)-1,3))</f>
        <v>12.00</v>
      </c>
      <c r="D348" s="14" t="str">
        <f t="shared" ca="1" si="16"/>
        <v>—</v>
      </c>
      <c r="E348" s="25">
        <f t="shared" ca="1" si="17"/>
        <v>7</v>
      </c>
    </row>
    <row r="349" spans="1:5" x14ac:dyDescent="0.25">
      <c r="A349" s="8">
        <f t="shared" si="15"/>
        <v>73</v>
      </c>
      <c r="B349" t="str">
        <f ca="1">TEXT(DATE(YEAR(Invoer!$A$5),1,1)+INT((ROWS(B$2:B349)-1)/3),"jjjjmmdd")</f>
        <v>19460426</v>
      </c>
      <c r="C349" s="20" t="str">
        <f>INDEX(Data,2,2+MOD(ROWS(C$2:C349)-1,3))</f>
        <v>16.00</v>
      </c>
      <c r="D349" s="14" t="str">
        <f t="shared" ca="1" si="16"/>
        <v>—</v>
      </c>
      <c r="E349" s="25">
        <f t="shared" ca="1" si="17"/>
        <v>7</v>
      </c>
    </row>
    <row r="350" spans="1:5" x14ac:dyDescent="0.25">
      <c r="A350" s="8">
        <f t="shared" si="15"/>
        <v>73</v>
      </c>
      <c r="B350" t="str">
        <f ca="1">TEXT(DATE(YEAR(Invoer!$A$5),1,1)+INT((ROWS(B$2:B350)-1)/3),"jjjjmmdd")</f>
        <v>19460427</v>
      </c>
      <c r="C350" s="20" t="str">
        <f>INDEX(Data,2,2+MOD(ROWS(C$2:C350)-1,3))</f>
        <v>08.00</v>
      </c>
      <c r="D350" s="14" t="str">
        <f t="shared" ca="1" si="16"/>
        <v>—</v>
      </c>
      <c r="E350" s="25">
        <f t="shared" ca="1" si="17"/>
        <v>7</v>
      </c>
    </row>
    <row r="351" spans="1:5" x14ac:dyDescent="0.25">
      <c r="A351" s="8">
        <f t="shared" si="15"/>
        <v>73</v>
      </c>
      <c r="B351" t="str">
        <f ca="1">TEXT(DATE(YEAR(Invoer!$A$5),1,1)+INT((ROWS(B$2:B351)-1)/3),"jjjjmmdd")</f>
        <v>19460427</v>
      </c>
      <c r="C351" s="20" t="str">
        <f>INDEX(Data,2,2+MOD(ROWS(C$2:C351)-1,3))</f>
        <v>12.00</v>
      </c>
      <c r="D351" s="14" t="str">
        <f t="shared" ca="1" si="16"/>
        <v>—</v>
      </c>
      <c r="E351" s="25">
        <f t="shared" ca="1" si="17"/>
        <v>7</v>
      </c>
    </row>
    <row r="352" spans="1:5" x14ac:dyDescent="0.25">
      <c r="A352" s="8">
        <f t="shared" si="15"/>
        <v>73</v>
      </c>
      <c r="B352" t="str">
        <f ca="1">TEXT(DATE(YEAR(Invoer!$A$5),1,1)+INT((ROWS(B$2:B352)-1)/3),"jjjjmmdd")</f>
        <v>19460427</v>
      </c>
      <c r="C352" s="20" t="str">
        <f>INDEX(Data,2,2+MOD(ROWS(C$2:C352)-1,3))</f>
        <v>16.00</v>
      </c>
      <c r="D352" s="14" t="str">
        <f t="shared" ca="1" si="16"/>
        <v>—</v>
      </c>
      <c r="E352" s="25">
        <f t="shared" ca="1" si="17"/>
        <v>7</v>
      </c>
    </row>
    <row r="353" spans="1:5" x14ac:dyDescent="0.25">
      <c r="A353" s="8">
        <f t="shared" si="15"/>
        <v>73</v>
      </c>
      <c r="B353" t="str">
        <f ca="1">TEXT(DATE(YEAR(Invoer!$A$5),1,1)+INT((ROWS(B$2:B353)-1)/3),"jjjjmmdd")</f>
        <v>19460428</v>
      </c>
      <c r="C353" s="20" t="str">
        <f>INDEX(Data,2,2+MOD(ROWS(C$2:C353)-1,3))</f>
        <v>08.00</v>
      </c>
      <c r="D353" s="14" t="str">
        <f t="shared" ca="1" si="16"/>
        <v>—</v>
      </c>
      <c r="E353" s="25">
        <f t="shared" ca="1" si="17"/>
        <v>7</v>
      </c>
    </row>
    <row r="354" spans="1:5" x14ac:dyDescent="0.25">
      <c r="A354" s="8">
        <f t="shared" si="15"/>
        <v>73</v>
      </c>
      <c r="B354" t="str">
        <f ca="1">TEXT(DATE(YEAR(Invoer!$A$5),1,1)+INT((ROWS(B$2:B354)-1)/3),"jjjjmmdd")</f>
        <v>19460428</v>
      </c>
      <c r="C354" s="20" t="str">
        <f>INDEX(Data,2,2+MOD(ROWS(C$2:C354)-1,3))</f>
        <v>12.00</v>
      </c>
      <c r="D354" s="14" t="str">
        <f t="shared" ca="1" si="16"/>
        <v>—</v>
      </c>
      <c r="E354" s="25">
        <f t="shared" ca="1" si="17"/>
        <v>7</v>
      </c>
    </row>
    <row r="355" spans="1:5" x14ac:dyDescent="0.25">
      <c r="A355" s="8">
        <f t="shared" si="15"/>
        <v>73</v>
      </c>
      <c r="B355" t="str">
        <f ca="1">TEXT(DATE(YEAR(Invoer!$A$5),1,1)+INT((ROWS(B$2:B355)-1)/3),"jjjjmmdd")</f>
        <v>19460428</v>
      </c>
      <c r="C355" s="20" t="str">
        <f>INDEX(Data,2,2+MOD(ROWS(C$2:C355)-1,3))</f>
        <v>16.00</v>
      </c>
      <c r="D355" s="14" t="str">
        <f t="shared" ca="1" si="16"/>
        <v>—</v>
      </c>
      <c r="E355" s="25">
        <f t="shared" ca="1" si="17"/>
        <v>7</v>
      </c>
    </row>
    <row r="356" spans="1:5" x14ac:dyDescent="0.25">
      <c r="A356" s="8">
        <f t="shared" si="15"/>
        <v>73</v>
      </c>
      <c r="B356" t="str">
        <f ca="1">TEXT(DATE(YEAR(Invoer!$A$5),1,1)+INT((ROWS(B$2:B356)-1)/3),"jjjjmmdd")</f>
        <v>19460429</v>
      </c>
      <c r="C356" s="20" t="str">
        <f>INDEX(Data,2,2+MOD(ROWS(C$2:C356)-1,3))</f>
        <v>08.00</v>
      </c>
      <c r="D356" s="14" t="str">
        <f t="shared" ca="1" si="16"/>
        <v>—</v>
      </c>
      <c r="E356" s="25">
        <f t="shared" ca="1" si="17"/>
        <v>7</v>
      </c>
    </row>
    <row r="357" spans="1:5" x14ac:dyDescent="0.25">
      <c r="A357" s="8">
        <f t="shared" si="15"/>
        <v>73</v>
      </c>
      <c r="B357" t="str">
        <f ca="1">TEXT(DATE(YEAR(Invoer!$A$5),1,1)+INT((ROWS(B$2:B357)-1)/3),"jjjjmmdd")</f>
        <v>19460429</v>
      </c>
      <c r="C357" s="20" t="str">
        <f>INDEX(Data,2,2+MOD(ROWS(C$2:C357)-1,3))</f>
        <v>12.00</v>
      </c>
      <c r="D357" s="14" t="str">
        <f t="shared" ca="1" si="16"/>
        <v>—</v>
      </c>
      <c r="E357" s="25">
        <f t="shared" ca="1" si="17"/>
        <v>7</v>
      </c>
    </row>
    <row r="358" spans="1:5" x14ac:dyDescent="0.25">
      <c r="A358" s="8">
        <f t="shared" si="15"/>
        <v>73</v>
      </c>
      <c r="B358" t="str">
        <f ca="1">TEXT(DATE(YEAR(Invoer!$A$5),1,1)+INT((ROWS(B$2:B358)-1)/3),"jjjjmmdd")</f>
        <v>19460429</v>
      </c>
      <c r="C358" s="20" t="str">
        <f>INDEX(Data,2,2+MOD(ROWS(C$2:C358)-1,3))</f>
        <v>16.00</v>
      </c>
      <c r="D358" s="14" t="str">
        <f t="shared" ca="1" si="16"/>
        <v>—</v>
      </c>
      <c r="E358" s="25">
        <f t="shared" ca="1" si="17"/>
        <v>7</v>
      </c>
    </row>
    <row r="359" spans="1:5" x14ac:dyDescent="0.25">
      <c r="A359" s="8">
        <f t="shared" si="15"/>
        <v>73</v>
      </c>
      <c r="B359" t="str">
        <f ca="1">TEXT(DATE(YEAR(Invoer!$A$5),1,1)+INT((ROWS(B$2:B359)-1)/3),"jjjjmmdd")</f>
        <v>19460430</v>
      </c>
      <c r="C359" s="20" t="str">
        <f>INDEX(Data,2,2+MOD(ROWS(C$2:C359)-1,3))</f>
        <v>08.00</v>
      </c>
      <c r="D359" s="14" t="str">
        <f t="shared" ca="1" si="16"/>
        <v>—</v>
      </c>
      <c r="E359" s="25">
        <f t="shared" ca="1" si="17"/>
        <v>7</v>
      </c>
    </row>
    <row r="360" spans="1:5" x14ac:dyDescent="0.25">
      <c r="A360" s="8">
        <f t="shared" si="15"/>
        <v>73</v>
      </c>
      <c r="B360" t="str">
        <f ca="1">TEXT(DATE(YEAR(Invoer!$A$5),1,1)+INT((ROWS(B$2:B360)-1)/3),"jjjjmmdd")</f>
        <v>19460430</v>
      </c>
      <c r="C360" s="20" t="str">
        <f>INDEX(Data,2,2+MOD(ROWS(C$2:C360)-1,3))</f>
        <v>12.00</v>
      </c>
      <c r="D360" s="14" t="str">
        <f t="shared" ca="1" si="16"/>
        <v>—</v>
      </c>
      <c r="E360" s="25">
        <f t="shared" ca="1" si="17"/>
        <v>7</v>
      </c>
    </row>
    <row r="361" spans="1:5" x14ac:dyDescent="0.25">
      <c r="A361" s="8">
        <f t="shared" si="15"/>
        <v>73</v>
      </c>
      <c r="B361" t="str">
        <f ca="1">TEXT(DATE(YEAR(Invoer!$A$5),1,1)+INT((ROWS(B$2:B361)-1)/3),"jjjjmmdd")</f>
        <v>19460430</v>
      </c>
      <c r="C361" s="20" t="str">
        <f>INDEX(Data,2,2+MOD(ROWS(C$2:C361)-1,3))</f>
        <v>16.00</v>
      </c>
      <c r="D361" s="14" t="str">
        <f t="shared" ca="1" si="16"/>
        <v>—</v>
      </c>
      <c r="E361" s="25">
        <f t="shared" ca="1" si="17"/>
        <v>7</v>
      </c>
    </row>
    <row r="362" spans="1:5" x14ac:dyDescent="0.25">
      <c r="A362" s="8">
        <f t="shared" si="15"/>
        <v>73</v>
      </c>
      <c r="B362" t="str">
        <f ca="1">TEXT(DATE(YEAR(Invoer!$A$5),1,1)+INT((ROWS(B$2:B362)-1)/3),"jjjjmmdd")</f>
        <v>19460501</v>
      </c>
      <c r="C362" s="20" t="str">
        <f>INDEX(Data,2,2+MOD(ROWS(C$2:C362)-1,3))</f>
        <v>08.00</v>
      </c>
      <c r="D362" s="14" t="str">
        <f t="shared" ca="1" si="16"/>
        <v>—</v>
      </c>
      <c r="E362" s="25">
        <f t="shared" ca="1" si="17"/>
        <v>7</v>
      </c>
    </row>
    <row r="363" spans="1:5" x14ac:dyDescent="0.25">
      <c r="A363" s="8">
        <f t="shared" si="15"/>
        <v>73</v>
      </c>
      <c r="B363" t="str">
        <f ca="1">TEXT(DATE(YEAR(Invoer!$A$5),1,1)+INT((ROWS(B$2:B363)-1)/3),"jjjjmmdd")</f>
        <v>19460501</v>
      </c>
      <c r="C363" s="20" t="str">
        <f>INDEX(Data,2,2+MOD(ROWS(C$2:C363)-1,3))</f>
        <v>12.00</v>
      </c>
      <c r="D363" s="14" t="str">
        <f t="shared" ca="1" si="16"/>
        <v>—</v>
      </c>
      <c r="E363" s="25">
        <f t="shared" ca="1" si="17"/>
        <v>7</v>
      </c>
    </row>
    <row r="364" spans="1:5" x14ac:dyDescent="0.25">
      <c r="A364" s="8">
        <f t="shared" si="15"/>
        <v>73</v>
      </c>
      <c r="B364" t="str">
        <f ca="1">TEXT(DATE(YEAR(Invoer!$A$5),1,1)+INT((ROWS(B$2:B364)-1)/3),"jjjjmmdd")</f>
        <v>19460501</v>
      </c>
      <c r="C364" s="20" t="str">
        <f>INDEX(Data,2,2+MOD(ROWS(C$2:C364)-1,3))</f>
        <v>16.00</v>
      </c>
      <c r="D364" s="14" t="str">
        <f t="shared" ca="1" si="16"/>
        <v>—</v>
      </c>
      <c r="E364" s="25">
        <f t="shared" ca="1" si="17"/>
        <v>7</v>
      </c>
    </row>
    <row r="365" spans="1:5" x14ac:dyDescent="0.25">
      <c r="A365" s="8">
        <f t="shared" si="15"/>
        <v>73</v>
      </c>
      <c r="B365" t="str">
        <f ca="1">TEXT(DATE(YEAR(Invoer!$A$5),1,1)+INT((ROWS(B$2:B365)-1)/3),"jjjjmmdd")</f>
        <v>19460502</v>
      </c>
      <c r="C365" s="20" t="str">
        <f>INDEX(Data,2,2+MOD(ROWS(C$2:C365)-1,3))</f>
        <v>08.00</v>
      </c>
      <c r="D365" s="14" t="str">
        <f t="shared" ca="1" si="16"/>
        <v>—</v>
      </c>
      <c r="E365" s="25">
        <f t="shared" ca="1" si="17"/>
        <v>7</v>
      </c>
    </row>
    <row r="366" spans="1:5" x14ac:dyDescent="0.25">
      <c r="A366" s="8">
        <f t="shared" si="15"/>
        <v>73</v>
      </c>
      <c r="B366" t="str">
        <f ca="1">TEXT(DATE(YEAR(Invoer!$A$5),1,1)+INT((ROWS(B$2:B366)-1)/3),"jjjjmmdd")</f>
        <v>19460502</v>
      </c>
      <c r="C366" s="20" t="str">
        <f>INDEX(Data,2,2+MOD(ROWS(C$2:C366)-1,3))</f>
        <v>12.00</v>
      </c>
      <c r="D366" s="14" t="str">
        <f t="shared" ca="1" si="16"/>
        <v>—</v>
      </c>
      <c r="E366" s="25">
        <f t="shared" ca="1" si="17"/>
        <v>7</v>
      </c>
    </row>
    <row r="367" spans="1:5" x14ac:dyDescent="0.25">
      <c r="A367" s="8">
        <f t="shared" si="15"/>
        <v>73</v>
      </c>
      <c r="B367" t="str">
        <f ca="1">TEXT(DATE(YEAR(Invoer!$A$5),1,1)+INT((ROWS(B$2:B367)-1)/3),"jjjjmmdd")</f>
        <v>19460502</v>
      </c>
      <c r="C367" s="20" t="str">
        <f>INDEX(Data,2,2+MOD(ROWS(C$2:C367)-1,3))</f>
        <v>16.00</v>
      </c>
      <c r="D367" s="14" t="str">
        <f t="shared" ca="1" si="16"/>
        <v>—</v>
      </c>
      <c r="E367" s="25">
        <f t="shared" ca="1" si="17"/>
        <v>7</v>
      </c>
    </row>
    <row r="368" spans="1:5" x14ac:dyDescent="0.25">
      <c r="A368" s="8">
        <f t="shared" si="15"/>
        <v>73</v>
      </c>
      <c r="B368" t="str">
        <f ca="1">TEXT(DATE(YEAR(Invoer!$A$5),1,1)+INT((ROWS(B$2:B368)-1)/3),"jjjjmmdd")</f>
        <v>19460503</v>
      </c>
      <c r="C368" s="20" t="str">
        <f>INDEX(Data,2,2+MOD(ROWS(C$2:C368)-1,3))</f>
        <v>08.00</v>
      </c>
      <c r="D368" s="14" t="str">
        <f t="shared" ca="1" si="16"/>
        <v>—</v>
      </c>
      <c r="E368" s="25">
        <f t="shared" ca="1" si="17"/>
        <v>7</v>
      </c>
    </row>
    <row r="369" spans="1:5" x14ac:dyDescent="0.25">
      <c r="A369" s="8">
        <f t="shared" si="15"/>
        <v>73</v>
      </c>
      <c r="B369" t="str">
        <f ca="1">TEXT(DATE(YEAR(Invoer!$A$5),1,1)+INT((ROWS(B$2:B369)-1)/3),"jjjjmmdd")</f>
        <v>19460503</v>
      </c>
      <c r="C369" s="20" t="str">
        <f>INDEX(Data,2,2+MOD(ROWS(C$2:C369)-1,3))</f>
        <v>12.00</v>
      </c>
      <c r="D369" s="14" t="str">
        <f t="shared" ca="1" si="16"/>
        <v>—</v>
      </c>
      <c r="E369" s="25">
        <f t="shared" ca="1" si="17"/>
        <v>7</v>
      </c>
    </row>
    <row r="370" spans="1:5" x14ac:dyDescent="0.25">
      <c r="A370" s="8">
        <f t="shared" si="15"/>
        <v>73</v>
      </c>
      <c r="B370" t="str">
        <f ca="1">TEXT(DATE(YEAR(Invoer!$A$5),1,1)+INT((ROWS(B$2:B370)-1)/3),"jjjjmmdd")</f>
        <v>19460503</v>
      </c>
      <c r="C370" s="20" t="str">
        <f>INDEX(Data,2,2+MOD(ROWS(C$2:C370)-1,3))</f>
        <v>16.00</v>
      </c>
      <c r="D370" s="14" t="str">
        <f t="shared" ca="1" si="16"/>
        <v>—</v>
      </c>
      <c r="E370" s="25">
        <f t="shared" ca="1" si="17"/>
        <v>7</v>
      </c>
    </row>
    <row r="371" spans="1:5" x14ac:dyDescent="0.25">
      <c r="A371" s="8">
        <f t="shared" si="15"/>
        <v>73</v>
      </c>
      <c r="B371" t="str">
        <f ca="1">TEXT(DATE(YEAR(Invoer!$A$5),1,1)+INT((ROWS(B$2:B371)-1)/3),"jjjjmmdd")</f>
        <v>19460504</v>
      </c>
      <c r="C371" s="20" t="str">
        <f>INDEX(Data,2,2+MOD(ROWS(C$2:C371)-1,3))</f>
        <v>08.00</v>
      </c>
      <c r="D371" s="14" t="str">
        <f t="shared" ca="1" si="16"/>
        <v>—</v>
      </c>
      <c r="E371" s="25">
        <f t="shared" ca="1" si="17"/>
        <v>7</v>
      </c>
    </row>
    <row r="372" spans="1:5" x14ac:dyDescent="0.25">
      <c r="A372" s="8">
        <f t="shared" si="15"/>
        <v>73</v>
      </c>
      <c r="B372" t="str">
        <f ca="1">TEXT(DATE(YEAR(Invoer!$A$5),1,1)+INT((ROWS(B$2:B372)-1)/3),"jjjjmmdd")</f>
        <v>19460504</v>
      </c>
      <c r="C372" s="20" t="str">
        <f>INDEX(Data,2,2+MOD(ROWS(C$2:C372)-1,3))</f>
        <v>12.00</v>
      </c>
      <c r="D372" s="14" t="str">
        <f t="shared" ca="1" si="16"/>
        <v>—</v>
      </c>
      <c r="E372" s="25">
        <f t="shared" ca="1" si="17"/>
        <v>7</v>
      </c>
    </row>
    <row r="373" spans="1:5" x14ac:dyDescent="0.25">
      <c r="A373" s="8">
        <f t="shared" si="15"/>
        <v>73</v>
      </c>
      <c r="B373" t="str">
        <f ca="1">TEXT(DATE(YEAR(Invoer!$A$5),1,1)+INT((ROWS(B$2:B373)-1)/3),"jjjjmmdd")</f>
        <v>19460504</v>
      </c>
      <c r="C373" s="20" t="str">
        <f>INDEX(Data,2,2+MOD(ROWS(C$2:C373)-1,3))</f>
        <v>16.00</v>
      </c>
      <c r="D373" s="14" t="str">
        <f t="shared" ca="1" si="16"/>
        <v>—</v>
      </c>
      <c r="E373" s="25">
        <f t="shared" ca="1" si="17"/>
        <v>7</v>
      </c>
    </row>
    <row r="374" spans="1:5" x14ac:dyDescent="0.25">
      <c r="A374" s="8">
        <f t="shared" si="15"/>
        <v>73</v>
      </c>
      <c r="B374" t="str">
        <f ca="1">TEXT(DATE(YEAR(Invoer!$A$5),1,1)+INT((ROWS(B$2:B374)-1)/3),"jjjjmmdd")</f>
        <v>19460505</v>
      </c>
      <c r="C374" s="20" t="str">
        <f>INDEX(Data,2,2+MOD(ROWS(C$2:C374)-1,3))</f>
        <v>08.00</v>
      </c>
      <c r="D374" s="14" t="str">
        <f t="shared" ca="1" si="16"/>
        <v>—</v>
      </c>
      <c r="E374" s="25">
        <f t="shared" ca="1" si="17"/>
        <v>7</v>
      </c>
    </row>
    <row r="375" spans="1:5" x14ac:dyDescent="0.25">
      <c r="A375" s="8">
        <f t="shared" si="15"/>
        <v>73</v>
      </c>
      <c r="B375" t="str">
        <f ca="1">TEXT(DATE(YEAR(Invoer!$A$5),1,1)+INT((ROWS(B$2:B375)-1)/3),"jjjjmmdd")</f>
        <v>19460505</v>
      </c>
      <c r="C375" s="20" t="str">
        <f>INDEX(Data,2,2+MOD(ROWS(C$2:C375)-1,3))</f>
        <v>12.00</v>
      </c>
      <c r="D375" s="14" t="str">
        <f t="shared" ca="1" si="16"/>
        <v>—</v>
      </c>
      <c r="E375" s="25">
        <f t="shared" ca="1" si="17"/>
        <v>7</v>
      </c>
    </row>
    <row r="376" spans="1:5" x14ac:dyDescent="0.25">
      <c r="A376" s="8">
        <f t="shared" si="15"/>
        <v>73</v>
      </c>
      <c r="B376" t="str">
        <f ca="1">TEXT(DATE(YEAR(Invoer!$A$5),1,1)+INT((ROWS(B$2:B376)-1)/3),"jjjjmmdd")</f>
        <v>19460505</v>
      </c>
      <c r="C376" s="20" t="str">
        <f>INDEX(Data,2,2+MOD(ROWS(C$2:C376)-1,3))</f>
        <v>16.00</v>
      </c>
      <c r="D376" s="14" t="str">
        <f t="shared" ca="1" si="16"/>
        <v>—</v>
      </c>
      <c r="E376" s="25">
        <f t="shared" ca="1" si="17"/>
        <v>7</v>
      </c>
    </row>
    <row r="377" spans="1:5" x14ac:dyDescent="0.25">
      <c r="A377" s="8">
        <f t="shared" si="15"/>
        <v>73</v>
      </c>
      <c r="B377" t="str">
        <f ca="1">TEXT(DATE(YEAR(Invoer!$A$5),1,1)+INT((ROWS(B$2:B377)-1)/3),"jjjjmmdd")</f>
        <v>19460506</v>
      </c>
      <c r="C377" s="20" t="str">
        <f>INDEX(Data,2,2+MOD(ROWS(C$2:C377)-1,3))</f>
        <v>08.00</v>
      </c>
      <c r="D377" s="14" t="str">
        <f t="shared" ca="1" si="16"/>
        <v>—</v>
      </c>
      <c r="E377" s="25">
        <f t="shared" ca="1" si="17"/>
        <v>7</v>
      </c>
    </row>
    <row r="378" spans="1:5" x14ac:dyDescent="0.25">
      <c r="A378" s="8">
        <f t="shared" si="15"/>
        <v>73</v>
      </c>
      <c r="B378" t="str">
        <f ca="1">TEXT(DATE(YEAR(Invoer!$A$5),1,1)+INT((ROWS(B$2:B378)-1)/3),"jjjjmmdd")</f>
        <v>19460506</v>
      </c>
      <c r="C378" s="20" t="str">
        <f>INDEX(Data,2,2+MOD(ROWS(C$2:C378)-1,3))</f>
        <v>12.00</v>
      </c>
      <c r="D378" s="14" t="str">
        <f t="shared" ca="1" si="16"/>
        <v>—</v>
      </c>
      <c r="E378" s="25">
        <f t="shared" ca="1" si="17"/>
        <v>7</v>
      </c>
    </row>
    <row r="379" spans="1:5" x14ac:dyDescent="0.25">
      <c r="A379" s="8">
        <f t="shared" si="15"/>
        <v>73</v>
      </c>
      <c r="B379" t="str">
        <f ca="1">TEXT(DATE(YEAR(Invoer!$A$5),1,1)+INT((ROWS(B$2:B379)-1)/3),"jjjjmmdd")</f>
        <v>19460506</v>
      </c>
      <c r="C379" s="20" t="str">
        <f>INDEX(Data,2,2+MOD(ROWS(C$2:C379)-1,3))</f>
        <v>16.00</v>
      </c>
      <c r="D379" s="14" t="str">
        <f t="shared" ca="1" si="16"/>
        <v>—</v>
      </c>
      <c r="E379" s="25">
        <f t="shared" ca="1" si="17"/>
        <v>7</v>
      </c>
    </row>
    <row r="380" spans="1:5" x14ac:dyDescent="0.25">
      <c r="A380" s="8">
        <f t="shared" si="15"/>
        <v>73</v>
      </c>
      <c r="B380" t="str">
        <f ca="1">TEXT(DATE(YEAR(Invoer!$A$5),1,1)+INT((ROWS(B$2:B380)-1)/3),"jjjjmmdd")</f>
        <v>19460507</v>
      </c>
      <c r="C380" s="20" t="str">
        <f>INDEX(Data,2,2+MOD(ROWS(C$2:C380)-1,3))</f>
        <v>08.00</v>
      </c>
      <c r="D380" s="14" t="str">
        <f t="shared" ca="1" si="16"/>
        <v>—</v>
      </c>
      <c r="E380" s="25">
        <f t="shared" ca="1" si="17"/>
        <v>7</v>
      </c>
    </row>
    <row r="381" spans="1:5" x14ac:dyDescent="0.25">
      <c r="A381" s="8">
        <f t="shared" si="15"/>
        <v>73</v>
      </c>
      <c r="B381" t="str">
        <f ca="1">TEXT(DATE(YEAR(Invoer!$A$5),1,1)+INT((ROWS(B$2:B381)-1)/3),"jjjjmmdd")</f>
        <v>19460507</v>
      </c>
      <c r="C381" s="20" t="str">
        <f>INDEX(Data,2,2+MOD(ROWS(C$2:C381)-1,3))</f>
        <v>12.00</v>
      </c>
      <c r="D381" s="14" t="str">
        <f t="shared" ca="1" si="16"/>
        <v>—</v>
      </c>
      <c r="E381" s="25">
        <f t="shared" ca="1" si="17"/>
        <v>7</v>
      </c>
    </row>
    <row r="382" spans="1:5" x14ac:dyDescent="0.25">
      <c r="A382" s="8">
        <f t="shared" si="15"/>
        <v>73</v>
      </c>
      <c r="B382" t="str">
        <f ca="1">TEXT(DATE(YEAR(Invoer!$A$5),1,1)+INT((ROWS(B$2:B382)-1)/3),"jjjjmmdd")</f>
        <v>19460507</v>
      </c>
      <c r="C382" s="20" t="str">
        <f>INDEX(Data,2,2+MOD(ROWS(C$2:C382)-1,3))</f>
        <v>16.00</v>
      </c>
      <c r="D382" s="14" t="str">
        <f t="shared" ca="1" si="16"/>
        <v>—</v>
      </c>
      <c r="E382" s="25">
        <f t="shared" ca="1" si="17"/>
        <v>7</v>
      </c>
    </row>
    <row r="383" spans="1:5" x14ac:dyDescent="0.25">
      <c r="A383" s="8">
        <f t="shared" si="15"/>
        <v>73</v>
      </c>
      <c r="B383" t="str">
        <f ca="1">TEXT(DATE(YEAR(Invoer!$A$5),1,1)+INT((ROWS(B$2:B383)-1)/3),"jjjjmmdd")</f>
        <v>19460508</v>
      </c>
      <c r="C383" s="20" t="str">
        <f>INDEX(Data,2,2+MOD(ROWS(C$2:C383)-1,3))</f>
        <v>08.00</v>
      </c>
      <c r="D383" s="14" t="str">
        <f t="shared" ca="1" si="16"/>
        <v>—</v>
      </c>
      <c r="E383" s="25">
        <f t="shared" ca="1" si="17"/>
        <v>7</v>
      </c>
    </row>
    <row r="384" spans="1:5" x14ac:dyDescent="0.25">
      <c r="A384" s="8">
        <f t="shared" si="15"/>
        <v>73</v>
      </c>
      <c r="B384" t="str">
        <f ca="1">TEXT(DATE(YEAR(Invoer!$A$5),1,1)+INT((ROWS(B$2:B384)-1)/3),"jjjjmmdd")</f>
        <v>19460508</v>
      </c>
      <c r="C384" s="20" t="str">
        <f>INDEX(Data,2,2+MOD(ROWS(C$2:C384)-1,3))</f>
        <v>12.00</v>
      </c>
      <c r="D384" s="14" t="str">
        <f t="shared" ca="1" si="16"/>
        <v>—</v>
      </c>
      <c r="E384" s="25">
        <f t="shared" ca="1" si="17"/>
        <v>7</v>
      </c>
    </row>
    <row r="385" spans="1:5" x14ac:dyDescent="0.25">
      <c r="A385" s="8">
        <f t="shared" si="15"/>
        <v>73</v>
      </c>
      <c r="B385" t="str">
        <f ca="1">TEXT(DATE(YEAR(Invoer!$A$5),1,1)+INT((ROWS(B$2:B385)-1)/3),"jjjjmmdd")</f>
        <v>19460508</v>
      </c>
      <c r="C385" s="20" t="str">
        <f>INDEX(Data,2,2+MOD(ROWS(C$2:C385)-1,3))</f>
        <v>16.00</v>
      </c>
      <c r="D385" s="14" t="str">
        <f t="shared" ca="1" si="16"/>
        <v>—</v>
      </c>
      <c r="E385" s="25">
        <f t="shared" ca="1" si="17"/>
        <v>7</v>
      </c>
    </row>
    <row r="386" spans="1:5" x14ac:dyDescent="0.25">
      <c r="A386" s="8">
        <f t="shared" ref="A386:A449" si="18">INDEX(Stations,2,1)</f>
        <v>73</v>
      </c>
      <c r="B386" t="str">
        <f ca="1">TEXT(DATE(YEAR(Invoer!$A$5),1,1)+INT((ROWS(B$2:B386)-1)/3),"jjjjmmdd")</f>
        <v>19460509</v>
      </c>
      <c r="C386" s="20" t="str">
        <f>INDEX(Data,2,2+MOD(ROWS(C$2:C386)-1,3))</f>
        <v>08.00</v>
      </c>
      <c r="D386" s="14" t="str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25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</row>
    <row r="387" spans="1:5" x14ac:dyDescent="0.25">
      <c r="A387" s="8">
        <f t="shared" si="18"/>
        <v>73</v>
      </c>
      <c r="B387" t="str">
        <f ca="1">TEXT(DATE(YEAR(Invoer!$A$5),1,1)+INT((ROWS(B$2:B387)-1)/3),"jjjjmmdd")</f>
        <v>19460509</v>
      </c>
      <c r="C387" s="20" t="str">
        <f>INDEX(Data,2,2+MOD(ROWS(C$2:C387)-1,3))</f>
        <v>12.00</v>
      </c>
      <c r="D387" s="14" t="str">
        <f t="shared" ca="1" si="19"/>
        <v>—</v>
      </c>
      <c r="E387" s="25">
        <f t="shared" ca="1" si="20"/>
        <v>7</v>
      </c>
    </row>
    <row r="388" spans="1:5" x14ac:dyDescent="0.25">
      <c r="A388" s="8">
        <f t="shared" si="18"/>
        <v>73</v>
      </c>
      <c r="B388" t="str">
        <f ca="1">TEXT(DATE(YEAR(Invoer!$A$5),1,1)+INT((ROWS(B$2:B388)-1)/3),"jjjjmmdd")</f>
        <v>19460509</v>
      </c>
      <c r="C388" s="20" t="str">
        <f>INDEX(Data,2,2+MOD(ROWS(C$2:C388)-1,3))</f>
        <v>16.00</v>
      </c>
      <c r="D388" s="14" t="str">
        <f t="shared" ca="1" si="19"/>
        <v>—</v>
      </c>
      <c r="E388" s="25">
        <f t="shared" ca="1" si="20"/>
        <v>7</v>
      </c>
    </row>
    <row r="389" spans="1:5" x14ac:dyDescent="0.25">
      <c r="A389" s="8">
        <f t="shared" si="18"/>
        <v>73</v>
      </c>
      <c r="B389" t="str">
        <f ca="1">TEXT(DATE(YEAR(Invoer!$A$5),1,1)+INT((ROWS(B$2:B389)-1)/3),"jjjjmmdd")</f>
        <v>19460510</v>
      </c>
      <c r="C389" s="20" t="str">
        <f>INDEX(Data,2,2+MOD(ROWS(C$2:C389)-1,3))</f>
        <v>08.00</v>
      </c>
      <c r="D389" s="14" t="str">
        <f t="shared" ca="1" si="19"/>
        <v>—</v>
      </c>
      <c r="E389" s="25">
        <f t="shared" ca="1" si="20"/>
        <v>7</v>
      </c>
    </row>
    <row r="390" spans="1:5" x14ac:dyDescent="0.25">
      <c r="A390" s="8">
        <f t="shared" si="18"/>
        <v>73</v>
      </c>
      <c r="B390" t="str">
        <f ca="1">TEXT(DATE(YEAR(Invoer!$A$5),1,1)+INT((ROWS(B$2:B390)-1)/3),"jjjjmmdd")</f>
        <v>19460510</v>
      </c>
      <c r="C390" s="20" t="str">
        <f>INDEX(Data,2,2+MOD(ROWS(C$2:C390)-1,3))</f>
        <v>12.00</v>
      </c>
      <c r="D390" s="14" t="str">
        <f t="shared" ca="1" si="19"/>
        <v>—</v>
      </c>
      <c r="E390" s="25">
        <f t="shared" ca="1" si="20"/>
        <v>7</v>
      </c>
    </row>
    <row r="391" spans="1:5" x14ac:dyDescent="0.25">
      <c r="A391" s="8">
        <f t="shared" si="18"/>
        <v>73</v>
      </c>
      <c r="B391" t="str">
        <f ca="1">TEXT(DATE(YEAR(Invoer!$A$5),1,1)+INT((ROWS(B$2:B391)-1)/3),"jjjjmmdd")</f>
        <v>19460510</v>
      </c>
      <c r="C391" s="20" t="str">
        <f>INDEX(Data,2,2+MOD(ROWS(C$2:C391)-1,3))</f>
        <v>16.00</v>
      </c>
      <c r="D391" s="14" t="str">
        <f t="shared" ca="1" si="19"/>
        <v>—</v>
      </c>
      <c r="E391" s="25">
        <f t="shared" ca="1" si="20"/>
        <v>7</v>
      </c>
    </row>
    <row r="392" spans="1:5" x14ac:dyDescent="0.25">
      <c r="A392" s="8">
        <f t="shared" si="18"/>
        <v>73</v>
      </c>
      <c r="B392" t="str">
        <f ca="1">TEXT(DATE(YEAR(Invoer!$A$5),1,1)+INT((ROWS(B$2:B392)-1)/3),"jjjjmmdd")</f>
        <v>19460511</v>
      </c>
      <c r="C392" s="20" t="str">
        <f>INDEX(Data,2,2+MOD(ROWS(C$2:C392)-1,3))</f>
        <v>08.00</v>
      </c>
      <c r="D392" s="14" t="str">
        <f t="shared" ca="1" si="19"/>
        <v>—</v>
      </c>
      <c r="E392" s="25">
        <f t="shared" ca="1" si="20"/>
        <v>7</v>
      </c>
    </row>
    <row r="393" spans="1:5" x14ac:dyDescent="0.25">
      <c r="A393" s="8">
        <f t="shared" si="18"/>
        <v>73</v>
      </c>
      <c r="B393" t="str">
        <f ca="1">TEXT(DATE(YEAR(Invoer!$A$5),1,1)+INT((ROWS(B$2:B393)-1)/3),"jjjjmmdd")</f>
        <v>19460511</v>
      </c>
      <c r="C393" s="20" t="str">
        <f>INDEX(Data,2,2+MOD(ROWS(C$2:C393)-1,3))</f>
        <v>12.00</v>
      </c>
      <c r="D393" s="14" t="str">
        <f t="shared" ca="1" si="19"/>
        <v>—</v>
      </c>
      <c r="E393" s="25">
        <f t="shared" ca="1" si="20"/>
        <v>7</v>
      </c>
    </row>
    <row r="394" spans="1:5" x14ac:dyDescent="0.25">
      <c r="A394" s="8">
        <f t="shared" si="18"/>
        <v>73</v>
      </c>
      <c r="B394" t="str">
        <f ca="1">TEXT(DATE(YEAR(Invoer!$A$5),1,1)+INT((ROWS(B$2:B394)-1)/3),"jjjjmmdd")</f>
        <v>19460511</v>
      </c>
      <c r="C394" s="20" t="str">
        <f>INDEX(Data,2,2+MOD(ROWS(C$2:C394)-1,3))</f>
        <v>16.00</v>
      </c>
      <c r="D394" s="14" t="str">
        <f t="shared" ca="1" si="19"/>
        <v>—</v>
      </c>
      <c r="E394" s="25">
        <f t="shared" ca="1" si="20"/>
        <v>7</v>
      </c>
    </row>
    <row r="395" spans="1:5" x14ac:dyDescent="0.25">
      <c r="A395" s="8">
        <f t="shared" si="18"/>
        <v>73</v>
      </c>
      <c r="B395" t="str">
        <f ca="1">TEXT(DATE(YEAR(Invoer!$A$5),1,1)+INT((ROWS(B$2:B395)-1)/3),"jjjjmmdd")</f>
        <v>19460512</v>
      </c>
      <c r="C395" s="20" t="str">
        <f>INDEX(Data,2,2+MOD(ROWS(C$2:C395)-1,3))</f>
        <v>08.00</v>
      </c>
      <c r="D395" s="14" t="str">
        <f t="shared" ca="1" si="19"/>
        <v>—</v>
      </c>
      <c r="E395" s="25">
        <f t="shared" ca="1" si="20"/>
        <v>7</v>
      </c>
    </row>
    <row r="396" spans="1:5" x14ac:dyDescent="0.25">
      <c r="A396" s="8">
        <f t="shared" si="18"/>
        <v>73</v>
      </c>
      <c r="B396" t="str">
        <f ca="1">TEXT(DATE(YEAR(Invoer!$A$5),1,1)+INT((ROWS(B$2:B396)-1)/3),"jjjjmmdd")</f>
        <v>19460512</v>
      </c>
      <c r="C396" s="20" t="str">
        <f>INDEX(Data,2,2+MOD(ROWS(C$2:C396)-1,3))</f>
        <v>12.00</v>
      </c>
      <c r="D396" s="14" t="str">
        <f t="shared" ca="1" si="19"/>
        <v>—</v>
      </c>
      <c r="E396" s="25">
        <f t="shared" ca="1" si="20"/>
        <v>7</v>
      </c>
    </row>
    <row r="397" spans="1:5" x14ac:dyDescent="0.25">
      <c r="A397" s="8">
        <f t="shared" si="18"/>
        <v>73</v>
      </c>
      <c r="B397" t="str">
        <f ca="1">TEXT(DATE(YEAR(Invoer!$A$5),1,1)+INT((ROWS(B$2:B397)-1)/3),"jjjjmmdd")</f>
        <v>19460512</v>
      </c>
      <c r="C397" s="20" t="str">
        <f>INDEX(Data,2,2+MOD(ROWS(C$2:C397)-1,3))</f>
        <v>16.00</v>
      </c>
      <c r="D397" s="14" t="str">
        <f t="shared" ca="1" si="19"/>
        <v>—</v>
      </c>
      <c r="E397" s="25">
        <f t="shared" ca="1" si="20"/>
        <v>7</v>
      </c>
    </row>
    <row r="398" spans="1:5" x14ac:dyDescent="0.25">
      <c r="A398" s="8">
        <f t="shared" si="18"/>
        <v>73</v>
      </c>
      <c r="B398" t="str">
        <f ca="1">TEXT(DATE(YEAR(Invoer!$A$5),1,1)+INT((ROWS(B$2:B398)-1)/3),"jjjjmmdd")</f>
        <v>19460513</v>
      </c>
      <c r="C398" s="20" t="str">
        <f>INDEX(Data,2,2+MOD(ROWS(C$2:C398)-1,3))</f>
        <v>08.00</v>
      </c>
      <c r="D398" s="14" t="str">
        <f t="shared" ca="1" si="19"/>
        <v>—</v>
      </c>
      <c r="E398" s="25">
        <f t="shared" ca="1" si="20"/>
        <v>7</v>
      </c>
    </row>
    <row r="399" spans="1:5" x14ac:dyDescent="0.25">
      <c r="A399" s="8">
        <f t="shared" si="18"/>
        <v>73</v>
      </c>
      <c r="B399" t="str">
        <f ca="1">TEXT(DATE(YEAR(Invoer!$A$5),1,1)+INT((ROWS(B$2:B399)-1)/3),"jjjjmmdd")</f>
        <v>19460513</v>
      </c>
      <c r="C399" s="20" t="str">
        <f>INDEX(Data,2,2+MOD(ROWS(C$2:C399)-1,3))</f>
        <v>12.00</v>
      </c>
      <c r="D399" s="14" t="str">
        <f t="shared" ca="1" si="19"/>
        <v>—</v>
      </c>
      <c r="E399" s="25">
        <f t="shared" ca="1" si="20"/>
        <v>7</v>
      </c>
    </row>
    <row r="400" spans="1:5" x14ac:dyDescent="0.25">
      <c r="A400" s="8">
        <f t="shared" si="18"/>
        <v>73</v>
      </c>
      <c r="B400" t="str">
        <f ca="1">TEXT(DATE(YEAR(Invoer!$A$5),1,1)+INT((ROWS(B$2:B400)-1)/3),"jjjjmmdd")</f>
        <v>19460513</v>
      </c>
      <c r="C400" s="20" t="str">
        <f>INDEX(Data,2,2+MOD(ROWS(C$2:C400)-1,3))</f>
        <v>16.00</v>
      </c>
      <c r="D400" s="14" t="str">
        <f t="shared" ca="1" si="19"/>
        <v>—</v>
      </c>
      <c r="E400" s="25">
        <f t="shared" ca="1" si="20"/>
        <v>7</v>
      </c>
    </row>
    <row r="401" spans="1:5" x14ac:dyDescent="0.25">
      <c r="A401" s="8">
        <f t="shared" si="18"/>
        <v>73</v>
      </c>
      <c r="B401" t="str">
        <f ca="1">TEXT(DATE(YEAR(Invoer!$A$5),1,1)+INT((ROWS(B$2:B401)-1)/3),"jjjjmmdd")</f>
        <v>19460514</v>
      </c>
      <c r="C401" s="20" t="str">
        <f>INDEX(Data,2,2+MOD(ROWS(C$2:C401)-1,3))</f>
        <v>08.00</v>
      </c>
      <c r="D401" s="14" t="str">
        <f t="shared" ca="1" si="19"/>
        <v>—</v>
      </c>
      <c r="E401" s="25">
        <f t="shared" ca="1" si="20"/>
        <v>7</v>
      </c>
    </row>
    <row r="402" spans="1:5" x14ac:dyDescent="0.25">
      <c r="A402" s="8">
        <f t="shared" si="18"/>
        <v>73</v>
      </c>
      <c r="B402" t="str">
        <f ca="1">TEXT(DATE(YEAR(Invoer!$A$5),1,1)+INT((ROWS(B$2:B402)-1)/3),"jjjjmmdd")</f>
        <v>19460514</v>
      </c>
      <c r="C402" s="20" t="str">
        <f>INDEX(Data,2,2+MOD(ROWS(C$2:C402)-1,3))</f>
        <v>12.00</v>
      </c>
      <c r="D402" s="14" t="str">
        <f t="shared" ca="1" si="19"/>
        <v>—</v>
      </c>
      <c r="E402" s="25">
        <f t="shared" ca="1" si="20"/>
        <v>7</v>
      </c>
    </row>
    <row r="403" spans="1:5" x14ac:dyDescent="0.25">
      <c r="A403" s="8">
        <f t="shared" si="18"/>
        <v>73</v>
      </c>
      <c r="B403" t="str">
        <f ca="1">TEXT(DATE(YEAR(Invoer!$A$5),1,1)+INT((ROWS(B$2:B403)-1)/3),"jjjjmmdd")</f>
        <v>19460514</v>
      </c>
      <c r="C403" s="20" t="str">
        <f>INDEX(Data,2,2+MOD(ROWS(C$2:C403)-1,3))</f>
        <v>16.00</v>
      </c>
      <c r="D403" s="14" t="str">
        <f t="shared" ca="1" si="19"/>
        <v>—</v>
      </c>
      <c r="E403" s="25">
        <f t="shared" ca="1" si="20"/>
        <v>7</v>
      </c>
    </row>
    <row r="404" spans="1:5" x14ac:dyDescent="0.25">
      <c r="A404" s="8">
        <f t="shared" si="18"/>
        <v>73</v>
      </c>
      <c r="B404" t="str">
        <f ca="1">TEXT(DATE(YEAR(Invoer!$A$5),1,1)+INT((ROWS(B$2:B404)-1)/3),"jjjjmmdd")</f>
        <v>19460515</v>
      </c>
      <c r="C404" s="20" t="str">
        <f>INDEX(Data,2,2+MOD(ROWS(C$2:C404)-1,3))</f>
        <v>08.00</v>
      </c>
      <c r="D404" s="14" t="str">
        <f t="shared" ca="1" si="19"/>
        <v>—</v>
      </c>
      <c r="E404" s="25">
        <f t="shared" ca="1" si="20"/>
        <v>7</v>
      </c>
    </row>
    <row r="405" spans="1:5" x14ac:dyDescent="0.25">
      <c r="A405" s="8">
        <f t="shared" si="18"/>
        <v>73</v>
      </c>
      <c r="B405" t="str">
        <f ca="1">TEXT(DATE(YEAR(Invoer!$A$5),1,1)+INT((ROWS(B$2:B405)-1)/3),"jjjjmmdd")</f>
        <v>19460515</v>
      </c>
      <c r="C405" s="20" t="str">
        <f>INDEX(Data,2,2+MOD(ROWS(C$2:C405)-1,3))</f>
        <v>12.00</v>
      </c>
      <c r="D405" s="14" t="str">
        <f t="shared" ca="1" si="19"/>
        <v>—</v>
      </c>
      <c r="E405" s="25">
        <f t="shared" ca="1" si="20"/>
        <v>7</v>
      </c>
    </row>
    <row r="406" spans="1:5" x14ac:dyDescent="0.25">
      <c r="A406" s="8">
        <f t="shared" si="18"/>
        <v>73</v>
      </c>
      <c r="B406" t="str">
        <f ca="1">TEXT(DATE(YEAR(Invoer!$A$5),1,1)+INT((ROWS(B$2:B406)-1)/3),"jjjjmmdd")</f>
        <v>19460515</v>
      </c>
      <c r="C406" s="20" t="str">
        <f>INDEX(Data,2,2+MOD(ROWS(C$2:C406)-1,3))</f>
        <v>16.00</v>
      </c>
      <c r="D406" s="14" t="str">
        <f t="shared" ca="1" si="19"/>
        <v>—</v>
      </c>
      <c r="E406" s="25">
        <f t="shared" ca="1" si="20"/>
        <v>7</v>
      </c>
    </row>
    <row r="407" spans="1:5" x14ac:dyDescent="0.25">
      <c r="A407" s="8">
        <f t="shared" si="18"/>
        <v>73</v>
      </c>
      <c r="B407" t="str">
        <f ca="1">TEXT(DATE(YEAR(Invoer!$A$5),1,1)+INT((ROWS(B$2:B407)-1)/3),"jjjjmmdd")</f>
        <v>19460516</v>
      </c>
      <c r="C407" s="20" t="str">
        <f>INDEX(Data,2,2+MOD(ROWS(C$2:C407)-1,3))</f>
        <v>08.00</v>
      </c>
      <c r="D407" s="14" t="str">
        <f t="shared" ca="1" si="19"/>
        <v>—</v>
      </c>
      <c r="E407" s="25">
        <f t="shared" ca="1" si="20"/>
        <v>7</v>
      </c>
    </row>
    <row r="408" spans="1:5" x14ac:dyDescent="0.25">
      <c r="A408" s="8">
        <f t="shared" si="18"/>
        <v>73</v>
      </c>
      <c r="B408" t="str">
        <f ca="1">TEXT(DATE(YEAR(Invoer!$A$5),1,1)+INT((ROWS(B$2:B408)-1)/3),"jjjjmmdd")</f>
        <v>19460516</v>
      </c>
      <c r="C408" s="20" t="str">
        <f>INDEX(Data,2,2+MOD(ROWS(C$2:C408)-1,3))</f>
        <v>12.00</v>
      </c>
      <c r="D408" s="14" t="str">
        <f t="shared" ca="1" si="19"/>
        <v>—</v>
      </c>
      <c r="E408" s="25">
        <f t="shared" ca="1" si="20"/>
        <v>7</v>
      </c>
    </row>
    <row r="409" spans="1:5" x14ac:dyDescent="0.25">
      <c r="A409" s="8">
        <f t="shared" si="18"/>
        <v>73</v>
      </c>
      <c r="B409" t="str">
        <f ca="1">TEXT(DATE(YEAR(Invoer!$A$5),1,1)+INT((ROWS(B$2:B409)-1)/3),"jjjjmmdd")</f>
        <v>19460516</v>
      </c>
      <c r="C409" s="20" t="str">
        <f>INDEX(Data,2,2+MOD(ROWS(C$2:C409)-1,3))</f>
        <v>16.00</v>
      </c>
      <c r="D409" s="14" t="str">
        <f t="shared" ca="1" si="19"/>
        <v>—</v>
      </c>
      <c r="E409" s="25">
        <f t="shared" ca="1" si="20"/>
        <v>7</v>
      </c>
    </row>
    <row r="410" spans="1:5" x14ac:dyDescent="0.25">
      <c r="A410" s="8">
        <f t="shared" si="18"/>
        <v>73</v>
      </c>
      <c r="B410" t="str">
        <f ca="1">TEXT(DATE(YEAR(Invoer!$A$5),1,1)+INT((ROWS(B$2:B410)-1)/3),"jjjjmmdd")</f>
        <v>19460517</v>
      </c>
      <c r="C410" s="20" t="str">
        <f>INDEX(Data,2,2+MOD(ROWS(C$2:C410)-1,3))</f>
        <v>08.00</v>
      </c>
      <c r="D410" s="14" t="str">
        <f t="shared" ca="1" si="19"/>
        <v>—</v>
      </c>
      <c r="E410" s="25">
        <f t="shared" ca="1" si="20"/>
        <v>7</v>
      </c>
    </row>
    <row r="411" spans="1:5" x14ac:dyDescent="0.25">
      <c r="A411" s="8">
        <f t="shared" si="18"/>
        <v>73</v>
      </c>
      <c r="B411" t="str">
        <f ca="1">TEXT(DATE(YEAR(Invoer!$A$5),1,1)+INT((ROWS(B$2:B411)-1)/3),"jjjjmmdd")</f>
        <v>19460517</v>
      </c>
      <c r="C411" s="20" t="str">
        <f>INDEX(Data,2,2+MOD(ROWS(C$2:C411)-1,3))</f>
        <v>12.00</v>
      </c>
      <c r="D411" s="14" t="str">
        <f t="shared" ca="1" si="19"/>
        <v>—</v>
      </c>
      <c r="E411" s="25">
        <f t="shared" ca="1" si="20"/>
        <v>7</v>
      </c>
    </row>
    <row r="412" spans="1:5" x14ac:dyDescent="0.25">
      <c r="A412" s="8">
        <f t="shared" si="18"/>
        <v>73</v>
      </c>
      <c r="B412" t="str">
        <f ca="1">TEXT(DATE(YEAR(Invoer!$A$5),1,1)+INT((ROWS(B$2:B412)-1)/3),"jjjjmmdd")</f>
        <v>19460517</v>
      </c>
      <c r="C412" s="20" t="str">
        <f>INDEX(Data,2,2+MOD(ROWS(C$2:C412)-1,3))</f>
        <v>16.00</v>
      </c>
      <c r="D412" s="14" t="str">
        <f t="shared" ca="1" si="19"/>
        <v>—</v>
      </c>
      <c r="E412" s="25">
        <f t="shared" ca="1" si="20"/>
        <v>7</v>
      </c>
    </row>
    <row r="413" spans="1:5" x14ac:dyDescent="0.25">
      <c r="A413" s="8">
        <f t="shared" si="18"/>
        <v>73</v>
      </c>
      <c r="B413" t="str">
        <f ca="1">TEXT(DATE(YEAR(Invoer!$A$5),1,1)+INT((ROWS(B$2:B413)-1)/3),"jjjjmmdd")</f>
        <v>19460518</v>
      </c>
      <c r="C413" s="20" t="str">
        <f>INDEX(Data,2,2+MOD(ROWS(C$2:C413)-1,3))</f>
        <v>08.00</v>
      </c>
      <c r="D413" s="14" t="str">
        <f t="shared" ca="1" si="19"/>
        <v>—</v>
      </c>
      <c r="E413" s="25">
        <f t="shared" ca="1" si="20"/>
        <v>7</v>
      </c>
    </row>
    <row r="414" spans="1:5" x14ac:dyDescent="0.25">
      <c r="A414" s="8">
        <f t="shared" si="18"/>
        <v>73</v>
      </c>
      <c r="B414" t="str">
        <f ca="1">TEXT(DATE(YEAR(Invoer!$A$5),1,1)+INT((ROWS(B$2:B414)-1)/3),"jjjjmmdd")</f>
        <v>19460518</v>
      </c>
      <c r="C414" s="20" t="str">
        <f>INDEX(Data,2,2+MOD(ROWS(C$2:C414)-1,3))</f>
        <v>12.00</v>
      </c>
      <c r="D414" s="14" t="str">
        <f t="shared" ca="1" si="19"/>
        <v>—</v>
      </c>
      <c r="E414" s="25">
        <f t="shared" ca="1" si="20"/>
        <v>7</v>
      </c>
    </row>
    <row r="415" spans="1:5" x14ac:dyDescent="0.25">
      <c r="A415" s="8">
        <f t="shared" si="18"/>
        <v>73</v>
      </c>
      <c r="B415" t="str">
        <f ca="1">TEXT(DATE(YEAR(Invoer!$A$5),1,1)+INT((ROWS(B$2:B415)-1)/3),"jjjjmmdd")</f>
        <v>19460518</v>
      </c>
      <c r="C415" s="20" t="str">
        <f>INDEX(Data,2,2+MOD(ROWS(C$2:C415)-1,3))</f>
        <v>16.00</v>
      </c>
      <c r="D415" s="14" t="str">
        <f t="shared" ca="1" si="19"/>
        <v>—</v>
      </c>
      <c r="E415" s="25">
        <f t="shared" ca="1" si="20"/>
        <v>7</v>
      </c>
    </row>
    <row r="416" spans="1:5" x14ac:dyDescent="0.25">
      <c r="A416" s="8">
        <f t="shared" si="18"/>
        <v>73</v>
      </c>
      <c r="B416" t="str">
        <f ca="1">TEXT(DATE(YEAR(Invoer!$A$5),1,1)+INT((ROWS(B$2:B416)-1)/3),"jjjjmmdd")</f>
        <v>19460519</v>
      </c>
      <c r="C416" s="20" t="str">
        <f>INDEX(Data,2,2+MOD(ROWS(C$2:C416)-1,3))</f>
        <v>08.00</v>
      </c>
      <c r="D416" s="14" t="str">
        <f t="shared" ca="1" si="19"/>
        <v>—</v>
      </c>
      <c r="E416" s="25">
        <f t="shared" ca="1" si="20"/>
        <v>7</v>
      </c>
    </row>
    <row r="417" spans="1:5" x14ac:dyDescent="0.25">
      <c r="A417" s="8">
        <f t="shared" si="18"/>
        <v>73</v>
      </c>
      <c r="B417" t="str">
        <f ca="1">TEXT(DATE(YEAR(Invoer!$A$5),1,1)+INT((ROWS(B$2:B417)-1)/3),"jjjjmmdd")</f>
        <v>19460519</v>
      </c>
      <c r="C417" s="20" t="str">
        <f>INDEX(Data,2,2+MOD(ROWS(C$2:C417)-1,3))</f>
        <v>12.00</v>
      </c>
      <c r="D417" s="14" t="str">
        <f t="shared" ca="1" si="19"/>
        <v>—</v>
      </c>
      <c r="E417" s="25">
        <f t="shared" ca="1" si="20"/>
        <v>7</v>
      </c>
    </row>
    <row r="418" spans="1:5" x14ac:dyDescent="0.25">
      <c r="A418" s="8">
        <f t="shared" si="18"/>
        <v>73</v>
      </c>
      <c r="B418" t="str">
        <f ca="1">TEXT(DATE(YEAR(Invoer!$A$5),1,1)+INT((ROWS(B$2:B418)-1)/3),"jjjjmmdd")</f>
        <v>19460519</v>
      </c>
      <c r="C418" s="20" t="str">
        <f>INDEX(Data,2,2+MOD(ROWS(C$2:C418)-1,3))</f>
        <v>16.00</v>
      </c>
      <c r="D418" s="14" t="str">
        <f t="shared" ca="1" si="19"/>
        <v>—</v>
      </c>
      <c r="E418" s="25">
        <f t="shared" ca="1" si="20"/>
        <v>7</v>
      </c>
    </row>
    <row r="419" spans="1:5" x14ac:dyDescent="0.25">
      <c r="A419" s="8">
        <f t="shared" si="18"/>
        <v>73</v>
      </c>
      <c r="B419" t="str">
        <f ca="1">TEXT(DATE(YEAR(Invoer!$A$5),1,1)+INT((ROWS(B$2:B419)-1)/3),"jjjjmmdd")</f>
        <v>19460520</v>
      </c>
      <c r="C419" s="20" t="str">
        <f>INDEX(Data,2,2+MOD(ROWS(C$2:C419)-1,3))</f>
        <v>08.00</v>
      </c>
      <c r="D419" s="14" t="str">
        <f t="shared" ca="1" si="19"/>
        <v>—</v>
      </c>
      <c r="E419" s="25">
        <f t="shared" ca="1" si="20"/>
        <v>7</v>
      </c>
    </row>
    <row r="420" spans="1:5" x14ac:dyDescent="0.25">
      <c r="A420" s="8">
        <f t="shared" si="18"/>
        <v>73</v>
      </c>
      <c r="B420" t="str">
        <f ca="1">TEXT(DATE(YEAR(Invoer!$A$5),1,1)+INT((ROWS(B$2:B420)-1)/3),"jjjjmmdd")</f>
        <v>19460520</v>
      </c>
      <c r="C420" s="20" t="str">
        <f>INDEX(Data,2,2+MOD(ROWS(C$2:C420)-1,3))</f>
        <v>12.00</v>
      </c>
      <c r="D420" s="14" t="str">
        <f t="shared" ca="1" si="19"/>
        <v>—</v>
      </c>
      <c r="E420" s="25">
        <f t="shared" ca="1" si="20"/>
        <v>7</v>
      </c>
    </row>
    <row r="421" spans="1:5" x14ac:dyDescent="0.25">
      <c r="A421" s="8">
        <f t="shared" si="18"/>
        <v>73</v>
      </c>
      <c r="B421" t="str">
        <f ca="1">TEXT(DATE(YEAR(Invoer!$A$5),1,1)+INT((ROWS(B$2:B421)-1)/3),"jjjjmmdd")</f>
        <v>19460520</v>
      </c>
      <c r="C421" s="20" t="str">
        <f>INDEX(Data,2,2+MOD(ROWS(C$2:C421)-1,3))</f>
        <v>16.00</v>
      </c>
      <c r="D421" s="14" t="str">
        <f t="shared" ca="1" si="19"/>
        <v>—</v>
      </c>
      <c r="E421" s="25">
        <f t="shared" ca="1" si="20"/>
        <v>7</v>
      </c>
    </row>
    <row r="422" spans="1:5" x14ac:dyDescent="0.25">
      <c r="A422" s="8">
        <f t="shared" si="18"/>
        <v>73</v>
      </c>
      <c r="B422" t="str">
        <f ca="1">TEXT(DATE(YEAR(Invoer!$A$5),1,1)+INT((ROWS(B$2:B422)-1)/3),"jjjjmmdd")</f>
        <v>19460521</v>
      </c>
      <c r="C422" s="20" t="str">
        <f>INDEX(Data,2,2+MOD(ROWS(C$2:C422)-1,3))</f>
        <v>08.00</v>
      </c>
      <c r="D422" s="14" t="str">
        <f t="shared" ca="1" si="19"/>
        <v>—</v>
      </c>
      <c r="E422" s="25">
        <f t="shared" ca="1" si="20"/>
        <v>7</v>
      </c>
    </row>
    <row r="423" spans="1:5" x14ac:dyDescent="0.25">
      <c r="A423" s="8">
        <f t="shared" si="18"/>
        <v>73</v>
      </c>
      <c r="B423" t="str">
        <f ca="1">TEXT(DATE(YEAR(Invoer!$A$5),1,1)+INT((ROWS(B$2:B423)-1)/3),"jjjjmmdd")</f>
        <v>19460521</v>
      </c>
      <c r="C423" s="20" t="str">
        <f>INDEX(Data,2,2+MOD(ROWS(C$2:C423)-1,3))</f>
        <v>12.00</v>
      </c>
      <c r="D423" s="14" t="str">
        <f t="shared" ca="1" si="19"/>
        <v>—</v>
      </c>
      <c r="E423" s="25">
        <f t="shared" ca="1" si="20"/>
        <v>7</v>
      </c>
    </row>
    <row r="424" spans="1:5" x14ac:dyDescent="0.25">
      <c r="A424" s="8">
        <f t="shared" si="18"/>
        <v>73</v>
      </c>
      <c r="B424" t="str">
        <f ca="1">TEXT(DATE(YEAR(Invoer!$A$5),1,1)+INT((ROWS(B$2:B424)-1)/3),"jjjjmmdd")</f>
        <v>19460521</v>
      </c>
      <c r="C424" s="20" t="str">
        <f>INDEX(Data,2,2+MOD(ROWS(C$2:C424)-1,3))</f>
        <v>16.00</v>
      </c>
      <c r="D424" s="14" t="str">
        <f t="shared" ca="1" si="19"/>
        <v>—</v>
      </c>
      <c r="E424" s="25">
        <f t="shared" ca="1" si="20"/>
        <v>7</v>
      </c>
    </row>
    <row r="425" spans="1:5" x14ac:dyDescent="0.25">
      <c r="A425" s="8">
        <f t="shared" si="18"/>
        <v>73</v>
      </c>
      <c r="B425" t="str">
        <f ca="1">TEXT(DATE(YEAR(Invoer!$A$5),1,1)+INT((ROWS(B$2:B425)-1)/3),"jjjjmmdd")</f>
        <v>19460522</v>
      </c>
      <c r="C425" s="20" t="str">
        <f>INDEX(Data,2,2+MOD(ROWS(C$2:C425)-1,3))</f>
        <v>08.00</v>
      </c>
      <c r="D425" s="14" t="str">
        <f t="shared" ca="1" si="19"/>
        <v>—</v>
      </c>
      <c r="E425" s="25">
        <f t="shared" ca="1" si="20"/>
        <v>7</v>
      </c>
    </row>
    <row r="426" spans="1:5" x14ac:dyDescent="0.25">
      <c r="A426" s="8">
        <f t="shared" si="18"/>
        <v>73</v>
      </c>
      <c r="B426" t="str">
        <f ca="1">TEXT(DATE(YEAR(Invoer!$A$5),1,1)+INT((ROWS(B$2:B426)-1)/3),"jjjjmmdd")</f>
        <v>19460522</v>
      </c>
      <c r="C426" s="20" t="str">
        <f>INDEX(Data,2,2+MOD(ROWS(C$2:C426)-1,3))</f>
        <v>12.00</v>
      </c>
      <c r="D426" s="14" t="str">
        <f t="shared" ca="1" si="19"/>
        <v>—</v>
      </c>
      <c r="E426" s="25">
        <f t="shared" ca="1" si="20"/>
        <v>7</v>
      </c>
    </row>
    <row r="427" spans="1:5" x14ac:dyDescent="0.25">
      <c r="A427" s="8">
        <f t="shared" si="18"/>
        <v>73</v>
      </c>
      <c r="B427" t="str">
        <f ca="1">TEXT(DATE(YEAR(Invoer!$A$5),1,1)+INT((ROWS(B$2:B427)-1)/3),"jjjjmmdd")</f>
        <v>19460522</v>
      </c>
      <c r="C427" s="20" t="str">
        <f>INDEX(Data,2,2+MOD(ROWS(C$2:C427)-1,3))</f>
        <v>16.00</v>
      </c>
      <c r="D427" s="14" t="str">
        <f t="shared" ca="1" si="19"/>
        <v>—</v>
      </c>
      <c r="E427" s="25">
        <f t="shared" ca="1" si="20"/>
        <v>7</v>
      </c>
    </row>
    <row r="428" spans="1:5" x14ac:dyDescent="0.25">
      <c r="A428" s="8">
        <f t="shared" si="18"/>
        <v>73</v>
      </c>
      <c r="B428" t="str">
        <f ca="1">TEXT(DATE(YEAR(Invoer!$A$5),1,1)+INT((ROWS(B$2:B428)-1)/3),"jjjjmmdd")</f>
        <v>19460523</v>
      </c>
      <c r="C428" s="20" t="str">
        <f>INDEX(Data,2,2+MOD(ROWS(C$2:C428)-1,3))</f>
        <v>08.00</v>
      </c>
      <c r="D428" s="14" t="str">
        <f t="shared" ca="1" si="19"/>
        <v>—</v>
      </c>
      <c r="E428" s="25">
        <f t="shared" ca="1" si="20"/>
        <v>7</v>
      </c>
    </row>
    <row r="429" spans="1:5" x14ac:dyDescent="0.25">
      <c r="A429" s="8">
        <f t="shared" si="18"/>
        <v>73</v>
      </c>
      <c r="B429" t="str">
        <f ca="1">TEXT(DATE(YEAR(Invoer!$A$5),1,1)+INT((ROWS(B$2:B429)-1)/3),"jjjjmmdd")</f>
        <v>19460523</v>
      </c>
      <c r="C429" s="20" t="str">
        <f>INDEX(Data,2,2+MOD(ROWS(C$2:C429)-1,3))</f>
        <v>12.00</v>
      </c>
      <c r="D429" s="14" t="str">
        <f t="shared" ca="1" si="19"/>
        <v>—</v>
      </c>
      <c r="E429" s="25">
        <f t="shared" ca="1" si="20"/>
        <v>7</v>
      </c>
    </row>
    <row r="430" spans="1:5" x14ac:dyDescent="0.25">
      <c r="A430" s="8">
        <f t="shared" si="18"/>
        <v>73</v>
      </c>
      <c r="B430" t="str">
        <f ca="1">TEXT(DATE(YEAR(Invoer!$A$5),1,1)+INT((ROWS(B$2:B430)-1)/3),"jjjjmmdd")</f>
        <v>19460523</v>
      </c>
      <c r="C430" s="20" t="str">
        <f>INDEX(Data,2,2+MOD(ROWS(C$2:C430)-1,3))</f>
        <v>16.00</v>
      </c>
      <c r="D430" s="14" t="str">
        <f t="shared" ca="1" si="19"/>
        <v>—</v>
      </c>
      <c r="E430" s="25">
        <f t="shared" ca="1" si="20"/>
        <v>7</v>
      </c>
    </row>
    <row r="431" spans="1:5" x14ac:dyDescent="0.25">
      <c r="A431" s="8">
        <f t="shared" si="18"/>
        <v>73</v>
      </c>
      <c r="B431" t="str">
        <f ca="1">TEXT(DATE(YEAR(Invoer!$A$5),1,1)+INT((ROWS(B$2:B431)-1)/3),"jjjjmmdd")</f>
        <v>19460524</v>
      </c>
      <c r="C431" s="20" t="str">
        <f>INDEX(Data,2,2+MOD(ROWS(C$2:C431)-1,3))</f>
        <v>08.00</v>
      </c>
      <c r="D431" s="14" t="str">
        <f t="shared" ca="1" si="19"/>
        <v>—</v>
      </c>
      <c r="E431" s="25">
        <f t="shared" ca="1" si="20"/>
        <v>7</v>
      </c>
    </row>
    <row r="432" spans="1:5" x14ac:dyDescent="0.25">
      <c r="A432" s="8">
        <f t="shared" si="18"/>
        <v>73</v>
      </c>
      <c r="B432" t="str">
        <f ca="1">TEXT(DATE(YEAR(Invoer!$A$5),1,1)+INT((ROWS(B$2:B432)-1)/3),"jjjjmmdd")</f>
        <v>19460524</v>
      </c>
      <c r="C432" s="20" t="str">
        <f>INDEX(Data,2,2+MOD(ROWS(C$2:C432)-1,3))</f>
        <v>12.00</v>
      </c>
      <c r="D432" s="14" t="str">
        <f t="shared" ca="1" si="19"/>
        <v>—</v>
      </c>
      <c r="E432" s="25">
        <f t="shared" ca="1" si="20"/>
        <v>7</v>
      </c>
    </row>
    <row r="433" spans="1:5" x14ac:dyDescent="0.25">
      <c r="A433" s="8">
        <f t="shared" si="18"/>
        <v>73</v>
      </c>
      <c r="B433" t="str">
        <f ca="1">TEXT(DATE(YEAR(Invoer!$A$5),1,1)+INT((ROWS(B$2:B433)-1)/3),"jjjjmmdd")</f>
        <v>19460524</v>
      </c>
      <c r="C433" s="20" t="str">
        <f>INDEX(Data,2,2+MOD(ROWS(C$2:C433)-1,3))</f>
        <v>16.00</v>
      </c>
      <c r="D433" s="14" t="str">
        <f t="shared" ca="1" si="19"/>
        <v>—</v>
      </c>
      <c r="E433" s="25">
        <f t="shared" ca="1" si="20"/>
        <v>7</v>
      </c>
    </row>
    <row r="434" spans="1:5" x14ac:dyDescent="0.25">
      <c r="A434" s="8">
        <f t="shared" si="18"/>
        <v>73</v>
      </c>
      <c r="B434" t="str">
        <f ca="1">TEXT(DATE(YEAR(Invoer!$A$5),1,1)+INT((ROWS(B$2:B434)-1)/3),"jjjjmmdd")</f>
        <v>19460525</v>
      </c>
      <c r="C434" s="20" t="str">
        <f>INDEX(Data,2,2+MOD(ROWS(C$2:C434)-1,3))</f>
        <v>08.00</v>
      </c>
      <c r="D434" s="14" t="str">
        <f t="shared" ca="1" si="19"/>
        <v>—</v>
      </c>
      <c r="E434" s="25">
        <f t="shared" ca="1" si="20"/>
        <v>7</v>
      </c>
    </row>
    <row r="435" spans="1:5" x14ac:dyDescent="0.25">
      <c r="A435" s="8">
        <f t="shared" si="18"/>
        <v>73</v>
      </c>
      <c r="B435" t="str">
        <f ca="1">TEXT(DATE(YEAR(Invoer!$A$5),1,1)+INT((ROWS(B$2:B435)-1)/3),"jjjjmmdd")</f>
        <v>19460525</v>
      </c>
      <c r="C435" s="20" t="str">
        <f>INDEX(Data,2,2+MOD(ROWS(C$2:C435)-1,3))</f>
        <v>12.00</v>
      </c>
      <c r="D435" s="14" t="str">
        <f t="shared" ca="1" si="19"/>
        <v>—</v>
      </c>
      <c r="E435" s="25">
        <f t="shared" ca="1" si="20"/>
        <v>7</v>
      </c>
    </row>
    <row r="436" spans="1:5" x14ac:dyDescent="0.25">
      <c r="A436" s="8">
        <f t="shared" si="18"/>
        <v>73</v>
      </c>
      <c r="B436" t="str">
        <f ca="1">TEXT(DATE(YEAR(Invoer!$A$5),1,1)+INT((ROWS(B$2:B436)-1)/3),"jjjjmmdd")</f>
        <v>19460525</v>
      </c>
      <c r="C436" s="20" t="str">
        <f>INDEX(Data,2,2+MOD(ROWS(C$2:C436)-1,3))</f>
        <v>16.00</v>
      </c>
      <c r="D436" s="14" t="str">
        <f t="shared" ca="1" si="19"/>
        <v>—</v>
      </c>
      <c r="E436" s="25">
        <f t="shared" ca="1" si="20"/>
        <v>7</v>
      </c>
    </row>
    <row r="437" spans="1:5" x14ac:dyDescent="0.25">
      <c r="A437" s="8">
        <f t="shared" si="18"/>
        <v>73</v>
      </c>
      <c r="B437" t="str">
        <f ca="1">TEXT(DATE(YEAR(Invoer!$A$5),1,1)+INT((ROWS(B$2:B437)-1)/3),"jjjjmmdd")</f>
        <v>19460526</v>
      </c>
      <c r="C437" s="20" t="str">
        <f>INDEX(Data,2,2+MOD(ROWS(C$2:C437)-1,3))</f>
        <v>08.00</v>
      </c>
      <c r="D437" s="14" t="str">
        <f t="shared" ca="1" si="19"/>
        <v>—</v>
      </c>
      <c r="E437" s="25">
        <f t="shared" ca="1" si="20"/>
        <v>7</v>
      </c>
    </row>
    <row r="438" spans="1:5" x14ac:dyDescent="0.25">
      <c r="A438" s="8">
        <f t="shared" si="18"/>
        <v>73</v>
      </c>
      <c r="B438" t="str">
        <f ca="1">TEXT(DATE(YEAR(Invoer!$A$5),1,1)+INT((ROWS(B$2:B438)-1)/3),"jjjjmmdd")</f>
        <v>19460526</v>
      </c>
      <c r="C438" s="20" t="str">
        <f>INDEX(Data,2,2+MOD(ROWS(C$2:C438)-1,3))</f>
        <v>12.00</v>
      </c>
      <c r="D438" s="14" t="str">
        <f t="shared" ca="1" si="19"/>
        <v>—</v>
      </c>
      <c r="E438" s="25">
        <f t="shared" ca="1" si="20"/>
        <v>7</v>
      </c>
    </row>
    <row r="439" spans="1:5" x14ac:dyDescent="0.25">
      <c r="A439" s="8">
        <f t="shared" si="18"/>
        <v>73</v>
      </c>
      <c r="B439" t="str">
        <f ca="1">TEXT(DATE(YEAR(Invoer!$A$5),1,1)+INT((ROWS(B$2:B439)-1)/3),"jjjjmmdd")</f>
        <v>19460526</v>
      </c>
      <c r="C439" s="20" t="str">
        <f>INDEX(Data,2,2+MOD(ROWS(C$2:C439)-1,3))</f>
        <v>16.00</v>
      </c>
      <c r="D439" s="14" t="str">
        <f t="shared" ca="1" si="19"/>
        <v>—</v>
      </c>
      <c r="E439" s="25">
        <f t="shared" ca="1" si="20"/>
        <v>7</v>
      </c>
    </row>
    <row r="440" spans="1:5" x14ac:dyDescent="0.25">
      <c r="A440" s="8">
        <f t="shared" si="18"/>
        <v>73</v>
      </c>
      <c r="B440" t="str">
        <f ca="1">TEXT(DATE(YEAR(Invoer!$A$5),1,1)+INT((ROWS(B$2:B440)-1)/3),"jjjjmmdd")</f>
        <v>19460527</v>
      </c>
      <c r="C440" s="20" t="str">
        <f>INDEX(Data,2,2+MOD(ROWS(C$2:C440)-1,3))</f>
        <v>08.00</v>
      </c>
      <c r="D440" s="14" t="str">
        <f t="shared" ca="1" si="19"/>
        <v>—</v>
      </c>
      <c r="E440" s="25">
        <f t="shared" ca="1" si="20"/>
        <v>7</v>
      </c>
    </row>
    <row r="441" spans="1:5" x14ac:dyDescent="0.25">
      <c r="A441" s="8">
        <f t="shared" si="18"/>
        <v>73</v>
      </c>
      <c r="B441" t="str">
        <f ca="1">TEXT(DATE(YEAR(Invoer!$A$5),1,1)+INT((ROWS(B$2:B441)-1)/3),"jjjjmmdd")</f>
        <v>19460527</v>
      </c>
      <c r="C441" s="20" t="str">
        <f>INDEX(Data,2,2+MOD(ROWS(C$2:C441)-1,3))</f>
        <v>12.00</v>
      </c>
      <c r="D441" s="14" t="str">
        <f t="shared" ca="1" si="19"/>
        <v>—</v>
      </c>
      <c r="E441" s="25">
        <f t="shared" ca="1" si="20"/>
        <v>7</v>
      </c>
    </row>
    <row r="442" spans="1:5" x14ac:dyDescent="0.25">
      <c r="A442" s="8">
        <f t="shared" si="18"/>
        <v>73</v>
      </c>
      <c r="B442" t="str">
        <f ca="1">TEXT(DATE(YEAR(Invoer!$A$5),1,1)+INT((ROWS(B$2:B442)-1)/3),"jjjjmmdd")</f>
        <v>19460527</v>
      </c>
      <c r="C442" s="20" t="str">
        <f>INDEX(Data,2,2+MOD(ROWS(C$2:C442)-1,3))</f>
        <v>16.00</v>
      </c>
      <c r="D442" s="14" t="str">
        <f t="shared" ca="1" si="19"/>
        <v>—</v>
      </c>
      <c r="E442" s="25">
        <f t="shared" ca="1" si="20"/>
        <v>7</v>
      </c>
    </row>
    <row r="443" spans="1:5" x14ac:dyDescent="0.25">
      <c r="A443" s="8">
        <f t="shared" si="18"/>
        <v>73</v>
      </c>
      <c r="B443" t="str">
        <f ca="1">TEXT(DATE(YEAR(Invoer!$A$5),1,1)+INT((ROWS(B$2:B443)-1)/3),"jjjjmmdd")</f>
        <v>19460528</v>
      </c>
      <c r="C443" s="20" t="str">
        <f>INDEX(Data,2,2+MOD(ROWS(C$2:C443)-1,3))</f>
        <v>08.00</v>
      </c>
      <c r="D443" s="14" t="str">
        <f t="shared" ca="1" si="19"/>
        <v>—</v>
      </c>
      <c r="E443" s="25">
        <f t="shared" ca="1" si="20"/>
        <v>7</v>
      </c>
    </row>
    <row r="444" spans="1:5" x14ac:dyDescent="0.25">
      <c r="A444" s="8">
        <f t="shared" si="18"/>
        <v>73</v>
      </c>
      <c r="B444" t="str">
        <f ca="1">TEXT(DATE(YEAR(Invoer!$A$5),1,1)+INT((ROWS(B$2:B444)-1)/3),"jjjjmmdd")</f>
        <v>19460528</v>
      </c>
      <c r="C444" s="20" t="str">
        <f>INDEX(Data,2,2+MOD(ROWS(C$2:C444)-1,3))</f>
        <v>12.00</v>
      </c>
      <c r="D444" s="14" t="str">
        <f t="shared" ca="1" si="19"/>
        <v>—</v>
      </c>
      <c r="E444" s="25">
        <f t="shared" ca="1" si="20"/>
        <v>7</v>
      </c>
    </row>
    <row r="445" spans="1:5" x14ac:dyDescent="0.25">
      <c r="A445" s="8">
        <f t="shared" si="18"/>
        <v>73</v>
      </c>
      <c r="B445" t="str">
        <f ca="1">TEXT(DATE(YEAR(Invoer!$A$5),1,1)+INT((ROWS(B$2:B445)-1)/3),"jjjjmmdd")</f>
        <v>19460528</v>
      </c>
      <c r="C445" s="20" t="str">
        <f>INDEX(Data,2,2+MOD(ROWS(C$2:C445)-1,3))</f>
        <v>16.00</v>
      </c>
      <c r="D445" s="14" t="str">
        <f t="shared" ca="1" si="19"/>
        <v>—</v>
      </c>
      <c r="E445" s="25">
        <f t="shared" ca="1" si="20"/>
        <v>7</v>
      </c>
    </row>
    <row r="446" spans="1:5" x14ac:dyDescent="0.25">
      <c r="A446" s="8">
        <f t="shared" si="18"/>
        <v>73</v>
      </c>
      <c r="B446" t="str">
        <f ca="1">TEXT(DATE(YEAR(Invoer!$A$5),1,1)+INT((ROWS(B$2:B446)-1)/3),"jjjjmmdd")</f>
        <v>19460529</v>
      </c>
      <c r="C446" s="20" t="str">
        <f>INDEX(Data,2,2+MOD(ROWS(C$2:C446)-1,3))</f>
        <v>08.00</v>
      </c>
      <c r="D446" s="14" t="str">
        <f t="shared" ca="1" si="19"/>
        <v>—</v>
      </c>
      <c r="E446" s="25">
        <f t="shared" ca="1" si="20"/>
        <v>7</v>
      </c>
    </row>
    <row r="447" spans="1:5" x14ac:dyDescent="0.25">
      <c r="A447" s="8">
        <f t="shared" si="18"/>
        <v>73</v>
      </c>
      <c r="B447" t="str">
        <f ca="1">TEXT(DATE(YEAR(Invoer!$A$5),1,1)+INT((ROWS(B$2:B447)-1)/3),"jjjjmmdd")</f>
        <v>19460529</v>
      </c>
      <c r="C447" s="20" t="str">
        <f>INDEX(Data,2,2+MOD(ROWS(C$2:C447)-1,3))</f>
        <v>12.00</v>
      </c>
      <c r="D447" s="14" t="str">
        <f t="shared" ca="1" si="19"/>
        <v>—</v>
      </c>
      <c r="E447" s="25">
        <f t="shared" ca="1" si="20"/>
        <v>7</v>
      </c>
    </row>
    <row r="448" spans="1:5" x14ac:dyDescent="0.25">
      <c r="A448" s="8">
        <f t="shared" si="18"/>
        <v>73</v>
      </c>
      <c r="B448" t="str">
        <f ca="1">TEXT(DATE(YEAR(Invoer!$A$5),1,1)+INT((ROWS(B$2:B448)-1)/3),"jjjjmmdd")</f>
        <v>19460529</v>
      </c>
      <c r="C448" s="20" t="str">
        <f>INDEX(Data,2,2+MOD(ROWS(C$2:C448)-1,3))</f>
        <v>16.00</v>
      </c>
      <c r="D448" s="14" t="str">
        <f t="shared" ca="1" si="19"/>
        <v>—</v>
      </c>
      <c r="E448" s="25">
        <f t="shared" ca="1" si="20"/>
        <v>7</v>
      </c>
    </row>
    <row r="449" spans="1:5" x14ac:dyDescent="0.25">
      <c r="A449" s="8">
        <f t="shared" si="18"/>
        <v>73</v>
      </c>
      <c r="B449" t="str">
        <f ca="1">TEXT(DATE(YEAR(Invoer!$A$5),1,1)+INT((ROWS(B$2:B449)-1)/3),"jjjjmmdd")</f>
        <v>19460530</v>
      </c>
      <c r="C449" s="20" t="str">
        <f>INDEX(Data,2,2+MOD(ROWS(C$2:C449)-1,3))</f>
        <v>08.00</v>
      </c>
      <c r="D449" s="14" t="str">
        <f t="shared" ca="1" si="19"/>
        <v>—</v>
      </c>
      <c r="E449" s="25">
        <f t="shared" ca="1" si="20"/>
        <v>7</v>
      </c>
    </row>
    <row r="450" spans="1:5" x14ac:dyDescent="0.25">
      <c r="A450" s="8">
        <f t="shared" ref="A450:A513" si="21">INDEX(Stations,2,1)</f>
        <v>73</v>
      </c>
      <c r="B450" t="str">
        <f ca="1">TEXT(DATE(YEAR(Invoer!$A$5),1,1)+INT((ROWS(B$2:B450)-1)/3),"jjjjmmdd")</f>
        <v>19460530</v>
      </c>
      <c r="C450" s="20" t="str">
        <f>INDEX(Data,2,2+MOD(ROWS(C$2:C450)-1,3))</f>
        <v>12.00</v>
      </c>
      <c r="D450" s="14" t="str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25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</row>
    <row r="451" spans="1:5" x14ac:dyDescent="0.25">
      <c r="A451" s="8">
        <f t="shared" si="21"/>
        <v>73</v>
      </c>
      <c r="B451" t="str">
        <f ca="1">TEXT(DATE(YEAR(Invoer!$A$5),1,1)+INT((ROWS(B$2:B451)-1)/3),"jjjjmmdd")</f>
        <v>19460530</v>
      </c>
      <c r="C451" s="20" t="str">
        <f>INDEX(Data,2,2+MOD(ROWS(C$2:C451)-1,3))</f>
        <v>16.00</v>
      </c>
      <c r="D451" s="14" t="str">
        <f t="shared" ca="1" si="22"/>
        <v>—</v>
      </c>
      <c r="E451" s="25">
        <f t="shared" ca="1" si="23"/>
        <v>7</v>
      </c>
    </row>
    <row r="452" spans="1:5" x14ac:dyDescent="0.25">
      <c r="A452" s="8">
        <f t="shared" si="21"/>
        <v>73</v>
      </c>
      <c r="B452" t="str">
        <f ca="1">TEXT(DATE(YEAR(Invoer!$A$5),1,1)+INT((ROWS(B$2:B452)-1)/3),"jjjjmmdd")</f>
        <v>19460531</v>
      </c>
      <c r="C452" s="20" t="str">
        <f>INDEX(Data,2,2+MOD(ROWS(C$2:C452)-1,3))</f>
        <v>08.00</v>
      </c>
      <c r="D452" s="14" t="str">
        <f t="shared" ca="1" si="22"/>
        <v>—</v>
      </c>
      <c r="E452" s="25">
        <f t="shared" ca="1" si="23"/>
        <v>7</v>
      </c>
    </row>
    <row r="453" spans="1:5" x14ac:dyDescent="0.25">
      <c r="A453" s="8">
        <f t="shared" si="21"/>
        <v>73</v>
      </c>
      <c r="B453" t="str">
        <f ca="1">TEXT(DATE(YEAR(Invoer!$A$5),1,1)+INT((ROWS(B$2:B453)-1)/3),"jjjjmmdd")</f>
        <v>19460531</v>
      </c>
      <c r="C453" s="20" t="str">
        <f>INDEX(Data,2,2+MOD(ROWS(C$2:C453)-1,3))</f>
        <v>12.00</v>
      </c>
      <c r="D453" s="14" t="str">
        <f t="shared" ca="1" si="22"/>
        <v>—</v>
      </c>
      <c r="E453" s="25">
        <f t="shared" ca="1" si="23"/>
        <v>7</v>
      </c>
    </row>
    <row r="454" spans="1:5" x14ac:dyDescent="0.25">
      <c r="A454" s="8">
        <f t="shared" si="21"/>
        <v>73</v>
      </c>
      <c r="B454" t="str">
        <f ca="1">TEXT(DATE(YEAR(Invoer!$A$5),1,1)+INT((ROWS(B$2:B454)-1)/3),"jjjjmmdd")</f>
        <v>19460531</v>
      </c>
      <c r="C454" s="20" t="str">
        <f>INDEX(Data,2,2+MOD(ROWS(C$2:C454)-1,3))</f>
        <v>16.00</v>
      </c>
      <c r="D454" s="14" t="str">
        <f t="shared" ca="1" si="22"/>
        <v>—</v>
      </c>
      <c r="E454" s="25">
        <f t="shared" ca="1" si="23"/>
        <v>7</v>
      </c>
    </row>
    <row r="455" spans="1:5" x14ac:dyDescent="0.25">
      <c r="A455" s="8">
        <f t="shared" si="21"/>
        <v>73</v>
      </c>
      <c r="B455" t="str">
        <f ca="1">TEXT(DATE(YEAR(Invoer!$A$5),1,1)+INT((ROWS(B$2:B455)-1)/3),"jjjjmmdd")</f>
        <v>19460601</v>
      </c>
      <c r="C455" s="20" t="str">
        <f>INDEX(Data,2,2+MOD(ROWS(C$2:C455)-1,3))</f>
        <v>08.00</v>
      </c>
      <c r="D455" s="14" t="str">
        <f t="shared" ca="1" si="22"/>
        <v>—</v>
      </c>
      <c r="E455" s="25">
        <f t="shared" ca="1" si="23"/>
        <v>7</v>
      </c>
    </row>
    <row r="456" spans="1:5" x14ac:dyDescent="0.25">
      <c r="A456" s="8">
        <f t="shared" si="21"/>
        <v>73</v>
      </c>
      <c r="B456" t="str">
        <f ca="1">TEXT(DATE(YEAR(Invoer!$A$5),1,1)+INT((ROWS(B$2:B456)-1)/3),"jjjjmmdd")</f>
        <v>19460601</v>
      </c>
      <c r="C456" s="20" t="str">
        <f>INDEX(Data,2,2+MOD(ROWS(C$2:C456)-1,3))</f>
        <v>12.00</v>
      </c>
      <c r="D456" s="14" t="str">
        <f t="shared" ca="1" si="22"/>
        <v>—</v>
      </c>
      <c r="E456" s="25">
        <f t="shared" ca="1" si="23"/>
        <v>7</v>
      </c>
    </row>
    <row r="457" spans="1:5" x14ac:dyDescent="0.25">
      <c r="A457" s="8">
        <f t="shared" si="21"/>
        <v>73</v>
      </c>
      <c r="B457" t="str">
        <f ca="1">TEXT(DATE(YEAR(Invoer!$A$5),1,1)+INT((ROWS(B$2:B457)-1)/3),"jjjjmmdd")</f>
        <v>19460601</v>
      </c>
      <c r="C457" s="20" t="str">
        <f>INDEX(Data,2,2+MOD(ROWS(C$2:C457)-1,3))</f>
        <v>16.00</v>
      </c>
      <c r="D457" s="14" t="str">
        <f t="shared" ca="1" si="22"/>
        <v>—</v>
      </c>
      <c r="E457" s="25">
        <f t="shared" ca="1" si="23"/>
        <v>7</v>
      </c>
    </row>
    <row r="458" spans="1:5" x14ac:dyDescent="0.25">
      <c r="A458" s="8">
        <f t="shared" si="21"/>
        <v>73</v>
      </c>
      <c r="B458" t="str">
        <f ca="1">TEXT(DATE(YEAR(Invoer!$A$5),1,1)+INT((ROWS(B$2:B458)-1)/3),"jjjjmmdd")</f>
        <v>19460602</v>
      </c>
      <c r="C458" s="20" t="str">
        <f>INDEX(Data,2,2+MOD(ROWS(C$2:C458)-1,3))</f>
        <v>08.00</v>
      </c>
      <c r="D458" s="14" t="str">
        <f t="shared" ca="1" si="22"/>
        <v>—</v>
      </c>
      <c r="E458" s="25">
        <f t="shared" ca="1" si="23"/>
        <v>7</v>
      </c>
    </row>
    <row r="459" spans="1:5" x14ac:dyDescent="0.25">
      <c r="A459" s="8">
        <f t="shared" si="21"/>
        <v>73</v>
      </c>
      <c r="B459" t="str">
        <f ca="1">TEXT(DATE(YEAR(Invoer!$A$5),1,1)+INT((ROWS(B$2:B459)-1)/3),"jjjjmmdd")</f>
        <v>19460602</v>
      </c>
      <c r="C459" s="20" t="str">
        <f>INDEX(Data,2,2+MOD(ROWS(C$2:C459)-1,3))</f>
        <v>12.00</v>
      </c>
      <c r="D459" s="14" t="str">
        <f t="shared" ca="1" si="22"/>
        <v>—</v>
      </c>
      <c r="E459" s="25">
        <f t="shared" ca="1" si="23"/>
        <v>7</v>
      </c>
    </row>
    <row r="460" spans="1:5" x14ac:dyDescent="0.25">
      <c r="A460" s="8">
        <f t="shared" si="21"/>
        <v>73</v>
      </c>
      <c r="B460" t="str">
        <f ca="1">TEXT(DATE(YEAR(Invoer!$A$5),1,1)+INT((ROWS(B$2:B460)-1)/3),"jjjjmmdd")</f>
        <v>19460602</v>
      </c>
      <c r="C460" s="20" t="str">
        <f>INDEX(Data,2,2+MOD(ROWS(C$2:C460)-1,3))</f>
        <v>16.00</v>
      </c>
      <c r="D460" s="14" t="str">
        <f t="shared" ca="1" si="22"/>
        <v>—</v>
      </c>
      <c r="E460" s="25">
        <f t="shared" ca="1" si="23"/>
        <v>7</v>
      </c>
    </row>
    <row r="461" spans="1:5" x14ac:dyDescent="0.25">
      <c r="A461" s="8">
        <f t="shared" si="21"/>
        <v>73</v>
      </c>
      <c r="B461" t="str">
        <f ca="1">TEXT(DATE(YEAR(Invoer!$A$5),1,1)+INT((ROWS(B$2:B461)-1)/3),"jjjjmmdd")</f>
        <v>19460603</v>
      </c>
      <c r="C461" s="20" t="str">
        <f>INDEX(Data,2,2+MOD(ROWS(C$2:C461)-1,3))</f>
        <v>08.00</v>
      </c>
      <c r="D461" s="14" t="str">
        <f t="shared" ca="1" si="22"/>
        <v>—</v>
      </c>
      <c r="E461" s="25">
        <f t="shared" ca="1" si="23"/>
        <v>7</v>
      </c>
    </row>
    <row r="462" spans="1:5" x14ac:dyDescent="0.25">
      <c r="A462" s="8">
        <f t="shared" si="21"/>
        <v>73</v>
      </c>
      <c r="B462" t="str">
        <f ca="1">TEXT(DATE(YEAR(Invoer!$A$5),1,1)+INT((ROWS(B$2:B462)-1)/3),"jjjjmmdd")</f>
        <v>19460603</v>
      </c>
      <c r="C462" s="20" t="str">
        <f>INDEX(Data,2,2+MOD(ROWS(C$2:C462)-1,3))</f>
        <v>12.00</v>
      </c>
      <c r="D462" s="14" t="str">
        <f t="shared" ca="1" si="22"/>
        <v>—</v>
      </c>
      <c r="E462" s="25">
        <f t="shared" ca="1" si="23"/>
        <v>7</v>
      </c>
    </row>
    <row r="463" spans="1:5" x14ac:dyDescent="0.25">
      <c r="A463" s="8">
        <f t="shared" si="21"/>
        <v>73</v>
      </c>
      <c r="B463" t="str">
        <f ca="1">TEXT(DATE(YEAR(Invoer!$A$5),1,1)+INT((ROWS(B$2:B463)-1)/3),"jjjjmmdd")</f>
        <v>19460603</v>
      </c>
      <c r="C463" s="20" t="str">
        <f>INDEX(Data,2,2+MOD(ROWS(C$2:C463)-1,3))</f>
        <v>16.00</v>
      </c>
      <c r="D463" s="14" t="str">
        <f t="shared" ca="1" si="22"/>
        <v>—</v>
      </c>
      <c r="E463" s="25">
        <f t="shared" ca="1" si="23"/>
        <v>7</v>
      </c>
    </row>
    <row r="464" spans="1:5" x14ac:dyDescent="0.25">
      <c r="A464" s="8">
        <f t="shared" si="21"/>
        <v>73</v>
      </c>
      <c r="B464" t="str">
        <f ca="1">TEXT(DATE(YEAR(Invoer!$A$5),1,1)+INT((ROWS(B$2:B464)-1)/3),"jjjjmmdd")</f>
        <v>19460604</v>
      </c>
      <c r="C464" s="20" t="str">
        <f>INDEX(Data,2,2+MOD(ROWS(C$2:C464)-1,3))</f>
        <v>08.00</v>
      </c>
      <c r="D464" s="14" t="str">
        <f t="shared" ca="1" si="22"/>
        <v>—</v>
      </c>
      <c r="E464" s="25">
        <f t="shared" ca="1" si="23"/>
        <v>7</v>
      </c>
    </row>
    <row r="465" spans="1:5" x14ac:dyDescent="0.25">
      <c r="A465" s="8">
        <f t="shared" si="21"/>
        <v>73</v>
      </c>
      <c r="B465" t="str">
        <f ca="1">TEXT(DATE(YEAR(Invoer!$A$5),1,1)+INT((ROWS(B$2:B465)-1)/3),"jjjjmmdd")</f>
        <v>19460604</v>
      </c>
      <c r="C465" s="20" t="str">
        <f>INDEX(Data,2,2+MOD(ROWS(C$2:C465)-1,3))</f>
        <v>12.00</v>
      </c>
      <c r="D465" s="14" t="str">
        <f t="shared" ca="1" si="22"/>
        <v>—</v>
      </c>
      <c r="E465" s="25">
        <f t="shared" ca="1" si="23"/>
        <v>7</v>
      </c>
    </row>
    <row r="466" spans="1:5" x14ac:dyDescent="0.25">
      <c r="A466" s="8">
        <f t="shared" si="21"/>
        <v>73</v>
      </c>
      <c r="B466" t="str">
        <f ca="1">TEXT(DATE(YEAR(Invoer!$A$5),1,1)+INT((ROWS(B$2:B466)-1)/3),"jjjjmmdd")</f>
        <v>19460604</v>
      </c>
      <c r="C466" s="20" t="str">
        <f>INDEX(Data,2,2+MOD(ROWS(C$2:C466)-1,3))</f>
        <v>16.00</v>
      </c>
      <c r="D466" s="14" t="str">
        <f t="shared" ca="1" si="22"/>
        <v>—</v>
      </c>
      <c r="E466" s="25">
        <f t="shared" ca="1" si="23"/>
        <v>7</v>
      </c>
    </row>
    <row r="467" spans="1:5" x14ac:dyDescent="0.25">
      <c r="A467" s="8">
        <f t="shared" si="21"/>
        <v>73</v>
      </c>
      <c r="B467" t="str">
        <f ca="1">TEXT(DATE(YEAR(Invoer!$A$5),1,1)+INT((ROWS(B$2:B467)-1)/3),"jjjjmmdd")</f>
        <v>19460605</v>
      </c>
      <c r="C467" s="20" t="str">
        <f>INDEX(Data,2,2+MOD(ROWS(C$2:C467)-1,3))</f>
        <v>08.00</v>
      </c>
      <c r="D467" s="14" t="str">
        <f t="shared" ca="1" si="22"/>
        <v>—</v>
      </c>
      <c r="E467" s="25">
        <f t="shared" ca="1" si="23"/>
        <v>7</v>
      </c>
    </row>
    <row r="468" spans="1:5" x14ac:dyDescent="0.25">
      <c r="A468" s="8">
        <f t="shared" si="21"/>
        <v>73</v>
      </c>
      <c r="B468" t="str">
        <f ca="1">TEXT(DATE(YEAR(Invoer!$A$5),1,1)+INT((ROWS(B$2:B468)-1)/3),"jjjjmmdd")</f>
        <v>19460605</v>
      </c>
      <c r="C468" s="20" t="str">
        <f>INDEX(Data,2,2+MOD(ROWS(C$2:C468)-1,3))</f>
        <v>12.00</v>
      </c>
      <c r="D468" s="14" t="str">
        <f t="shared" ca="1" si="22"/>
        <v>—</v>
      </c>
      <c r="E468" s="25">
        <f t="shared" ca="1" si="23"/>
        <v>7</v>
      </c>
    </row>
    <row r="469" spans="1:5" x14ac:dyDescent="0.25">
      <c r="A469" s="8">
        <f t="shared" si="21"/>
        <v>73</v>
      </c>
      <c r="B469" t="str">
        <f ca="1">TEXT(DATE(YEAR(Invoer!$A$5),1,1)+INT((ROWS(B$2:B469)-1)/3),"jjjjmmdd")</f>
        <v>19460605</v>
      </c>
      <c r="C469" s="20" t="str">
        <f>INDEX(Data,2,2+MOD(ROWS(C$2:C469)-1,3))</f>
        <v>16.00</v>
      </c>
      <c r="D469" s="14" t="str">
        <f t="shared" ca="1" si="22"/>
        <v>—</v>
      </c>
      <c r="E469" s="25">
        <f t="shared" ca="1" si="23"/>
        <v>7</v>
      </c>
    </row>
    <row r="470" spans="1:5" x14ac:dyDescent="0.25">
      <c r="A470" s="8">
        <f t="shared" si="21"/>
        <v>73</v>
      </c>
      <c r="B470" t="str">
        <f ca="1">TEXT(DATE(YEAR(Invoer!$A$5),1,1)+INT((ROWS(B$2:B470)-1)/3),"jjjjmmdd")</f>
        <v>19460606</v>
      </c>
      <c r="C470" s="20" t="str">
        <f>INDEX(Data,2,2+MOD(ROWS(C$2:C470)-1,3))</f>
        <v>08.00</v>
      </c>
      <c r="D470" s="14" t="str">
        <f t="shared" ca="1" si="22"/>
        <v>—</v>
      </c>
      <c r="E470" s="25">
        <f t="shared" ca="1" si="23"/>
        <v>7</v>
      </c>
    </row>
    <row r="471" spans="1:5" x14ac:dyDescent="0.25">
      <c r="A471" s="8">
        <f t="shared" si="21"/>
        <v>73</v>
      </c>
      <c r="B471" t="str">
        <f ca="1">TEXT(DATE(YEAR(Invoer!$A$5),1,1)+INT((ROWS(B$2:B471)-1)/3),"jjjjmmdd")</f>
        <v>19460606</v>
      </c>
      <c r="C471" s="20" t="str">
        <f>INDEX(Data,2,2+MOD(ROWS(C$2:C471)-1,3))</f>
        <v>12.00</v>
      </c>
      <c r="D471" s="14" t="str">
        <f t="shared" ca="1" si="22"/>
        <v>—</v>
      </c>
      <c r="E471" s="25">
        <f t="shared" ca="1" si="23"/>
        <v>7</v>
      </c>
    </row>
    <row r="472" spans="1:5" x14ac:dyDescent="0.25">
      <c r="A472" s="8">
        <f t="shared" si="21"/>
        <v>73</v>
      </c>
      <c r="B472" t="str">
        <f ca="1">TEXT(DATE(YEAR(Invoer!$A$5),1,1)+INT((ROWS(B$2:B472)-1)/3),"jjjjmmdd")</f>
        <v>19460606</v>
      </c>
      <c r="C472" s="20" t="str">
        <f>INDEX(Data,2,2+MOD(ROWS(C$2:C472)-1,3))</f>
        <v>16.00</v>
      </c>
      <c r="D472" s="14" t="str">
        <f t="shared" ca="1" si="22"/>
        <v>—</v>
      </c>
      <c r="E472" s="25">
        <f t="shared" ca="1" si="23"/>
        <v>7</v>
      </c>
    </row>
    <row r="473" spans="1:5" x14ac:dyDescent="0.25">
      <c r="A473" s="8">
        <f t="shared" si="21"/>
        <v>73</v>
      </c>
      <c r="B473" t="str">
        <f ca="1">TEXT(DATE(YEAR(Invoer!$A$5),1,1)+INT((ROWS(B$2:B473)-1)/3),"jjjjmmdd")</f>
        <v>19460607</v>
      </c>
      <c r="C473" s="20" t="str">
        <f>INDEX(Data,2,2+MOD(ROWS(C$2:C473)-1,3))</f>
        <v>08.00</v>
      </c>
      <c r="D473" s="14" t="str">
        <f t="shared" ca="1" si="22"/>
        <v>—</v>
      </c>
      <c r="E473" s="25">
        <f t="shared" ca="1" si="23"/>
        <v>7</v>
      </c>
    </row>
    <row r="474" spans="1:5" x14ac:dyDescent="0.25">
      <c r="A474" s="8">
        <f t="shared" si="21"/>
        <v>73</v>
      </c>
      <c r="B474" t="str">
        <f ca="1">TEXT(DATE(YEAR(Invoer!$A$5),1,1)+INT((ROWS(B$2:B474)-1)/3),"jjjjmmdd")</f>
        <v>19460607</v>
      </c>
      <c r="C474" s="20" t="str">
        <f>INDEX(Data,2,2+MOD(ROWS(C$2:C474)-1,3))</f>
        <v>12.00</v>
      </c>
      <c r="D474" s="14" t="str">
        <f t="shared" ca="1" si="22"/>
        <v>—</v>
      </c>
      <c r="E474" s="25">
        <f t="shared" ca="1" si="23"/>
        <v>7</v>
      </c>
    </row>
    <row r="475" spans="1:5" x14ac:dyDescent="0.25">
      <c r="A475" s="8">
        <f t="shared" si="21"/>
        <v>73</v>
      </c>
      <c r="B475" t="str">
        <f ca="1">TEXT(DATE(YEAR(Invoer!$A$5),1,1)+INT((ROWS(B$2:B475)-1)/3),"jjjjmmdd")</f>
        <v>19460607</v>
      </c>
      <c r="C475" s="20" t="str">
        <f>INDEX(Data,2,2+MOD(ROWS(C$2:C475)-1,3))</f>
        <v>16.00</v>
      </c>
      <c r="D475" s="14" t="str">
        <f t="shared" ca="1" si="22"/>
        <v>—</v>
      </c>
      <c r="E475" s="25">
        <f t="shared" ca="1" si="23"/>
        <v>7</v>
      </c>
    </row>
    <row r="476" spans="1:5" x14ac:dyDescent="0.25">
      <c r="A476" s="8">
        <f t="shared" si="21"/>
        <v>73</v>
      </c>
      <c r="B476" t="str">
        <f ca="1">TEXT(DATE(YEAR(Invoer!$A$5),1,1)+INT((ROWS(B$2:B476)-1)/3),"jjjjmmdd")</f>
        <v>19460608</v>
      </c>
      <c r="C476" s="20" t="str">
        <f>INDEX(Data,2,2+MOD(ROWS(C$2:C476)-1,3))</f>
        <v>08.00</v>
      </c>
      <c r="D476" s="14" t="str">
        <f t="shared" ca="1" si="22"/>
        <v>—</v>
      </c>
      <c r="E476" s="25">
        <f t="shared" ca="1" si="23"/>
        <v>7</v>
      </c>
    </row>
    <row r="477" spans="1:5" x14ac:dyDescent="0.25">
      <c r="A477" s="8">
        <f t="shared" si="21"/>
        <v>73</v>
      </c>
      <c r="B477" t="str">
        <f ca="1">TEXT(DATE(YEAR(Invoer!$A$5),1,1)+INT((ROWS(B$2:B477)-1)/3),"jjjjmmdd")</f>
        <v>19460608</v>
      </c>
      <c r="C477" s="20" t="str">
        <f>INDEX(Data,2,2+MOD(ROWS(C$2:C477)-1,3))</f>
        <v>12.00</v>
      </c>
      <c r="D477" s="14" t="str">
        <f t="shared" ca="1" si="22"/>
        <v>—</v>
      </c>
      <c r="E477" s="25">
        <f t="shared" ca="1" si="23"/>
        <v>7</v>
      </c>
    </row>
    <row r="478" spans="1:5" x14ac:dyDescent="0.25">
      <c r="A478" s="8">
        <f t="shared" si="21"/>
        <v>73</v>
      </c>
      <c r="B478" t="str">
        <f ca="1">TEXT(DATE(YEAR(Invoer!$A$5),1,1)+INT((ROWS(B$2:B478)-1)/3),"jjjjmmdd")</f>
        <v>19460608</v>
      </c>
      <c r="C478" s="20" t="str">
        <f>INDEX(Data,2,2+MOD(ROWS(C$2:C478)-1,3))</f>
        <v>16.00</v>
      </c>
      <c r="D478" s="14" t="str">
        <f t="shared" ca="1" si="22"/>
        <v>—</v>
      </c>
      <c r="E478" s="25">
        <f t="shared" ca="1" si="23"/>
        <v>7</v>
      </c>
    </row>
    <row r="479" spans="1:5" x14ac:dyDescent="0.25">
      <c r="A479" s="8">
        <f t="shared" si="21"/>
        <v>73</v>
      </c>
      <c r="B479" t="str">
        <f ca="1">TEXT(DATE(YEAR(Invoer!$A$5),1,1)+INT((ROWS(B$2:B479)-1)/3),"jjjjmmdd")</f>
        <v>19460609</v>
      </c>
      <c r="C479" s="20" t="str">
        <f>INDEX(Data,2,2+MOD(ROWS(C$2:C479)-1,3))</f>
        <v>08.00</v>
      </c>
      <c r="D479" s="14" t="str">
        <f t="shared" ca="1" si="22"/>
        <v>—</v>
      </c>
      <c r="E479" s="25">
        <f t="shared" ca="1" si="23"/>
        <v>7</v>
      </c>
    </row>
    <row r="480" spans="1:5" x14ac:dyDescent="0.25">
      <c r="A480" s="8">
        <f t="shared" si="21"/>
        <v>73</v>
      </c>
      <c r="B480" t="str">
        <f ca="1">TEXT(DATE(YEAR(Invoer!$A$5),1,1)+INT((ROWS(B$2:B480)-1)/3),"jjjjmmdd")</f>
        <v>19460609</v>
      </c>
      <c r="C480" s="20" t="str">
        <f>INDEX(Data,2,2+MOD(ROWS(C$2:C480)-1,3))</f>
        <v>12.00</v>
      </c>
      <c r="D480" s="14" t="str">
        <f t="shared" ca="1" si="22"/>
        <v>—</v>
      </c>
      <c r="E480" s="25">
        <f t="shared" ca="1" si="23"/>
        <v>7</v>
      </c>
    </row>
    <row r="481" spans="1:5" x14ac:dyDescent="0.25">
      <c r="A481" s="8">
        <f t="shared" si="21"/>
        <v>73</v>
      </c>
      <c r="B481" t="str">
        <f ca="1">TEXT(DATE(YEAR(Invoer!$A$5),1,1)+INT((ROWS(B$2:B481)-1)/3),"jjjjmmdd")</f>
        <v>19460609</v>
      </c>
      <c r="C481" s="20" t="str">
        <f>INDEX(Data,2,2+MOD(ROWS(C$2:C481)-1,3))</f>
        <v>16.00</v>
      </c>
      <c r="D481" s="14" t="str">
        <f t="shared" ca="1" si="22"/>
        <v>—</v>
      </c>
      <c r="E481" s="25">
        <f t="shared" ca="1" si="23"/>
        <v>7</v>
      </c>
    </row>
    <row r="482" spans="1:5" x14ac:dyDescent="0.25">
      <c r="A482" s="8">
        <f t="shared" si="21"/>
        <v>73</v>
      </c>
      <c r="B482" t="str">
        <f ca="1">TEXT(DATE(YEAR(Invoer!$A$5),1,1)+INT((ROWS(B$2:B482)-1)/3),"jjjjmmdd")</f>
        <v>19460610</v>
      </c>
      <c r="C482" s="20" t="str">
        <f>INDEX(Data,2,2+MOD(ROWS(C$2:C482)-1,3))</f>
        <v>08.00</v>
      </c>
      <c r="D482" s="14" t="str">
        <f t="shared" ca="1" si="22"/>
        <v>—</v>
      </c>
      <c r="E482" s="25">
        <f t="shared" ca="1" si="23"/>
        <v>7</v>
      </c>
    </row>
    <row r="483" spans="1:5" x14ac:dyDescent="0.25">
      <c r="A483" s="8">
        <f t="shared" si="21"/>
        <v>73</v>
      </c>
      <c r="B483" t="str">
        <f ca="1">TEXT(DATE(YEAR(Invoer!$A$5),1,1)+INT((ROWS(B$2:B483)-1)/3),"jjjjmmdd")</f>
        <v>19460610</v>
      </c>
      <c r="C483" s="20" t="str">
        <f>INDEX(Data,2,2+MOD(ROWS(C$2:C483)-1,3))</f>
        <v>12.00</v>
      </c>
      <c r="D483" s="14" t="str">
        <f t="shared" ca="1" si="22"/>
        <v>—</v>
      </c>
      <c r="E483" s="25">
        <f t="shared" ca="1" si="23"/>
        <v>7</v>
      </c>
    </row>
    <row r="484" spans="1:5" x14ac:dyDescent="0.25">
      <c r="A484" s="8">
        <f t="shared" si="21"/>
        <v>73</v>
      </c>
      <c r="B484" t="str">
        <f ca="1">TEXT(DATE(YEAR(Invoer!$A$5),1,1)+INT((ROWS(B$2:B484)-1)/3),"jjjjmmdd")</f>
        <v>19460610</v>
      </c>
      <c r="C484" s="20" t="str">
        <f>INDEX(Data,2,2+MOD(ROWS(C$2:C484)-1,3))</f>
        <v>16.00</v>
      </c>
      <c r="D484" s="14" t="str">
        <f t="shared" ca="1" si="22"/>
        <v>—</v>
      </c>
      <c r="E484" s="25">
        <f t="shared" ca="1" si="23"/>
        <v>7</v>
      </c>
    </row>
    <row r="485" spans="1:5" x14ac:dyDescent="0.25">
      <c r="A485" s="8">
        <f t="shared" si="21"/>
        <v>73</v>
      </c>
      <c r="B485" t="str">
        <f ca="1">TEXT(DATE(YEAR(Invoer!$A$5),1,1)+INT((ROWS(B$2:B485)-1)/3),"jjjjmmdd")</f>
        <v>19460611</v>
      </c>
      <c r="C485" s="20" t="str">
        <f>INDEX(Data,2,2+MOD(ROWS(C$2:C485)-1,3))</f>
        <v>08.00</v>
      </c>
      <c r="D485" s="14" t="str">
        <f t="shared" ca="1" si="22"/>
        <v>—</v>
      </c>
      <c r="E485" s="25">
        <f t="shared" ca="1" si="23"/>
        <v>7</v>
      </c>
    </row>
    <row r="486" spans="1:5" x14ac:dyDescent="0.25">
      <c r="A486" s="8">
        <f t="shared" si="21"/>
        <v>73</v>
      </c>
      <c r="B486" t="str">
        <f ca="1">TEXT(DATE(YEAR(Invoer!$A$5),1,1)+INT((ROWS(B$2:B486)-1)/3),"jjjjmmdd")</f>
        <v>19460611</v>
      </c>
      <c r="C486" s="20" t="str">
        <f>INDEX(Data,2,2+MOD(ROWS(C$2:C486)-1,3))</f>
        <v>12.00</v>
      </c>
      <c r="D486" s="14" t="str">
        <f t="shared" ca="1" si="22"/>
        <v>—</v>
      </c>
      <c r="E486" s="25">
        <f t="shared" ca="1" si="23"/>
        <v>7</v>
      </c>
    </row>
    <row r="487" spans="1:5" x14ac:dyDescent="0.25">
      <c r="A487" s="8">
        <f t="shared" si="21"/>
        <v>73</v>
      </c>
      <c r="B487" t="str">
        <f ca="1">TEXT(DATE(YEAR(Invoer!$A$5),1,1)+INT((ROWS(B$2:B487)-1)/3),"jjjjmmdd")</f>
        <v>19460611</v>
      </c>
      <c r="C487" s="20" t="str">
        <f>INDEX(Data,2,2+MOD(ROWS(C$2:C487)-1,3))</f>
        <v>16.00</v>
      </c>
      <c r="D487" s="14" t="str">
        <f t="shared" ca="1" si="22"/>
        <v>—</v>
      </c>
      <c r="E487" s="25">
        <f t="shared" ca="1" si="23"/>
        <v>7</v>
      </c>
    </row>
    <row r="488" spans="1:5" x14ac:dyDescent="0.25">
      <c r="A488" s="8">
        <f t="shared" si="21"/>
        <v>73</v>
      </c>
      <c r="B488" t="str">
        <f ca="1">TEXT(DATE(YEAR(Invoer!$A$5),1,1)+INT((ROWS(B$2:B488)-1)/3),"jjjjmmdd")</f>
        <v>19460612</v>
      </c>
      <c r="C488" s="20" t="str">
        <f>INDEX(Data,2,2+MOD(ROWS(C$2:C488)-1,3))</f>
        <v>08.00</v>
      </c>
      <c r="D488" s="14" t="str">
        <f t="shared" ca="1" si="22"/>
        <v>—</v>
      </c>
      <c r="E488" s="25">
        <f t="shared" ca="1" si="23"/>
        <v>7</v>
      </c>
    </row>
    <row r="489" spans="1:5" x14ac:dyDescent="0.25">
      <c r="A489" s="8">
        <f t="shared" si="21"/>
        <v>73</v>
      </c>
      <c r="B489" t="str">
        <f ca="1">TEXT(DATE(YEAR(Invoer!$A$5),1,1)+INT((ROWS(B$2:B489)-1)/3),"jjjjmmdd")</f>
        <v>19460612</v>
      </c>
      <c r="C489" s="20" t="str">
        <f>INDEX(Data,2,2+MOD(ROWS(C$2:C489)-1,3))</f>
        <v>12.00</v>
      </c>
      <c r="D489" s="14" t="str">
        <f t="shared" ca="1" si="22"/>
        <v>—</v>
      </c>
      <c r="E489" s="25">
        <f t="shared" ca="1" si="23"/>
        <v>7</v>
      </c>
    </row>
    <row r="490" spans="1:5" x14ac:dyDescent="0.25">
      <c r="A490" s="8">
        <f t="shared" si="21"/>
        <v>73</v>
      </c>
      <c r="B490" t="str">
        <f ca="1">TEXT(DATE(YEAR(Invoer!$A$5),1,1)+INT((ROWS(B$2:B490)-1)/3),"jjjjmmdd")</f>
        <v>19460612</v>
      </c>
      <c r="C490" s="20" t="str">
        <f>INDEX(Data,2,2+MOD(ROWS(C$2:C490)-1,3))</f>
        <v>16.00</v>
      </c>
      <c r="D490" s="14" t="str">
        <f t="shared" ca="1" si="22"/>
        <v>—</v>
      </c>
      <c r="E490" s="25">
        <f t="shared" ca="1" si="23"/>
        <v>7</v>
      </c>
    </row>
    <row r="491" spans="1:5" x14ac:dyDescent="0.25">
      <c r="A491" s="8">
        <f t="shared" si="21"/>
        <v>73</v>
      </c>
      <c r="B491" t="str">
        <f ca="1">TEXT(DATE(YEAR(Invoer!$A$5),1,1)+INT((ROWS(B$2:B491)-1)/3),"jjjjmmdd")</f>
        <v>19460613</v>
      </c>
      <c r="C491" s="20" t="str">
        <f>INDEX(Data,2,2+MOD(ROWS(C$2:C491)-1,3))</f>
        <v>08.00</v>
      </c>
      <c r="D491" s="14" t="str">
        <f t="shared" ca="1" si="22"/>
        <v>—</v>
      </c>
      <c r="E491" s="25">
        <f t="shared" ca="1" si="23"/>
        <v>7</v>
      </c>
    </row>
    <row r="492" spans="1:5" x14ac:dyDescent="0.25">
      <c r="A492" s="8">
        <f t="shared" si="21"/>
        <v>73</v>
      </c>
      <c r="B492" t="str">
        <f ca="1">TEXT(DATE(YEAR(Invoer!$A$5),1,1)+INT((ROWS(B$2:B492)-1)/3),"jjjjmmdd")</f>
        <v>19460613</v>
      </c>
      <c r="C492" s="20" t="str">
        <f>INDEX(Data,2,2+MOD(ROWS(C$2:C492)-1,3))</f>
        <v>12.00</v>
      </c>
      <c r="D492" s="14" t="str">
        <f t="shared" ca="1" si="22"/>
        <v>—</v>
      </c>
      <c r="E492" s="25">
        <f t="shared" ca="1" si="23"/>
        <v>7</v>
      </c>
    </row>
    <row r="493" spans="1:5" x14ac:dyDescent="0.25">
      <c r="A493" s="8">
        <f t="shared" si="21"/>
        <v>73</v>
      </c>
      <c r="B493" t="str">
        <f ca="1">TEXT(DATE(YEAR(Invoer!$A$5),1,1)+INT((ROWS(B$2:B493)-1)/3),"jjjjmmdd")</f>
        <v>19460613</v>
      </c>
      <c r="C493" s="20" t="str">
        <f>INDEX(Data,2,2+MOD(ROWS(C$2:C493)-1,3))</f>
        <v>16.00</v>
      </c>
      <c r="D493" s="14" t="str">
        <f t="shared" ca="1" si="22"/>
        <v>—</v>
      </c>
      <c r="E493" s="25">
        <f t="shared" ca="1" si="23"/>
        <v>7</v>
      </c>
    </row>
    <row r="494" spans="1:5" x14ac:dyDescent="0.25">
      <c r="A494" s="8">
        <f t="shared" si="21"/>
        <v>73</v>
      </c>
      <c r="B494" t="str">
        <f ca="1">TEXT(DATE(YEAR(Invoer!$A$5),1,1)+INT((ROWS(B$2:B494)-1)/3),"jjjjmmdd")</f>
        <v>19460614</v>
      </c>
      <c r="C494" s="20" t="str">
        <f>INDEX(Data,2,2+MOD(ROWS(C$2:C494)-1,3))</f>
        <v>08.00</v>
      </c>
      <c r="D494" s="14" t="str">
        <f t="shared" ca="1" si="22"/>
        <v>—</v>
      </c>
      <c r="E494" s="25">
        <f t="shared" ca="1" si="23"/>
        <v>7</v>
      </c>
    </row>
    <row r="495" spans="1:5" x14ac:dyDescent="0.25">
      <c r="A495" s="8">
        <f t="shared" si="21"/>
        <v>73</v>
      </c>
      <c r="B495" t="str">
        <f ca="1">TEXT(DATE(YEAR(Invoer!$A$5),1,1)+INT((ROWS(B$2:B495)-1)/3),"jjjjmmdd")</f>
        <v>19460614</v>
      </c>
      <c r="C495" s="20" t="str">
        <f>INDEX(Data,2,2+MOD(ROWS(C$2:C495)-1,3))</f>
        <v>12.00</v>
      </c>
      <c r="D495" s="14" t="str">
        <f t="shared" ca="1" si="22"/>
        <v>—</v>
      </c>
      <c r="E495" s="25">
        <f t="shared" ca="1" si="23"/>
        <v>7</v>
      </c>
    </row>
    <row r="496" spans="1:5" x14ac:dyDescent="0.25">
      <c r="A496" s="8">
        <f t="shared" si="21"/>
        <v>73</v>
      </c>
      <c r="B496" t="str">
        <f ca="1">TEXT(DATE(YEAR(Invoer!$A$5),1,1)+INT((ROWS(B$2:B496)-1)/3),"jjjjmmdd")</f>
        <v>19460614</v>
      </c>
      <c r="C496" s="20" t="str">
        <f>INDEX(Data,2,2+MOD(ROWS(C$2:C496)-1,3))</f>
        <v>16.00</v>
      </c>
      <c r="D496" s="14" t="str">
        <f t="shared" ca="1" si="22"/>
        <v>—</v>
      </c>
      <c r="E496" s="25">
        <f t="shared" ca="1" si="23"/>
        <v>7</v>
      </c>
    </row>
    <row r="497" spans="1:5" x14ac:dyDescent="0.25">
      <c r="A497" s="8">
        <f t="shared" si="21"/>
        <v>73</v>
      </c>
      <c r="B497" t="str">
        <f ca="1">TEXT(DATE(YEAR(Invoer!$A$5),1,1)+INT((ROWS(B$2:B497)-1)/3),"jjjjmmdd")</f>
        <v>19460615</v>
      </c>
      <c r="C497" s="20" t="str">
        <f>INDEX(Data,2,2+MOD(ROWS(C$2:C497)-1,3))</f>
        <v>08.00</v>
      </c>
      <c r="D497" s="14" t="str">
        <f t="shared" ca="1" si="22"/>
        <v>—</v>
      </c>
      <c r="E497" s="25">
        <f t="shared" ca="1" si="23"/>
        <v>7</v>
      </c>
    </row>
    <row r="498" spans="1:5" x14ac:dyDescent="0.25">
      <c r="A498" s="8">
        <f t="shared" si="21"/>
        <v>73</v>
      </c>
      <c r="B498" t="str">
        <f ca="1">TEXT(DATE(YEAR(Invoer!$A$5),1,1)+INT((ROWS(B$2:B498)-1)/3),"jjjjmmdd")</f>
        <v>19460615</v>
      </c>
      <c r="C498" s="20" t="str">
        <f>INDEX(Data,2,2+MOD(ROWS(C$2:C498)-1,3))</f>
        <v>12.00</v>
      </c>
      <c r="D498" s="14" t="str">
        <f t="shared" ca="1" si="22"/>
        <v>—</v>
      </c>
      <c r="E498" s="25">
        <f t="shared" ca="1" si="23"/>
        <v>7</v>
      </c>
    </row>
    <row r="499" spans="1:5" x14ac:dyDescent="0.25">
      <c r="A499" s="8">
        <f t="shared" si="21"/>
        <v>73</v>
      </c>
      <c r="B499" t="str">
        <f ca="1">TEXT(DATE(YEAR(Invoer!$A$5),1,1)+INT((ROWS(B$2:B499)-1)/3),"jjjjmmdd")</f>
        <v>19460615</v>
      </c>
      <c r="C499" s="20" t="str">
        <f>INDEX(Data,2,2+MOD(ROWS(C$2:C499)-1,3))</f>
        <v>16.00</v>
      </c>
      <c r="D499" s="14" t="str">
        <f t="shared" ca="1" si="22"/>
        <v>—</v>
      </c>
      <c r="E499" s="25">
        <f t="shared" ca="1" si="23"/>
        <v>7</v>
      </c>
    </row>
    <row r="500" spans="1:5" x14ac:dyDescent="0.25">
      <c r="A500" s="8">
        <f t="shared" si="21"/>
        <v>73</v>
      </c>
      <c r="B500" t="str">
        <f ca="1">TEXT(DATE(YEAR(Invoer!$A$5),1,1)+INT((ROWS(B$2:B500)-1)/3),"jjjjmmdd")</f>
        <v>19460616</v>
      </c>
      <c r="C500" s="20" t="str">
        <f>INDEX(Data,2,2+MOD(ROWS(C$2:C500)-1,3))</f>
        <v>08.00</v>
      </c>
      <c r="D500" s="14" t="str">
        <f t="shared" ca="1" si="22"/>
        <v>—</v>
      </c>
      <c r="E500" s="25">
        <f t="shared" ca="1" si="23"/>
        <v>7</v>
      </c>
    </row>
    <row r="501" spans="1:5" x14ac:dyDescent="0.25">
      <c r="A501" s="8">
        <f t="shared" si="21"/>
        <v>73</v>
      </c>
      <c r="B501" t="str">
        <f ca="1">TEXT(DATE(YEAR(Invoer!$A$5),1,1)+INT((ROWS(B$2:B501)-1)/3),"jjjjmmdd")</f>
        <v>19460616</v>
      </c>
      <c r="C501" s="20" t="str">
        <f>INDEX(Data,2,2+MOD(ROWS(C$2:C501)-1,3))</f>
        <v>12.00</v>
      </c>
      <c r="D501" s="14" t="str">
        <f t="shared" ca="1" si="22"/>
        <v>—</v>
      </c>
      <c r="E501" s="25">
        <f t="shared" ca="1" si="23"/>
        <v>7</v>
      </c>
    </row>
    <row r="502" spans="1:5" x14ac:dyDescent="0.25">
      <c r="A502" s="8">
        <f t="shared" si="21"/>
        <v>73</v>
      </c>
      <c r="B502" t="str">
        <f ca="1">TEXT(DATE(YEAR(Invoer!$A$5),1,1)+INT((ROWS(B$2:B502)-1)/3),"jjjjmmdd")</f>
        <v>19460616</v>
      </c>
      <c r="C502" s="20" t="str">
        <f>INDEX(Data,2,2+MOD(ROWS(C$2:C502)-1,3))</f>
        <v>16.00</v>
      </c>
      <c r="D502" s="14" t="str">
        <f t="shared" ca="1" si="22"/>
        <v>—</v>
      </c>
      <c r="E502" s="25">
        <f t="shared" ca="1" si="23"/>
        <v>7</v>
      </c>
    </row>
    <row r="503" spans="1:5" x14ac:dyDescent="0.25">
      <c r="A503" s="8">
        <f t="shared" si="21"/>
        <v>73</v>
      </c>
      <c r="B503" t="str">
        <f ca="1">TEXT(DATE(YEAR(Invoer!$A$5),1,1)+INT((ROWS(B$2:B503)-1)/3),"jjjjmmdd")</f>
        <v>19460617</v>
      </c>
      <c r="C503" s="20" t="str">
        <f>INDEX(Data,2,2+MOD(ROWS(C$2:C503)-1,3))</f>
        <v>08.00</v>
      </c>
      <c r="D503" s="14" t="str">
        <f t="shared" ca="1" si="22"/>
        <v>—</v>
      </c>
      <c r="E503" s="25">
        <f t="shared" ca="1" si="23"/>
        <v>7</v>
      </c>
    </row>
    <row r="504" spans="1:5" x14ac:dyDescent="0.25">
      <c r="A504" s="8">
        <f t="shared" si="21"/>
        <v>73</v>
      </c>
      <c r="B504" t="str">
        <f ca="1">TEXT(DATE(YEAR(Invoer!$A$5),1,1)+INT((ROWS(B$2:B504)-1)/3),"jjjjmmdd")</f>
        <v>19460617</v>
      </c>
      <c r="C504" s="20" t="str">
        <f>INDEX(Data,2,2+MOD(ROWS(C$2:C504)-1,3))</f>
        <v>12.00</v>
      </c>
      <c r="D504" s="14" t="str">
        <f t="shared" ca="1" si="22"/>
        <v>—</v>
      </c>
      <c r="E504" s="25">
        <f t="shared" ca="1" si="23"/>
        <v>7</v>
      </c>
    </row>
    <row r="505" spans="1:5" x14ac:dyDescent="0.25">
      <c r="A505" s="8">
        <f t="shared" si="21"/>
        <v>73</v>
      </c>
      <c r="B505" t="str">
        <f ca="1">TEXT(DATE(YEAR(Invoer!$A$5),1,1)+INT((ROWS(B$2:B505)-1)/3),"jjjjmmdd")</f>
        <v>19460617</v>
      </c>
      <c r="C505" s="20" t="str">
        <f>INDEX(Data,2,2+MOD(ROWS(C$2:C505)-1,3))</f>
        <v>16.00</v>
      </c>
      <c r="D505" s="14" t="str">
        <f t="shared" ca="1" si="22"/>
        <v>—</v>
      </c>
      <c r="E505" s="25">
        <f t="shared" ca="1" si="23"/>
        <v>7</v>
      </c>
    </row>
    <row r="506" spans="1:5" x14ac:dyDescent="0.25">
      <c r="A506" s="8">
        <f t="shared" si="21"/>
        <v>73</v>
      </c>
      <c r="B506" t="str">
        <f ca="1">TEXT(DATE(YEAR(Invoer!$A$5),1,1)+INT((ROWS(B$2:B506)-1)/3),"jjjjmmdd")</f>
        <v>19460618</v>
      </c>
      <c r="C506" s="20" t="str">
        <f>INDEX(Data,2,2+MOD(ROWS(C$2:C506)-1,3))</f>
        <v>08.00</v>
      </c>
      <c r="D506" s="14" t="str">
        <f t="shared" ca="1" si="22"/>
        <v>—</v>
      </c>
      <c r="E506" s="25">
        <f t="shared" ca="1" si="23"/>
        <v>7</v>
      </c>
    </row>
    <row r="507" spans="1:5" x14ac:dyDescent="0.25">
      <c r="A507" s="8">
        <f t="shared" si="21"/>
        <v>73</v>
      </c>
      <c r="B507" t="str">
        <f ca="1">TEXT(DATE(YEAR(Invoer!$A$5),1,1)+INT((ROWS(B$2:B507)-1)/3),"jjjjmmdd")</f>
        <v>19460618</v>
      </c>
      <c r="C507" s="20" t="str">
        <f>INDEX(Data,2,2+MOD(ROWS(C$2:C507)-1,3))</f>
        <v>12.00</v>
      </c>
      <c r="D507" s="14" t="str">
        <f t="shared" ca="1" si="22"/>
        <v>—</v>
      </c>
      <c r="E507" s="25">
        <f t="shared" ca="1" si="23"/>
        <v>7</v>
      </c>
    </row>
    <row r="508" spans="1:5" x14ac:dyDescent="0.25">
      <c r="A508" s="8">
        <f t="shared" si="21"/>
        <v>73</v>
      </c>
      <c r="B508" t="str">
        <f ca="1">TEXT(DATE(YEAR(Invoer!$A$5),1,1)+INT((ROWS(B$2:B508)-1)/3),"jjjjmmdd")</f>
        <v>19460618</v>
      </c>
      <c r="C508" s="20" t="str">
        <f>INDEX(Data,2,2+MOD(ROWS(C$2:C508)-1,3))</f>
        <v>16.00</v>
      </c>
      <c r="D508" s="14" t="str">
        <f t="shared" ca="1" si="22"/>
        <v>—</v>
      </c>
      <c r="E508" s="25">
        <f t="shared" ca="1" si="23"/>
        <v>7</v>
      </c>
    </row>
    <row r="509" spans="1:5" x14ac:dyDescent="0.25">
      <c r="A509" s="8">
        <f t="shared" si="21"/>
        <v>73</v>
      </c>
      <c r="B509" t="str">
        <f ca="1">TEXT(DATE(YEAR(Invoer!$A$5),1,1)+INT((ROWS(B$2:B509)-1)/3),"jjjjmmdd")</f>
        <v>19460619</v>
      </c>
      <c r="C509" s="20" t="str">
        <f>INDEX(Data,2,2+MOD(ROWS(C$2:C509)-1,3))</f>
        <v>08.00</v>
      </c>
      <c r="D509" s="14" t="str">
        <f t="shared" ca="1" si="22"/>
        <v>—</v>
      </c>
      <c r="E509" s="25">
        <f t="shared" ca="1" si="23"/>
        <v>7</v>
      </c>
    </row>
    <row r="510" spans="1:5" x14ac:dyDescent="0.25">
      <c r="A510" s="8">
        <f t="shared" si="21"/>
        <v>73</v>
      </c>
      <c r="B510" t="str">
        <f ca="1">TEXT(DATE(YEAR(Invoer!$A$5),1,1)+INT((ROWS(B$2:B510)-1)/3),"jjjjmmdd")</f>
        <v>19460619</v>
      </c>
      <c r="C510" s="20" t="str">
        <f>INDEX(Data,2,2+MOD(ROWS(C$2:C510)-1,3))</f>
        <v>12.00</v>
      </c>
      <c r="D510" s="14" t="str">
        <f t="shared" ca="1" si="22"/>
        <v>—</v>
      </c>
      <c r="E510" s="25">
        <f t="shared" ca="1" si="23"/>
        <v>7</v>
      </c>
    </row>
    <row r="511" spans="1:5" x14ac:dyDescent="0.25">
      <c r="A511" s="8">
        <f t="shared" si="21"/>
        <v>73</v>
      </c>
      <c r="B511" t="str">
        <f ca="1">TEXT(DATE(YEAR(Invoer!$A$5),1,1)+INT((ROWS(B$2:B511)-1)/3),"jjjjmmdd")</f>
        <v>19460619</v>
      </c>
      <c r="C511" s="20" t="str">
        <f>INDEX(Data,2,2+MOD(ROWS(C$2:C511)-1,3))</f>
        <v>16.00</v>
      </c>
      <c r="D511" s="14" t="str">
        <f t="shared" ca="1" si="22"/>
        <v>—</v>
      </c>
      <c r="E511" s="25">
        <f t="shared" ca="1" si="23"/>
        <v>7</v>
      </c>
    </row>
    <row r="512" spans="1:5" x14ac:dyDescent="0.25">
      <c r="A512" s="8">
        <f t="shared" si="21"/>
        <v>73</v>
      </c>
      <c r="B512" t="str">
        <f ca="1">TEXT(DATE(YEAR(Invoer!$A$5),1,1)+INT((ROWS(B$2:B512)-1)/3),"jjjjmmdd")</f>
        <v>19460620</v>
      </c>
      <c r="C512" s="20" t="str">
        <f>INDEX(Data,2,2+MOD(ROWS(C$2:C512)-1,3))</f>
        <v>08.00</v>
      </c>
      <c r="D512" s="14" t="str">
        <f t="shared" ca="1" si="22"/>
        <v>—</v>
      </c>
      <c r="E512" s="25">
        <f t="shared" ca="1" si="23"/>
        <v>7</v>
      </c>
    </row>
    <row r="513" spans="1:5" x14ac:dyDescent="0.25">
      <c r="A513" s="8">
        <f t="shared" si="21"/>
        <v>73</v>
      </c>
      <c r="B513" t="str">
        <f ca="1">TEXT(DATE(YEAR(Invoer!$A$5),1,1)+INT((ROWS(B$2:B513)-1)/3),"jjjjmmdd")</f>
        <v>19460620</v>
      </c>
      <c r="C513" s="20" t="str">
        <f>INDEX(Data,2,2+MOD(ROWS(C$2:C513)-1,3))</f>
        <v>12.00</v>
      </c>
      <c r="D513" s="14" t="str">
        <f t="shared" ca="1" si="22"/>
        <v>—</v>
      </c>
      <c r="E513" s="25">
        <f t="shared" ca="1" si="23"/>
        <v>7</v>
      </c>
    </row>
    <row r="514" spans="1:5" x14ac:dyDescent="0.25">
      <c r="A514" s="8">
        <f t="shared" ref="A514:A577" si="24">INDEX(Stations,2,1)</f>
        <v>73</v>
      </c>
      <c r="B514" t="str">
        <f ca="1">TEXT(DATE(YEAR(Invoer!$A$5),1,1)+INT((ROWS(B$2:B514)-1)/3),"jjjjmmdd")</f>
        <v>19460620</v>
      </c>
      <c r="C514" s="20" t="str">
        <f>INDEX(Data,2,2+MOD(ROWS(C$2:C514)-1,3))</f>
        <v>16.00</v>
      </c>
      <c r="D514" s="14" t="str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25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</row>
    <row r="515" spans="1:5" x14ac:dyDescent="0.25">
      <c r="A515" s="8">
        <f t="shared" si="24"/>
        <v>73</v>
      </c>
      <c r="B515" t="str">
        <f ca="1">TEXT(DATE(YEAR(Invoer!$A$5),1,1)+INT((ROWS(B$2:B515)-1)/3),"jjjjmmdd")</f>
        <v>19460621</v>
      </c>
      <c r="C515" s="20" t="str">
        <f>INDEX(Data,2,2+MOD(ROWS(C$2:C515)-1,3))</f>
        <v>08.00</v>
      </c>
      <c r="D515" s="14" t="str">
        <f t="shared" ca="1" si="25"/>
        <v>—</v>
      </c>
      <c r="E515" s="25">
        <f t="shared" ca="1" si="26"/>
        <v>7</v>
      </c>
    </row>
    <row r="516" spans="1:5" x14ac:dyDescent="0.25">
      <c r="A516" s="8">
        <f t="shared" si="24"/>
        <v>73</v>
      </c>
      <c r="B516" t="str">
        <f ca="1">TEXT(DATE(YEAR(Invoer!$A$5),1,1)+INT((ROWS(B$2:B516)-1)/3),"jjjjmmdd")</f>
        <v>19460621</v>
      </c>
      <c r="C516" s="20" t="str">
        <f>INDEX(Data,2,2+MOD(ROWS(C$2:C516)-1,3))</f>
        <v>12.00</v>
      </c>
      <c r="D516" s="14" t="str">
        <f t="shared" ca="1" si="25"/>
        <v>—</v>
      </c>
      <c r="E516" s="25">
        <f t="shared" ca="1" si="26"/>
        <v>7</v>
      </c>
    </row>
    <row r="517" spans="1:5" x14ac:dyDescent="0.25">
      <c r="A517" s="8">
        <f t="shared" si="24"/>
        <v>73</v>
      </c>
      <c r="B517" t="str">
        <f ca="1">TEXT(DATE(YEAR(Invoer!$A$5),1,1)+INT((ROWS(B$2:B517)-1)/3),"jjjjmmdd")</f>
        <v>19460621</v>
      </c>
      <c r="C517" s="20" t="str">
        <f>INDEX(Data,2,2+MOD(ROWS(C$2:C517)-1,3))</f>
        <v>16.00</v>
      </c>
      <c r="D517" s="14" t="str">
        <f t="shared" ca="1" si="25"/>
        <v>—</v>
      </c>
      <c r="E517" s="25">
        <f t="shared" ca="1" si="26"/>
        <v>7</v>
      </c>
    </row>
    <row r="518" spans="1:5" x14ac:dyDescent="0.25">
      <c r="A518" s="8">
        <f t="shared" si="24"/>
        <v>73</v>
      </c>
      <c r="B518" t="str">
        <f ca="1">TEXT(DATE(YEAR(Invoer!$A$5),1,1)+INT((ROWS(B$2:B518)-1)/3),"jjjjmmdd")</f>
        <v>19460622</v>
      </c>
      <c r="C518" s="20" t="str">
        <f>INDEX(Data,2,2+MOD(ROWS(C$2:C518)-1,3))</f>
        <v>08.00</v>
      </c>
      <c r="D518" s="14" t="str">
        <f t="shared" ca="1" si="25"/>
        <v>—</v>
      </c>
      <c r="E518" s="25">
        <f t="shared" ca="1" si="26"/>
        <v>7</v>
      </c>
    </row>
    <row r="519" spans="1:5" x14ac:dyDescent="0.25">
      <c r="A519" s="8">
        <f t="shared" si="24"/>
        <v>73</v>
      </c>
      <c r="B519" t="str">
        <f ca="1">TEXT(DATE(YEAR(Invoer!$A$5),1,1)+INT((ROWS(B$2:B519)-1)/3),"jjjjmmdd")</f>
        <v>19460622</v>
      </c>
      <c r="C519" s="20" t="str">
        <f>INDEX(Data,2,2+MOD(ROWS(C$2:C519)-1,3))</f>
        <v>12.00</v>
      </c>
      <c r="D519" s="14" t="str">
        <f t="shared" ca="1" si="25"/>
        <v>—</v>
      </c>
      <c r="E519" s="25">
        <f t="shared" ca="1" si="26"/>
        <v>7</v>
      </c>
    </row>
    <row r="520" spans="1:5" x14ac:dyDescent="0.25">
      <c r="A520" s="8">
        <f t="shared" si="24"/>
        <v>73</v>
      </c>
      <c r="B520" t="str">
        <f ca="1">TEXT(DATE(YEAR(Invoer!$A$5),1,1)+INT((ROWS(B$2:B520)-1)/3),"jjjjmmdd")</f>
        <v>19460622</v>
      </c>
      <c r="C520" s="20" t="str">
        <f>INDEX(Data,2,2+MOD(ROWS(C$2:C520)-1,3))</f>
        <v>16.00</v>
      </c>
      <c r="D520" s="14" t="str">
        <f t="shared" ca="1" si="25"/>
        <v>—</v>
      </c>
      <c r="E520" s="25">
        <f t="shared" ca="1" si="26"/>
        <v>7</v>
      </c>
    </row>
    <row r="521" spans="1:5" x14ac:dyDescent="0.25">
      <c r="A521" s="8">
        <f t="shared" si="24"/>
        <v>73</v>
      </c>
      <c r="B521" t="str">
        <f ca="1">TEXT(DATE(YEAR(Invoer!$A$5),1,1)+INT((ROWS(B$2:B521)-1)/3),"jjjjmmdd")</f>
        <v>19460623</v>
      </c>
      <c r="C521" s="20" t="str">
        <f>INDEX(Data,2,2+MOD(ROWS(C$2:C521)-1,3))</f>
        <v>08.00</v>
      </c>
      <c r="D521" s="14" t="str">
        <f t="shared" ca="1" si="25"/>
        <v>—</v>
      </c>
      <c r="E521" s="25">
        <f t="shared" ca="1" si="26"/>
        <v>7</v>
      </c>
    </row>
    <row r="522" spans="1:5" x14ac:dyDescent="0.25">
      <c r="A522" s="8">
        <f t="shared" si="24"/>
        <v>73</v>
      </c>
      <c r="B522" t="str">
        <f ca="1">TEXT(DATE(YEAR(Invoer!$A$5),1,1)+INT((ROWS(B$2:B522)-1)/3),"jjjjmmdd")</f>
        <v>19460623</v>
      </c>
      <c r="C522" s="20" t="str">
        <f>INDEX(Data,2,2+MOD(ROWS(C$2:C522)-1,3))</f>
        <v>12.00</v>
      </c>
      <c r="D522" s="14" t="str">
        <f t="shared" ca="1" si="25"/>
        <v>—</v>
      </c>
      <c r="E522" s="25">
        <f t="shared" ca="1" si="26"/>
        <v>7</v>
      </c>
    </row>
    <row r="523" spans="1:5" x14ac:dyDescent="0.25">
      <c r="A523" s="8">
        <f t="shared" si="24"/>
        <v>73</v>
      </c>
      <c r="B523" t="str">
        <f ca="1">TEXT(DATE(YEAR(Invoer!$A$5),1,1)+INT((ROWS(B$2:B523)-1)/3),"jjjjmmdd")</f>
        <v>19460623</v>
      </c>
      <c r="C523" s="20" t="str">
        <f>INDEX(Data,2,2+MOD(ROWS(C$2:C523)-1,3))</f>
        <v>16.00</v>
      </c>
      <c r="D523" s="14" t="str">
        <f t="shared" ca="1" si="25"/>
        <v>—</v>
      </c>
      <c r="E523" s="25">
        <f t="shared" ca="1" si="26"/>
        <v>7</v>
      </c>
    </row>
    <row r="524" spans="1:5" x14ac:dyDescent="0.25">
      <c r="A524" s="8">
        <f t="shared" si="24"/>
        <v>73</v>
      </c>
      <c r="B524" t="str">
        <f ca="1">TEXT(DATE(YEAR(Invoer!$A$5),1,1)+INT((ROWS(B$2:B524)-1)/3),"jjjjmmdd")</f>
        <v>19460624</v>
      </c>
      <c r="C524" s="20" t="str">
        <f>INDEX(Data,2,2+MOD(ROWS(C$2:C524)-1,3))</f>
        <v>08.00</v>
      </c>
      <c r="D524" s="14" t="str">
        <f t="shared" ca="1" si="25"/>
        <v>—</v>
      </c>
      <c r="E524" s="25">
        <f t="shared" ca="1" si="26"/>
        <v>7</v>
      </c>
    </row>
    <row r="525" spans="1:5" x14ac:dyDescent="0.25">
      <c r="A525" s="8">
        <f t="shared" si="24"/>
        <v>73</v>
      </c>
      <c r="B525" t="str">
        <f ca="1">TEXT(DATE(YEAR(Invoer!$A$5),1,1)+INT((ROWS(B$2:B525)-1)/3),"jjjjmmdd")</f>
        <v>19460624</v>
      </c>
      <c r="C525" s="20" t="str">
        <f>INDEX(Data,2,2+MOD(ROWS(C$2:C525)-1,3))</f>
        <v>12.00</v>
      </c>
      <c r="D525" s="14" t="str">
        <f t="shared" ca="1" si="25"/>
        <v>—</v>
      </c>
      <c r="E525" s="25">
        <f t="shared" ca="1" si="26"/>
        <v>7</v>
      </c>
    </row>
    <row r="526" spans="1:5" x14ac:dyDescent="0.25">
      <c r="A526" s="8">
        <f t="shared" si="24"/>
        <v>73</v>
      </c>
      <c r="B526" t="str">
        <f ca="1">TEXT(DATE(YEAR(Invoer!$A$5),1,1)+INT((ROWS(B$2:B526)-1)/3),"jjjjmmdd")</f>
        <v>19460624</v>
      </c>
      <c r="C526" s="20" t="str">
        <f>INDEX(Data,2,2+MOD(ROWS(C$2:C526)-1,3))</f>
        <v>16.00</v>
      </c>
      <c r="D526" s="14" t="str">
        <f t="shared" ca="1" si="25"/>
        <v>—</v>
      </c>
      <c r="E526" s="25">
        <f t="shared" ca="1" si="26"/>
        <v>7</v>
      </c>
    </row>
    <row r="527" spans="1:5" x14ac:dyDescent="0.25">
      <c r="A527" s="8">
        <f t="shared" si="24"/>
        <v>73</v>
      </c>
      <c r="B527" t="str">
        <f ca="1">TEXT(DATE(YEAR(Invoer!$A$5),1,1)+INT((ROWS(B$2:B527)-1)/3),"jjjjmmdd")</f>
        <v>19460625</v>
      </c>
      <c r="C527" s="20" t="str">
        <f>INDEX(Data,2,2+MOD(ROWS(C$2:C527)-1,3))</f>
        <v>08.00</v>
      </c>
      <c r="D527" s="14" t="str">
        <f t="shared" ca="1" si="25"/>
        <v>—</v>
      </c>
      <c r="E527" s="25">
        <f t="shared" ca="1" si="26"/>
        <v>7</v>
      </c>
    </row>
    <row r="528" spans="1:5" x14ac:dyDescent="0.25">
      <c r="A528" s="8">
        <f t="shared" si="24"/>
        <v>73</v>
      </c>
      <c r="B528" t="str">
        <f ca="1">TEXT(DATE(YEAR(Invoer!$A$5),1,1)+INT((ROWS(B$2:B528)-1)/3),"jjjjmmdd")</f>
        <v>19460625</v>
      </c>
      <c r="C528" s="20" t="str">
        <f>INDEX(Data,2,2+MOD(ROWS(C$2:C528)-1,3))</f>
        <v>12.00</v>
      </c>
      <c r="D528" s="14" t="str">
        <f t="shared" ca="1" si="25"/>
        <v>—</v>
      </c>
      <c r="E528" s="25">
        <f t="shared" ca="1" si="26"/>
        <v>7</v>
      </c>
    </row>
    <row r="529" spans="1:5" x14ac:dyDescent="0.25">
      <c r="A529" s="8">
        <f t="shared" si="24"/>
        <v>73</v>
      </c>
      <c r="B529" t="str">
        <f ca="1">TEXT(DATE(YEAR(Invoer!$A$5),1,1)+INT((ROWS(B$2:B529)-1)/3),"jjjjmmdd")</f>
        <v>19460625</v>
      </c>
      <c r="C529" s="20" t="str">
        <f>INDEX(Data,2,2+MOD(ROWS(C$2:C529)-1,3))</f>
        <v>16.00</v>
      </c>
      <c r="D529" s="14" t="str">
        <f t="shared" ca="1" si="25"/>
        <v>—</v>
      </c>
      <c r="E529" s="25">
        <f t="shared" ca="1" si="26"/>
        <v>7</v>
      </c>
    </row>
    <row r="530" spans="1:5" x14ac:dyDescent="0.25">
      <c r="A530" s="8">
        <f t="shared" si="24"/>
        <v>73</v>
      </c>
      <c r="B530" t="str">
        <f ca="1">TEXT(DATE(YEAR(Invoer!$A$5),1,1)+INT((ROWS(B$2:B530)-1)/3),"jjjjmmdd")</f>
        <v>19460626</v>
      </c>
      <c r="C530" s="20" t="str">
        <f>INDEX(Data,2,2+MOD(ROWS(C$2:C530)-1,3))</f>
        <v>08.00</v>
      </c>
      <c r="D530" s="14" t="str">
        <f t="shared" ca="1" si="25"/>
        <v>—</v>
      </c>
      <c r="E530" s="25">
        <f t="shared" ca="1" si="26"/>
        <v>7</v>
      </c>
    </row>
    <row r="531" spans="1:5" x14ac:dyDescent="0.25">
      <c r="A531" s="8">
        <f t="shared" si="24"/>
        <v>73</v>
      </c>
      <c r="B531" t="str">
        <f ca="1">TEXT(DATE(YEAR(Invoer!$A$5),1,1)+INT((ROWS(B$2:B531)-1)/3),"jjjjmmdd")</f>
        <v>19460626</v>
      </c>
      <c r="C531" s="20" t="str">
        <f>INDEX(Data,2,2+MOD(ROWS(C$2:C531)-1,3))</f>
        <v>12.00</v>
      </c>
      <c r="D531" s="14" t="str">
        <f t="shared" ca="1" si="25"/>
        <v>—</v>
      </c>
      <c r="E531" s="25">
        <f t="shared" ca="1" si="26"/>
        <v>7</v>
      </c>
    </row>
    <row r="532" spans="1:5" x14ac:dyDescent="0.25">
      <c r="A532" s="8">
        <f t="shared" si="24"/>
        <v>73</v>
      </c>
      <c r="B532" t="str">
        <f ca="1">TEXT(DATE(YEAR(Invoer!$A$5),1,1)+INT((ROWS(B$2:B532)-1)/3),"jjjjmmdd")</f>
        <v>19460626</v>
      </c>
      <c r="C532" s="20" t="str">
        <f>INDEX(Data,2,2+MOD(ROWS(C$2:C532)-1,3))</f>
        <v>16.00</v>
      </c>
      <c r="D532" s="14" t="str">
        <f t="shared" ca="1" si="25"/>
        <v>—</v>
      </c>
      <c r="E532" s="25">
        <f t="shared" ca="1" si="26"/>
        <v>7</v>
      </c>
    </row>
    <row r="533" spans="1:5" x14ac:dyDescent="0.25">
      <c r="A533" s="8">
        <f t="shared" si="24"/>
        <v>73</v>
      </c>
      <c r="B533" t="str">
        <f ca="1">TEXT(DATE(YEAR(Invoer!$A$5),1,1)+INT((ROWS(B$2:B533)-1)/3),"jjjjmmdd")</f>
        <v>19460627</v>
      </c>
      <c r="C533" s="20" t="str">
        <f>INDEX(Data,2,2+MOD(ROWS(C$2:C533)-1,3))</f>
        <v>08.00</v>
      </c>
      <c r="D533" s="14" t="str">
        <f t="shared" ca="1" si="25"/>
        <v>—</v>
      </c>
      <c r="E533" s="25">
        <f t="shared" ca="1" si="26"/>
        <v>7</v>
      </c>
    </row>
    <row r="534" spans="1:5" x14ac:dyDescent="0.25">
      <c r="A534" s="8">
        <f t="shared" si="24"/>
        <v>73</v>
      </c>
      <c r="B534" t="str">
        <f ca="1">TEXT(DATE(YEAR(Invoer!$A$5),1,1)+INT((ROWS(B$2:B534)-1)/3),"jjjjmmdd")</f>
        <v>19460627</v>
      </c>
      <c r="C534" s="20" t="str">
        <f>INDEX(Data,2,2+MOD(ROWS(C$2:C534)-1,3))</f>
        <v>12.00</v>
      </c>
      <c r="D534" s="14" t="str">
        <f t="shared" ca="1" si="25"/>
        <v>—</v>
      </c>
      <c r="E534" s="25">
        <f t="shared" ca="1" si="26"/>
        <v>7</v>
      </c>
    </row>
    <row r="535" spans="1:5" x14ac:dyDescent="0.25">
      <c r="A535" s="8">
        <f t="shared" si="24"/>
        <v>73</v>
      </c>
      <c r="B535" t="str">
        <f ca="1">TEXT(DATE(YEAR(Invoer!$A$5),1,1)+INT((ROWS(B$2:B535)-1)/3),"jjjjmmdd")</f>
        <v>19460627</v>
      </c>
      <c r="C535" s="20" t="str">
        <f>INDEX(Data,2,2+MOD(ROWS(C$2:C535)-1,3))</f>
        <v>16.00</v>
      </c>
      <c r="D535" s="14" t="str">
        <f t="shared" ca="1" si="25"/>
        <v>—</v>
      </c>
      <c r="E535" s="25">
        <f t="shared" ca="1" si="26"/>
        <v>7</v>
      </c>
    </row>
    <row r="536" spans="1:5" x14ac:dyDescent="0.25">
      <c r="A536" s="8">
        <f t="shared" si="24"/>
        <v>73</v>
      </c>
      <c r="B536" t="str">
        <f ca="1">TEXT(DATE(YEAR(Invoer!$A$5),1,1)+INT((ROWS(B$2:B536)-1)/3),"jjjjmmdd")</f>
        <v>19460628</v>
      </c>
      <c r="C536" s="20" t="str">
        <f>INDEX(Data,2,2+MOD(ROWS(C$2:C536)-1,3))</f>
        <v>08.00</v>
      </c>
      <c r="D536" s="14" t="str">
        <f t="shared" ca="1" si="25"/>
        <v>—</v>
      </c>
      <c r="E536" s="25">
        <f t="shared" ca="1" si="26"/>
        <v>7</v>
      </c>
    </row>
    <row r="537" spans="1:5" x14ac:dyDescent="0.25">
      <c r="A537" s="8">
        <f t="shared" si="24"/>
        <v>73</v>
      </c>
      <c r="B537" t="str">
        <f ca="1">TEXT(DATE(YEAR(Invoer!$A$5),1,1)+INT((ROWS(B$2:B537)-1)/3),"jjjjmmdd")</f>
        <v>19460628</v>
      </c>
      <c r="C537" s="20" t="str">
        <f>INDEX(Data,2,2+MOD(ROWS(C$2:C537)-1,3))</f>
        <v>12.00</v>
      </c>
      <c r="D537" s="14" t="str">
        <f t="shared" ca="1" si="25"/>
        <v>—</v>
      </c>
      <c r="E537" s="25">
        <f t="shared" ca="1" si="26"/>
        <v>7</v>
      </c>
    </row>
    <row r="538" spans="1:5" x14ac:dyDescent="0.25">
      <c r="A538" s="8">
        <f t="shared" si="24"/>
        <v>73</v>
      </c>
      <c r="B538" t="str">
        <f ca="1">TEXT(DATE(YEAR(Invoer!$A$5),1,1)+INT((ROWS(B$2:B538)-1)/3),"jjjjmmdd")</f>
        <v>19460628</v>
      </c>
      <c r="C538" s="20" t="str">
        <f>INDEX(Data,2,2+MOD(ROWS(C$2:C538)-1,3))</f>
        <v>16.00</v>
      </c>
      <c r="D538" s="14" t="str">
        <f t="shared" ca="1" si="25"/>
        <v>—</v>
      </c>
      <c r="E538" s="25">
        <f t="shared" ca="1" si="26"/>
        <v>7</v>
      </c>
    </row>
    <row r="539" spans="1:5" x14ac:dyDescent="0.25">
      <c r="A539" s="8">
        <f t="shared" si="24"/>
        <v>73</v>
      </c>
      <c r="B539" t="str">
        <f ca="1">TEXT(DATE(YEAR(Invoer!$A$5),1,1)+INT((ROWS(B$2:B539)-1)/3),"jjjjmmdd")</f>
        <v>19460629</v>
      </c>
      <c r="C539" s="20" t="str">
        <f>INDEX(Data,2,2+MOD(ROWS(C$2:C539)-1,3))</f>
        <v>08.00</v>
      </c>
      <c r="D539" s="14" t="str">
        <f t="shared" ca="1" si="25"/>
        <v>—</v>
      </c>
      <c r="E539" s="25">
        <f t="shared" ca="1" si="26"/>
        <v>7</v>
      </c>
    </row>
    <row r="540" spans="1:5" x14ac:dyDescent="0.25">
      <c r="A540" s="8">
        <f t="shared" si="24"/>
        <v>73</v>
      </c>
      <c r="B540" t="str">
        <f ca="1">TEXT(DATE(YEAR(Invoer!$A$5),1,1)+INT((ROWS(B$2:B540)-1)/3),"jjjjmmdd")</f>
        <v>19460629</v>
      </c>
      <c r="C540" s="20" t="str">
        <f>INDEX(Data,2,2+MOD(ROWS(C$2:C540)-1,3))</f>
        <v>12.00</v>
      </c>
      <c r="D540" s="14" t="str">
        <f t="shared" ca="1" si="25"/>
        <v>—</v>
      </c>
      <c r="E540" s="25">
        <f t="shared" ca="1" si="26"/>
        <v>7</v>
      </c>
    </row>
    <row r="541" spans="1:5" x14ac:dyDescent="0.25">
      <c r="A541" s="8">
        <f t="shared" si="24"/>
        <v>73</v>
      </c>
      <c r="B541" t="str">
        <f ca="1">TEXT(DATE(YEAR(Invoer!$A$5),1,1)+INT((ROWS(B$2:B541)-1)/3),"jjjjmmdd")</f>
        <v>19460629</v>
      </c>
      <c r="C541" s="20" t="str">
        <f>INDEX(Data,2,2+MOD(ROWS(C$2:C541)-1,3))</f>
        <v>16.00</v>
      </c>
      <c r="D541" s="14" t="str">
        <f t="shared" ca="1" si="25"/>
        <v>—</v>
      </c>
      <c r="E541" s="25">
        <f t="shared" ca="1" si="26"/>
        <v>7</v>
      </c>
    </row>
    <row r="542" spans="1:5" x14ac:dyDescent="0.25">
      <c r="A542" s="8">
        <f t="shared" si="24"/>
        <v>73</v>
      </c>
      <c r="B542" t="str">
        <f ca="1">TEXT(DATE(YEAR(Invoer!$A$5),1,1)+INT((ROWS(B$2:B542)-1)/3),"jjjjmmdd")</f>
        <v>19460630</v>
      </c>
      <c r="C542" s="20" t="str">
        <f>INDEX(Data,2,2+MOD(ROWS(C$2:C542)-1,3))</f>
        <v>08.00</v>
      </c>
      <c r="D542" s="14" t="str">
        <f t="shared" ca="1" si="25"/>
        <v>—</v>
      </c>
      <c r="E542" s="25">
        <f t="shared" ca="1" si="26"/>
        <v>7</v>
      </c>
    </row>
    <row r="543" spans="1:5" x14ac:dyDescent="0.25">
      <c r="A543" s="8">
        <f t="shared" si="24"/>
        <v>73</v>
      </c>
      <c r="B543" t="str">
        <f ca="1">TEXT(DATE(YEAR(Invoer!$A$5),1,1)+INT((ROWS(B$2:B543)-1)/3),"jjjjmmdd")</f>
        <v>19460630</v>
      </c>
      <c r="C543" s="20" t="str">
        <f>INDEX(Data,2,2+MOD(ROWS(C$2:C543)-1,3))</f>
        <v>12.00</v>
      </c>
      <c r="D543" s="14" t="str">
        <f t="shared" ca="1" si="25"/>
        <v>—</v>
      </c>
      <c r="E543" s="25">
        <f t="shared" ca="1" si="26"/>
        <v>7</v>
      </c>
    </row>
    <row r="544" spans="1:5" x14ac:dyDescent="0.25">
      <c r="A544" s="8">
        <f t="shared" si="24"/>
        <v>73</v>
      </c>
      <c r="B544" t="str">
        <f ca="1">TEXT(DATE(YEAR(Invoer!$A$5),1,1)+INT((ROWS(B$2:B544)-1)/3),"jjjjmmdd")</f>
        <v>19460630</v>
      </c>
      <c r="C544" s="20" t="str">
        <f>INDEX(Data,2,2+MOD(ROWS(C$2:C544)-1,3))</f>
        <v>16.00</v>
      </c>
      <c r="D544" s="14" t="str">
        <f t="shared" ca="1" si="25"/>
        <v>—</v>
      </c>
      <c r="E544" s="25">
        <f t="shared" ca="1" si="26"/>
        <v>7</v>
      </c>
    </row>
    <row r="545" spans="1:5" x14ac:dyDescent="0.25">
      <c r="A545" s="8">
        <f t="shared" si="24"/>
        <v>73</v>
      </c>
      <c r="B545" t="str">
        <f ca="1">TEXT(DATE(YEAR(Invoer!$A$5),1,1)+INT((ROWS(B$2:B545)-1)/3),"jjjjmmdd")</f>
        <v>19460701</v>
      </c>
      <c r="C545" s="20" t="str">
        <f>INDEX(Data,2,2+MOD(ROWS(C$2:C545)-1,3))</f>
        <v>08.00</v>
      </c>
      <c r="D545" s="14" t="str">
        <f t="shared" ca="1" si="25"/>
        <v>—</v>
      </c>
      <c r="E545" s="25">
        <f t="shared" ca="1" si="26"/>
        <v>7</v>
      </c>
    </row>
    <row r="546" spans="1:5" x14ac:dyDescent="0.25">
      <c r="A546" s="8">
        <f t="shared" si="24"/>
        <v>73</v>
      </c>
      <c r="B546" t="str">
        <f ca="1">TEXT(DATE(YEAR(Invoer!$A$5),1,1)+INT((ROWS(B$2:B546)-1)/3),"jjjjmmdd")</f>
        <v>19460701</v>
      </c>
      <c r="C546" s="20" t="str">
        <f>INDEX(Data,2,2+MOD(ROWS(C$2:C546)-1,3))</f>
        <v>12.00</v>
      </c>
      <c r="D546" s="14" t="str">
        <f t="shared" ca="1" si="25"/>
        <v>—</v>
      </c>
      <c r="E546" s="25">
        <f t="shared" ca="1" si="26"/>
        <v>7</v>
      </c>
    </row>
    <row r="547" spans="1:5" x14ac:dyDescent="0.25">
      <c r="A547" s="8">
        <f t="shared" si="24"/>
        <v>73</v>
      </c>
      <c r="B547" t="str">
        <f ca="1">TEXT(DATE(YEAR(Invoer!$A$5),1,1)+INT((ROWS(B$2:B547)-1)/3),"jjjjmmdd")</f>
        <v>19460701</v>
      </c>
      <c r="C547" s="20" t="str">
        <f>INDEX(Data,2,2+MOD(ROWS(C$2:C547)-1,3))</f>
        <v>16.00</v>
      </c>
      <c r="D547" s="14" t="str">
        <f t="shared" ca="1" si="25"/>
        <v>—</v>
      </c>
      <c r="E547" s="25">
        <f t="shared" ca="1" si="26"/>
        <v>7</v>
      </c>
    </row>
    <row r="548" spans="1:5" x14ac:dyDescent="0.25">
      <c r="A548" s="8">
        <f t="shared" si="24"/>
        <v>73</v>
      </c>
      <c r="B548" t="str">
        <f ca="1">TEXT(DATE(YEAR(Invoer!$A$5),1,1)+INT((ROWS(B$2:B548)-1)/3),"jjjjmmdd")</f>
        <v>19460702</v>
      </c>
      <c r="C548" s="20" t="str">
        <f>INDEX(Data,2,2+MOD(ROWS(C$2:C548)-1,3))</f>
        <v>08.00</v>
      </c>
      <c r="D548" s="14" t="str">
        <f t="shared" ca="1" si="25"/>
        <v>—</v>
      </c>
      <c r="E548" s="25">
        <f t="shared" ca="1" si="26"/>
        <v>7</v>
      </c>
    </row>
    <row r="549" spans="1:5" x14ac:dyDescent="0.25">
      <c r="A549" s="8">
        <f t="shared" si="24"/>
        <v>73</v>
      </c>
      <c r="B549" t="str">
        <f ca="1">TEXT(DATE(YEAR(Invoer!$A$5),1,1)+INT((ROWS(B$2:B549)-1)/3),"jjjjmmdd")</f>
        <v>19460702</v>
      </c>
      <c r="C549" s="20" t="str">
        <f>INDEX(Data,2,2+MOD(ROWS(C$2:C549)-1,3))</f>
        <v>12.00</v>
      </c>
      <c r="D549" s="14" t="str">
        <f t="shared" ca="1" si="25"/>
        <v>—</v>
      </c>
      <c r="E549" s="25">
        <f t="shared" ca="1" si="26"/>
        <v>7</v>
      </c>
    </row>
    <row r="550" spans="1:5" x14ac:dyDescent="0.25">
      <c r="A550" s="8">
        <f t="shared" si="24"/>
        <v>73</v>
      </c>
      <c r="B550" t="str">
        <f ca="1">TEXT(DATE(YEAR(Invoer!$A$5),1,1)+INT((ROWS(B$2:B550)-1)/3),"jjjjmmdd")</f>
        <v>19460702</v>
      </c>
      <c r="C550" s="20" t="str">
        <f>INDEX(Data,2,2+MOD(ROWS(C$2:C550)-1,3))</f>
        <v>16.00</v>
      </c>
      <c r="D550" s="14" t="str">
        <f t="shared" ca="1" si="25"/>
        <v>—</v>
      </c>
      <c r="E550" s="25">
        <f t="shared" ca="1" si="26"/>
        <v>7</v>
      </c>
    </row>
    <row r="551" spans="1:5" x14ac:dyDescent="0.25">
      <c r="A551" s="8">
        <f t="shared" si="24"/>
        <v>73</v>
      </c>
      <c r="B551" t="str">
        <f ca="1">TEXT(DATE(YEAR(Invoer!$A$5),1,1)+INT((ROWS(B$2:B551)-1)/3),"jjjjmmdd")</f>
        <v>19460703</v>
      </c>
      <c r="C551" s="20" t="str">
        <f>INDEX(Data,2,2+MOD(ROWS(C$2:C551)-1,3))</f>
        <v>08.00</v>
      </c>
      <c r="D551" s="14" t="str">
        <f t="shared" ca="1" si="25"/>
        <v>—</v>
      </c>
      <c r="E551" s="25">
        <f t="shared" ca="1" si="26"/>
        <v>7</v>
      </c>
    </row>
    <row r="552" spans="1:5" x14ac:dyDescent="0.25">
      <c r="A552" s="8">
        <f t="shared" si="24"/>
        <v>73</v>
      </c>
      <c r="B552" t="str">
        <f ca="1">TEXT(DATE(YEAR(Invoer!$A$5),1,1)+INT((ROWS(B$2:B552)-1)/3),"jjjjmmdd")</f>
        <v>19460703</v>
      </c>
      <c r="C552" s="20" t="str">
        <f>INDEX(Data,2,2+MOD(ROWS(C$2:C552)-1,3))</f>
        <v>12.00</v>
      </c>
      <c r="D552" s="14" t="str">
        <f t="shared" ca="1" si="25"/>
        <v>—</v>
      </c>
      <c r="E552" s="25">
        <f t="shared" ca="1" si="26"/>
        <v>7</v>
      </c>
    </row>
    <row r="553" spans="1:5" x14ac:dyDescent="0.25">
      <c r="A553" s="8">
        <f t="shared" si="24"/>
        <v>73</v>
      </c>
      <c r="B553" t="str">
        <f ca="1">TEXT(DATE(YEAR(Invoer!$A$5),1,1)+INT((ROWS(B$2:B553)-1)/3),"jjjjmmdd")</f>
        <v>19460703</v>
      </c>
      <c r="C553" s="20" t="str">
        <f>INDEX(Data,2,2+MOD(ROWS(C$2:C553)-1,3))</f>
        <v>16.00</v>
      </c>
      <c r="D553" s="14" t="str">
        <f t="shared" ca="1" si="25"/>
        <v>—</v>
      </c>
      <c r="E553" s="25">
        <f t="shared" ca="1" si="26"/>
        <v>7</v>
      </c>
    </row>
    <row r="554" spans="1:5" x14ac:dyDescent="0.25">
      <c r="A554" s="8">
        <f t="shared" si="24"/>
        <v>73</v>
      </c>
      <c r="B554" t="str">
        <f ca="1">TEXT(DATE(YEAR(Invoer!$A$5),1,1)+INT((ROWS(B$2:B554)-1)/3),"jjjjmmdd")</f>
        <v>19460704</v>
      </c>
      <c r="C554" s="20" t="str">
        <f>INDEX(Data,2,2+MOD(ROWS(C$2:C554)-1,3))</f>
        <v>08.00</v>
      </c>
      <c r="D554" s="14" t="str">
        <f t="shared" ca="1" si="25"/>
        <v>—</v>
      </c>
      <c r="E554" s="25">
        <f t="shared" ca="1" si="26"/>
        <v>7</v>
      </c>
    </row>
    <row r="555" spans="1:5" x14ac:dyDescent="0.25">
      <c r="A555" s="8">
        <f t="shared" si="24"/>
        <v>73</v>
      </c>
      <c r="B555" t="str">
        <f ca="1">TEXT(DATE(YEAR(Invoer!$A$5),1,1)+INT((ROWS(B$2:B555)-1)/3),"jjjjmmdd")</f>
        <v>19460704</v>
      </c>
      <c r="C555" s="20" t="str">
        <f>INDEX(Data,2,2+MOD(ROWS(C$2:C555)-1,3))</f>
        <v>12.00</v>
      </c>
      <c r="D555" s="14" t="str">
        <f t="shared" ca="1" si="25"/>
        <v>—</v>
      </c>
      <c r="E555" s="25">
        <f t="shared" ca="1" si="26"/>
        <v>7</v>
      </c>
    </row>
    <row r="556" spans="1:5" x14ac:dyDescent="0.25">
      <c r="A556" s="8">
        <f t="shared" si="24"/>
        <v>73</v>
      </c>
      <c r="B556" t="str">
        <f ca="1">TEXT(DATE(YEAR(Invoer!$A$5),1,1)+INT((ROWS(B$2:B556)-1)/3),"jjjjmmdd")</f>
        <v>19460704</v>
      </c>
      <c r="C556" s="20" t="str">
        <f>INDEX(Data,2,2+MOD(ROWS(C$2:C556)-1,3))</f>
        <v>16.00</v>
      </c>
      <c r="D556" s="14" t="str">
        <f t="shared" ca="1" si="25"/>
        <v>—</v>
      </c>
      <c r="E556" s="25">
        <f t="shared" ca="1" si="26"/>
        <v>7</v>
      </c>
    </row>
    <row r="557" spans="1:5" x14ac:dyDescent="0.25">
      <c r="A557" s="8">
        <f t="shared" si="24"/>
        <v>73</v>
      </c>
      <c r="B557" t="str">
        <f ca="1">TEXT(DATE(YEAR(Invoer!$A$5),1,1)+INT((ROWS(B$2:B557)-1)/3),"jjjjmmdd")</f>
        <v>19460705</v>
      </c>
      <c r="C557" s="20" t="str">
        <f>INDEX(Data,2,2+MOD(ROWS(C$2:C557)-1,3))</f>
        <v>08.00</v>
      </c>
      <c r="D557" s="14" t="str">
        <f t="shared" ca="1" si="25"/>
        <v>—</v>
      </c>
      <c r="E557" s="25">
        <f t="shared" ca="1" si="26"/>
        <v>7</v>
      </c>
    </row>
    <row r="558" spans="1:5" x14ac:dyDescent="0.25">
      <c r="A558" s="8">
        <f t="shared" si="24"/>
        <v>73</v>
      </c>
      <c r="B558" t="str">
        <f ca="1">TEXT(DATE(YEAR(Invoer!$A$5),1,1)+INT((ROWS(B$2:B558)-1)/3),"jjjjmmdd")</f>
        <v>19460705</v>
      </c>
      <c r="C558" s="20" t="str">
        <f>INDEX(Data,2,2+MOD(ROWS(C$2:C558)-1,3))</f>
        <v>12.00</v>
      </c>
      <c r="D558" s="14" t="str">
        <f t="shared" ca="1" si="25"/>
        <v>—</v>
      </c>
      <c r="E558" s="25">
        <f t="shared" ca="1" si="26"/>
        <v>7</v>
      </c>
    </row>
    <row r="559" spans="1:5" x14ac:dyDescent="0.25">
      <c r="A559" s="8">
        <f t="shared" si="24"/>
        <v>73</v>
      </c>
      <c r="B559" t="str">
        <f ca="1">TEXT(DATE(YEAR(Invoer!$A$5),1,1)+INT((ROWS(B$2:B559)-1)/3),"jjjjmmdd")</f>
        <v>19460705</v>
      </c>
      <c r="C559" s="20" t="str">
        <f>INDEX(Data,2,2+MOD(ROWS(C$2:C559)-1,3))</f>
        <v>16.00</v>
      </c>
      <c r="D559" s="14" t="str">
        <f t="shared" ca="1" si="25"/>
        <v>—</v>
      </c>
      <c r="E559" s="25">
        <f t="shared" ca="1" si="26"/>
        <v>7</v>
      </c>
    </row>
    <row r="560" spans="1:5" x14ac:dyDescent="0.25">
      <c r="A560" s="8">
        <f t="shared" si="24"/>
        <v>73</v>
      </c>
      <c r="B560" t="str">
        <f ca="1">TEXT(DATE(YEAR(Invoer!$A$5),1,1)+INT((ROWS(B$2:B560)-1)/3),"jjjjmmdd")</f>
        <v>19460706</v>
      </c>
      <c r="C560" s="20" t="str">
        <f>INDEX(Data,2,2+MOD(ROWS(C$2:C560)-1,3))</f>
        <v>08.00</v>
      </c>
      <c r="D560" s="14" t="str">
        <f t="shared" ca="1" si="25"/>
        <v>—</v>
      </c>
      <c r="E560" s="25">
        <f t="shared" ca="1" si="26"/>
        <v>7</v>
      </c>
    </row>
    <row r="561" spans="1:5" x14ac:dyDescent="0.25">
      <c r="A561" s="8">
        <f t="shared" si="24"/>
        <v>73</v>
      </c>
      <c r="B561" t="str">
        <f ca="1">TEXT(DATE(YEAR(Invoer!$A$5),1,1)+INT((ROWS(B$2:B561)-1)/3),"jjjjmmdd")</f>
        <v>19460706</v>
      </c>
      <c r="C561" s="20" t="str">
        <f>INDEX(Data,2,2+MOD(ROWS(C$2:C561)-1,3))</f>
        <v>12.00</v>
      </c>
      <c r="D561" s="14" t="str">
        <f t="shared" ca="1" si="25"/>
        <v>—</v>
      </c>
      <c r="E561" s="25">
        <f t="shared" ca="1" si="26"/>
        <v>7</v>
      </c>
    </row>
    <row r="562" spans="1:5" x14ac:dyDescent="0.25">
      <c r="A562" s="8">
        <f t="shared" si="24"/>
        <v>73</v>
      </c>
      <c r="B562" t="str">
        <f ca="1">TEXT(DATE(YEAR(Invoer!$A$5),1,1)+INT((ROWS(B$2:B562)-1)/3),"jjjjmmdd")</f>
        <v>19460706</v>
      </c>
      <c r="C562" s="20" t="str">
        <f>INDEX(Data,2,2+MOD(ROWS(C$2:C562)-1,3))</f>
        <v>16.00</v>
      </c>
      <c r="D562" s="14" t="str">
        <f t="shared" ca="1" si="25"/>
        <v>—</v>
      </c>
      <c r="E562" s="25">
        <f t="shared" ca="1" si="26"/>
        <v>7</v>
      </c>
    </row>
    <row r="563" spans="1:5" x14ac:dyDescent="0.25">
      <c r="A563" s="8">
        <f t="shared" si="24"/>
        <v>73</v>
      </c>
      <c r="B563" t="str">
        <f ca="1">TEXT(DATE(YEAR(Invoer!$A$5),1,1)+INT((ROWS(B$2:B563)-1)/3),"jjjjmmdd")</f>
        <v>19460707</v>
      </c>
      <c r="C563" s="20" t="str">
        <f>INDEX(Data,2,2+MOD(ROWS(C$2:C563)-1,3))</f>
        <v>08.00</v>
      </c>
      <c r="D563" s="14" t="str">
        <f t="shared" ca="1" si="25"/>
        <v>—</v>
      </c>
      <c r="E563" s="25">
        <f t="shared" ca="1" si="26"/>
        <v>7</v>
      </c>
    </row>
    <row r="564" spans="1:5" x14ac:dyDescent="0.25">
      <c r="A564" s="8">
        <f t="shared" si="24"/>
        <v>73</v>
      </c>
      <c r="B564" t="str">
        <f ca="1">TEXT(DATE(YEAR(Invoer!$A$5),1,1)+INT((ROWS(B$2:B564)-1)/3),"jjjjmmdd")</f>
        <v>19460707</v>
      </c>
      <c r="C564" s="20" t="str">
        <f>INDEX(Data,2,2+MOD(ROWS(C$2:C564)-1,3))</f>
        <v>12.00</v>
      </c>
      <c r="D564" s="14" t="str">
        <f t="shared" ca="1" si="25"/>
        <v>—</v>
      </c>
      <c r="E564" s="25">
        <f t="shared" ca="1" si="26"/>
        <v>7</v>
      </c>
    </row>
    <row r="565" spans="1:5" x14ac:dyDescent="0.25">
      <c r="A565" s="8">
        <f t="shared" si="24"/>
        <v>73</v>
      </c>
      <c r="B565" t="str">
        <f ca="1">TEXT(DATE(YEAR(Invoer!$A$5),1,1)+INT((ROWS(B$2:B565)-1)/3),"jjjjmmdd")</f>
        <v>19460707</v>
      </c>
      <c r="C565" s="20" t="str">
        <f>INDEX(Data,2,2+MOD(ROWS(C$2:C565)-1,3))</f>
        <v>16.00</v>
      </c>
      <c r="D565" s="14" t="str">
        <f t="shared" ca="1" si="25"/>
        <v>—</v>
      </c>
      <c r="E565" s="25">
        <f t="shared" ca="1" si="26"/>
        <v>7</v>
      </c>
    </row>
    <row r="566" spans="1:5" x14ac:dyDescent="0.25">
      <c r="A566" s="8">
        <f t="shared" si="24"/>
        <v>73</v>
      </c>
      <c r="B566" t="str">
        <f ca="1">TEXT(DATE(YEAR(Invoer!$A$5),1,1)+INT((ROWS(B$2:B566)-1)/3),"jjjjmmdd")</f>
        <v>19460708</v>
      </c>
      <c r="C566" s="20" t="str">
        <f>INDEX(Data,2,2+MOD(ROWS(C$2:C566)-1,3))</f>
        <v>08.00</v>
      </c>
      <c r="D566" s="14" t="str">
        <f t="shared" ca="1" si="25"/>
        <v>—</v>
      </c>
      <c r="E566" s="25">
        <f t="shared" ca="1" si="26"/>
        <v>7</v>
      </c>
    </row>
    <row r="567" spans="1:5" x14ac:dyDescent="0.25">
      <c r="A567" s="8">
        <f t="shared" si="24"/>
        <v>73</v>
      </c>
      <c r="B567" t="str">
        <f ca="1">TEXT(DATE(YEAR(Invoer!$A$5),1,1)+INT((ROWS(B$2:B567)-1)/3),"jjjjmmdd")</f>
        <v>19460708</v>
      </c>
      <c r="C567" s="20" t="str">
        <f>INDEX(Data,2,2+MOD(ROWS(C$2:C567)-1,3))</f>
        <v>12.00</v>
      </c>
      <c r="D567" s="14" t="str">
        <f t="shared" ca="1" si="25"/>
        <v>—</v>
      </c>
      <c r="E567" s="25">
        <f t="shared" ca="1" si="26"/>
        <v>7</v>
      </c>
    </row>
    <row r="568" spans="1:5" x14ac:dyDescent="0.25">
      <c r="A568" s="8">
        <f t="shared" si="24"/>
        <v>73</v>
      </c>
      <c r="B568" t="str">
        <f ca="1">TEXT(DATE(YEAR(Invoer!$A$5),1,1)+INT((ROWS(B$2:B568)-1)/3),"jjjjmmdd")</f>
        <v>19460708</v>
      </c>
      <c r="C568" s="20" t="str">
        <f>INDEX(Data,2,2+MOD(ROWS(C$2:C568)-1,3))</f>
        <v>16.00</v>
      </c>
      <c r="D568" s="14" t="str">
        <f t="shared" ca="1" si="25"/>
        <v>—</v>
      </c>
      <c r="E568" s="25">
        <f t="shared" ca="1" si="26"/>
        <v>7</v>
      </c>
    </row>
    <row r="569" spans="1:5" x14ac:dyDescent="0.25">
      <c r="A569" s="8">
        <f t="shared" si="24"/>
        <v>73</v>
      </c>
      <c r="B569" t="str">
        <f ca="1">TEXT(DATE(YEAR(Invoer!$A$5),1,1)+INT((ROWS(B$2:B569)-1)/3),"jjjjmmdd")</f>
        <v>19460709</v>
      </c>
      <c r="C569" s="20" t="str">
        <f>INDEX(Data,2,2+MOD(ROWS(C$2:C569)-1,3))</f>
        <v>08.00</v>
      </c>
      <c r="D569" s="14" t="str">
        <f t="shared" ca="1" si="25"/>
        <v>—</v>
      </c>
      <c r="E569" s="25">
        <f t="shared" ca="1" si="26"/>
        <v>7</v>
      </c>
    </row>
    <row r="570" spans="1:5" x14ac:dyDescent="0.25">
      <c r="A570" s="8">
        <f t="shared" si="24"/>
        <v>73</v>
      </c>
      <c r="B570" t="str">
        <f ca="1">TEXT(DATE(YEAR(Invoer!$A$5),1,1)+INT((ROWS(B$2:B570)-1)/3),"jjjjmmdd")</f>
        <v>19460709</v>
      </c>
      <c r="C570" s="20" t="str">
        <f>INDEX(Data,2,2+MOD(ROWS(C$2:C570)-1,3))</f>
        <v>12.00</v>
      </c>
      <c r="D570" s="14" t="str">
        <f t="shared" ca="1" si="25"/>
        <v>—</v>
      </c>
      <c r="E570" s="25">
        <f t="shared" ca="1" si="26"/>
        <v>7</v>
      </c>
    </row>
    <row r="571" spans="1:5" x14ac:dyDescent="0.25">
      <c r="A571" s="8">
        <f t="shared" si="24"/>
        <v>73</v>
      </c>
      <c r="B571" t="str">
        <f ca="1">TEXT(DATE(YEAR(Invoer!$A$5),1,1)+INT((ROWS(B$2:B571)-1)/3),"jjjjmmdd")</f>
        <v>19460709</v>
      </c>
      <c r="C571" s="20" t="str">
        <f>INDEX(Data,2,2+MOD(ROWS(C$2:C571)-1,3))</f>
        <v>16.00</v>
      </c>
      <c r="D571" s="14" t="str">
        <f t="shared" ca="1" si="25"/>
        <v>—</v>
      </c>
      <c r="E571" s="25">
        <f t="shared" ca="1" si="26"/>
        <v>7</v>
      </c>
    </row>
    <row r="572" spans="1:5" x14ac:dyDescent="0.25">
      <c r="A572" s="8">
        <f t="shared" si="24"/>
        <v>73</v>
      </c>
      <c r="B572" t="str">
        <f ca="1">TEXT(DATE(YEAR(Invoer!$A$5),1,1)+INT((ROWS(B$2:B572)-1)/3),"jjjjmmdd")</f>
        <v>19460710</v>
      </c>
      <c r="C572" s="20" t="str">
        <f>INDEX(Data,2,2+MOD(ROWS(C$2:C572)-1,3))</f>
        <v>08.00</v>
      </c>
      <c r="D572" s="14" t="str">
        <f t="shared" ca="1" si="25"/>
        <v>—</v>
      </c>
      <c r="E572" s="25">
        <f t="shared" ca="1" si="26"/>
        <v>7</v>
      </c>
    </row>
    <row r="573" spans="1:5" x14ac:dyDescent="0.25">
      <c r="A573" s="8">
        <f t="shared" si="24"/>
        <v>73</v>
      </c>
      <c r="B573" t="str">
        <f ca="1">TEXT(DATE(YEAR(Invoer!$A$5),1,1)+INT((ROWS(B$2:B573)-1)/3),"jjjjmmdd")</f>
        <v>19460710</v>
      </c>
      <c r="C573" s="20" t="str">
        <f>INDEX(Data,2,2+MOD(ROWS(C$2:C573)-1,3))</f>
        <v>12.00</v>
      </c>
      <c r="D573" s="14" t="str">
        <f t="shared" ca="1" si="25"/>
        <v>—</v>
      </c>
      <c r="E573" s="25">
        <f t="shared" ca="1" si="26"/>
        <v>7</v>
      </c>
    </row>
    <row r="574" spans="1:5" x14ac:dyDescent="0.25">
      <c r="A574" s="8">
        <f t="shared" si="24"/>
        <v>73</v>
      </c>
      <c r="B574" t="str">
        <f ca="1">TEXT(DATE(YEAR(Invoer!$A$5),1,1)+INT((ROWS(B$2:B574)-1)/3),"jjjjmmdd")</f>
        <v>19460710</v>
      </c>
      <c r="C574" s="20" t="str">
        <f>INDEX(Data,2,2+MOD(ROWS(C$2:C574)-1,3))</f>
        <v>16.00</v>
      </c>
      <c r="D574" s="14" t="str">
        <f t="shared" ca="1" si="25"/>
        <v>—</v>
      </c>
      <c r="E574" s="25">
        <f t="shared" ca="1" si="26"/>
        <v>7</v>
      </c>
    </row>
    <row r="575" spans="1:5" x14ac:dyDescent="0.25">
      <c r="A575" s="8">
        <f t="shared" si="24"/>
        <v>73</v>
      </c>
      <c r="B575" t="str">
        <f ca="1">TEXT(DATE(YEAR(Invoer!$A$5),1,1)+INT((ROWS(B$2:B575)-1)/3),"jjjjmmdd")</f>
        <v>19460711</v>
      </c>
      <c r="C575" s="20" t="str">
        <f>INDEX(Data,2,2+MOD(ROWS(C$2:C575)-1,3))</f>
        <v>08.00</v>
      </c>
      <c r="D575" s="14" t="str">
        <f t="shared" ca="1" si="25"/>
        <v>—</v>
      </c>
      <c r="E575" s="25">
        <f t="shared" ca="1" si="26"/>
        <v>7</v>
      </c>
    </row>
    <row r="576" spans="1:5" x14ac:dyDescent="0.25">
      <c r="A576" s="8">
        <f t="shared" si="24"/>
        <v>73</v>
      </c>
      <c r="B576" t="str">
        <f ca="1">TEXT(DATE(YEAR(Invoer!$A$5),1,1)+INT((ROWS(B$2:B576)-1)/3),"jjjjmmdd")</f>
        <v>19460711</v>
      </c>
      <c r="C576" s="20" t="str">
        <f>INDEX(Data,2,2+MOD(ROWS(C$2:C576)-1,3))</f>
        <v>12.00</v>
      </c>
      <c r="D576" s="14" t="str">
        <f t="shared" ca="1" si="25"/>
        <v>—</v>
      </c>
      <c r="E576" s="25">
        <f t="shared" ca="1" si="26"/>
        <v>7</v>
      </c>
    </row>
    <row r="577" spans="1:5" x14ac:dyDescent="0.25">
      <c r="A577" s="8">
        <f t="shared" si="24"/>
        <v>73</v>
      </c>
      <c r="B577" t="str">
        <f ca="1">TEXT(DATE(YEAR(Invoer!$A$5),1,1)+INT((ROWS(B$2:B577)-1)/3),"jjjjmmdd")</f>
        <v>19460711</v>
      </c>
      <c r="C577" s="20" t="str">
        <f>INDEX(Data,2,2+MOD(ROWS(C$2:C577)-1,3))</f>
        <v>16.00</v>
      </c>
      <c r="D577" s="14" t="str">
        <f t="shared" ca="1" si="25"/>
        <v>—</v>
      </c>
      <c r="E577" s="25">
        <f t="shared" ca="1" si="26"/>
        <v>7</v>
      </c>
    </row>
    <row r="578" spans="1:5" x14ac:dyDescent="0.25">
      <c r="A578" s="8">
        <f t="shared" ref="A578:A641" si="27">INDEX(Stations,2,1)</f>
        <v>73</v>
      </c>
      <c r="B578" t="str">
        <f ca="1">TEXT(DATE(YEAR(Invoer!$A$5),1,1)+INT((ROWS(B$2:B578)-1)/3),"jjjjmmdd")</f>
        <v>19460712</v>
      </c>
      <c r="C578" s="20" t="str">
        <f>INDEX(Data,2,2+MOD(ROWS(C$2:C578)-1,3))</f>
        <v>08.00</v>
      </c>
      <c r="D578" s="14" t="str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25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</row>
    <row r="579" spans="1:5" x14ac:dyDescent="0.25">
      <c r="A579" s="8">
        <f t="shared" si="27"/>
        <v>73</v>
      </c>
      <c r="B579" t="str">
        <f ca="1">TEXT(DATE(YEAR(Invoer!$A$5),1,1)+INT((ROWS(B$2:B579)-1)/3),"jjjjmmdd")</f>
        <v>19460712</v>
      </c>
      <c r="C579" s="20" t="str">
        <f>INDEX(Data,2,2+MOD(ROWS(C$2:C579)-1,3))</f>
        <v>12.00</v>
      </c>
      <c r="D579" s="14" t="str">
        <f t="shared" ca="1" si="28"/>
        <v>—</v>
      </c>
      <c r="E579" s="25">
        <f t="shared" ca="1" si="29"/>
        <v>7</v>
      </c>
    </row>
    <row r="580" spans="1:5" x14ac:dyDescent="0.25">
      <c r="A580" s="8">
        <f t="shared" si="27"/>
        <v>73</v>
      </c>
      <c r="B580" t="str">
        <f ca="1">TEXT(DATE(YEAR(Invoer!$A$5),1,1)+INT((ROWS(B$2:B580)-1)/3),"jjjjmmdd")</f>
        <v>19460712</v>
      </c>
      <c r="C580" s="20" t="str">
        <f>INDEX(Data,2,2+MOD(ROWS(C$2:C580)-1,3))</f>
        <v>16.00</v>
      </c>
      <c r="D580" s="14" t="str">
        <f t="shared" ca="1" si="28"/>
        <v>—</v>
      </c>
      <c r="E580" s="25">
        <f t="shared" ca="1" si="29"/>
        <v>7</v>
      </c>
    </row>
    <row r="581" spans="1:5" x14ac:dyDescent="0.25">
      <c r="A581" s="8">
        <f t="shared" si="27"/>
        <v>73</v>
      </c>
      <c r="B581" t="str">
        <f ca="1">TEXT(DATE(YEAR(Invoer!$A$5),1,1)+INT((ROWS(B$2:B581)-1)/3),"jjjjmmdd")</f>
        <v>19460713</v>
      </c>
      <c r="C581" s="20" t="str">
        <f>INDEX(Data,2,2+MOD(ROWS(C$2:C581)-1,3))</f>
        <v>08.00</v>
      </c>
      <c r="D581" s="14" t="str">
        <f t="shared" ca="1" si="28"/>
        <v>—</v>
      </c>
      <c r="E581" s="25">
        <f t="shared" ca="1" si="29"/>
        <v>7</v>
      </c>
    </row>
    <row r="582" spans="1:5" x14ac:dyDescent="0.25">
      <c r="A582" s="8">
        <f t="shared" si="27"/>
        <v>73</v>
      </c>
      <c r="B582" t="str">
        <f ca="1">TEXT(DATE(YEAR(Invoer!$A$5),1,1)+INT((ROWS(B$2:B582)-1)/3),"jjjjmmdd")</f>
        <v>19460713</v>
      </c>
      <c r="C582" s="20" t="str">
        <f>INDEX(Data,2,2+MOD(ROWS(C$2:C582)-1,3))</f>
        <v>12.00</v>
      </c>
      <c r="D582" s="14" t="str">
        <f t="shared" ca="1" si="28"/>
        <v>—</v>
      </c>
      <c r="E582" s="25">
        <f t="shared" ca="1" si="29"/>
        <v>7</v>
      </c>
    </row>
    <row r="583" spans="1:5" x14ac:dyDescent="0.25">
      <c r="A583" s="8">
        <f t="shared" si="27"/>
        <v>73</v>
      </c>
      <c r="B583" t="str">
        <f ca="1">TEXT(DATE(YEAR(Invoer!$A$5),1,1)+INT((ROWS(B$2:B583)-1)/3),"jjjjmmdd")</f>
        <v>19460713</v>
      </c>
      <c r="C583" s="20" t="str">
        <f>INDEX(Data,2,2+MOD(ROWS(C$2:C583)-1,3))</f>
        <v>16.00</v>
      </c>
      <c r="D583" s="14" t="str">
        <f t="shared" ca="1" si="28"/>
        <v>—</v>
      </c>
      <c r="E583" s="25">
        <f t="shared" ca="1" si="29"/>
        <v>7</v>
      </c>
    </row>
    <row r="584" spans="1:5" x14ac:dyDescent="0.25">
      <c r="A584" s="8">
        <f t="shared" si="27"/>
        <v>73</v>
      </c>
      <c r="B584" t="str">
        <f ca="1">TEXT(DATE(YEAR(Invoer!$A$5),1,1)+INT((ROWS(B$2:B584)-1)/3),"jjjjmmdd")</f>
        <v>19460714</v>
      </c>
      <c r="C584" s="20" t="str">
        <f>INDEX(Data,2,2+MOD(ROWS(C$2:C584)-1,3))</f>
        <v>08.00</v>
      </c>
      <c r="D584" s="14" t="str">
        <f t="shared" ca="1" si="28"/>
        <v>—</v>
      </c>
      <c r="E584" s="25">
        <f t="shared" ca="1" si="29"/>
        <v>7</v>
      </c>
    </row>
    <row r="585" spans="1:5" x14ac:dyDescent="0.25">
      <c r="A585" s="8">
        <f t="shared" si="27"/>
        <v>73</v>
      </c>
      <c r="B585" t="str">
        <f ca="1">TEXT(DATE(YEAR(Invoer!$A$5),1,1)+INT((ROWS(B$2:B585)-1)/3),"jjjjmmdd")</f>
        <v>19460714</v>
      </c>
      <c r="C585" s="20" t="str">
        <f>INDEX(Data,2,2+MOD(ROWS(C$2:C585)-1,3))</f>
        <v>12.00</v>
      </c>
      <c r="D585" s="14" t="str">
        <f t="shared" ca="1" si="28"/>
        <v>—</v>
      </c>
      <c r="E585" s="25">
        <f t="shared" ca="1" si="29"/>
        <v>7</v>
      </c>
    </row>
    <row r="586" spans="1:5" x14ac:dyDescent="0.25">
      <c r="A586" s="8">
        <f t="shared" si="27"/>
        <v>73</v>
      </c>
      <c r="B586" t="str">
        <f ca="1">TEXT(DATE(YEAR(Invoer!$A$5),1,1)+INT((ROWS(B$2:B586)-1)/3),"jjjjmmdd")</f>
        <v>19460714</v>
      </c>
      <c r="C586" s="20" t="str">
        <f>INDEX(Data,2,2+MOD(ROWS(C$2:C586)-1,3))</f>
        <v>16.00</v>
      </c>
      <c r="D586" s="14" t="str">
        <f t="shared" ca="1" si="28"/>
        <v>—</v>
      </c>
      <c r="E586" s="25">
        <f t="shared" ca="1" si="29"/>
        <v>7</v>
      </c>
    </row>
    <row r="587" spans="1:5" x14ac:dyDescent="0.25">
      <c r="A587" s="8">
        <f t="shared" si="27"/>
        <v>73</v>
      </c>
      <c r="B587" t="str">
        <f ca="1">TEXT(DATE(YEAR(Invoer!$A$5),1,1)+INT((ROWS(B$2:B587)-1)/3),"jjjjmmdd")</f>
        <v>19460715</v>
      </c>
      <c r="C587" s="20" t="str">
        <f>INDEX(Data,2,2+MOD(ROWS(C$2:C587)-1,3))</f>
        <v>08.00</v>
      </c>
      <c r="D587" s="14" t="str">
        <f t="shared" ca="1" si="28"/>
        <v>—</v>
      </c>
      <c r="E587" s="25">
        <f t="shared" ca="1" si="29"/>
        <v>7</v>
      </c>
    </row>
    <row r="588" spans="1:5" x14ac:dyDescent="0.25">
      <c r="A588" s="8">
        <f t="shared" si="27"/>
        <v>73</v>
      </c>
      <c r="B588" t="str">
        <f ca="1">TEXT(DATE(YEAR(Invoer!$A$5),1,1)+INT((ROWS(B$2:B588)-1)/3),"jjjjmmdd")</f>
        <v>19460715</v>
      </c>
      <c r="C588" s="20" t="str">
        <f>INDEX(Data,2,2+MOD(ROWS(C$2:C588)-1,3))</f>
        <v>12.00</v>
      </c>
      <c r="D588" s="14" t="str">
        <f t="shared" ca="1" si="28"/>
        <v>—</v>
      </c>
      <c r="E588" s="25">
        <f t="shared" ca="1" si="29"/>
        <v>7</v>
      </c>
    </row>
    <row r="589" spans="1:5" x14ac:dyDescent="0.25">
      <c r="A589" s="8">
        <f t="shared" si="27"/>
        <v>73</v>
      </c>
      <c r="B589" t="str">
        <f ca="1">TEXT(DATE(YEAR(Invoer!$A$5),1,1)+INT((ROWS(B$2:B589)-1)/3),"jjjjmmdd")</f>
        <v>19460715</v>
      </c>
      <c r="C589" s="20" t="str">
        <f>INDEX(Data,2,2+MOD(ROWS(C$2:C589)-1,3))</f>
        <v>16.00</v>
      </c>
      <c r="D589" s="14" t="str">
        <f t="shared" ca="1" si="28"/>
        <v>—</v>
      </c>
      <c r="E589" s="25">
        <f t="shared" ca="1" si="29"/>
        <v>7</v>
      </c>
    </row>
    <row r="590" spans="1:5" x14ac:dyDescent="0.25">
      <c r="A590" s="8">
        <f t="shared" si="27"/>
        <v>73</v>
      </c>
      <c r="B590" t="str">
        <f ca="1">TEXT(DATE(YEAR(Invoer!$A$5),1,1)+INT((ROWS(B$2:B590)-1)/3),"jjjjmmdd")</f>
        <v>19460716</v>
      </c>
      <c r="C590" s="20" t="str">
        <f>INDEX(Data,2,2+MOD(ROWS(C$2:C590)-1,3))</f>
        <v>08.00</v>
      </c>
      <c r="D590" s="14" t="str">
        <f t="shared" ca="1" si="28"/>
        <v>—</v>
      </c>
      <c r="E590" s="25">
        <f t="shared" ca="1" si="29"/>
        <v>7</v>
      </c>
    </row>
    <row r="591" spans="1:5" x14ac:dyDescent="0.25">
      <c r="A591" s="8">
        <f t="shared" si="27"/>
        <v>73</v>
      </c>
      <c r="B591" t="str">
        <f ca="1">TEXT(DATE(YEAR(Invoer!$A$5),1,1)+INT((ROWS(B$2:B591)-1)/3),"jjjjmmdd")</f>
        <v>19460716</v>
      </c>
      <c r="C591" s="20" t="str">
        <f>INDEX(Data,2,2+MOD(ROWS(C$2:C591)-1,3))</f>
        <v>12.00</v>
      </c>
      <c r="D591" s="14" t="str">
        <f t="shared" ca="1" si="28"/>
        <v>—</v>
      </c>
      <c r="E591" s="25">
        <f t="shared" ca="1" si="29"/>
        <v>7</v>
      </c>
    </row>
    <row r="592" spans="1:5" x14ac:dyDescent="0.25">
      <c r="A592" s="8">
        <f t="shared" si="27"/>
        <v>73</v>
      </c>
      <c r="B592" t="str">
        <f ca="1">TEXT(DATE(YEAR(Invoer!$A$5),1,1)+INT((ROWS(B$2:B592)-1)/3),"jjjjmmdd")</f>
        <v>19460716</v>
      </c>
      <c r="C592" s="20" t="str">
        <f>INDEX(Data,2,2+MOD(ROWS(C$2:C592)-1,3))</f>
        <v>16.00</v>
      </c>
      <c r="D592" s="14" t="str">
        <f t="shared" ca="1" si="28"/>
        <v>—</v>
      </c>
      <c r="E592" s="25">
        <f t="shared" ca="1" si="29"/>
        <v>7</v>
      </c>
    </row>
    <row r="593" spans="1:5" x14ac:dyDescent="0.25">
      <c r="A593" s="8">
        <f t="shared" si="27"/>
        <v>73</v>
      </c>
      <c r="B593" t="str">
        <f ca="1">TEXT(DATE(YEAR(Invoer!$A$5),1,1)+INT((ROWS(B$2:B593)-1)/3),"jjjjmmdd")</f>
        <v>19460717</v>
      </c>
      <c r="C593" s="20" t="str">
        <f>INDEX(Data,2,2+MOD(ROWS(C$2:C593)-1,3))</f>
        <v>08.00</v>
      </c>
      <c r="D593" s="14" t="str">
        <f t="shared" ca="1" si="28"/>
        <v>—</v>
      </c>
      <c r="E593" s="25">
        <f t="shared" ca="1" si="29"/>
        <v>7</v>
      </c>
    </row>
    <row r="594" spans="1:5" x14ac:dyDescent="0.25">
      <c r="A594" s="8">
        <f t="shared" si="27"/>
        <v>73</v>
      </c>
      <c r="B594" t="str">
        <f ca="1">TEXT(DATE(YEAR(Invoer!$A$5),1,1)+INT((ROWS(B$2:B594)-1)/3),"jjjjmmdd")</f>
        <v>19460717</v>
      </c>
      <c r="C594" s="20" t="str">
        <f>INDEX(Data,2,2+MOD(ROWS(C$2:C594)-1,3))</f>
        <v>12.00</v>
      </c>
      <c r="D594" s="14" t="str">
        <f t="shared" ca="1" si="28"/>
        <v>—</v>
      </c>
      <c r="E594" s="25">
        <f t="shared" ca="1" si="29"/>
        <v>7</v>
      </c>
    </row>
    <row r="595" spans="1:5" x14ac:dyDescent="0.25">
      <c r="A595" s="8">
        <f t="shared" si="27"/>
        <v>73</v>
      </c>
      <c r="B595" t="str">
        <f ca="1">TEXT(DATE(YEAR(Invoer!$A$5),1,1)+INT((ROWS(B$2:B595)-1)/3),"jjjjmmdd")</f>
        <v>19460717</v>
      </c>
      <c r="C595" s="20" t="str">
        <f>INDEX(Data,2,2+MOD(ROWS(C$2:C595)-1,3))</f>
        <v>16.00</v>
      </c>
      <c r="D595" s="14" t="str">
        <f t="shared" ca="1" si="28"/>
        <v>—</v>
      </c>
      <c r="E595" s="25">
        <f t="shared" ca="1" si="29"/>
        <v>7</v>
      </c>
    </row>
    <row r="596" spans="1:5" x14ac:dyDescent="0.25">
      <c r="A596" s="8">
        <f t="shared" si="27"/>
        <v>73</v>
      </c>
      <c r="B596" t="str">
        <f ca="1">TEXT(DATE(YEAR(Invoer!$A$5),1,1)+INT((ROWS(B$2:B596)-1)/3),"jjjjmmdd")</f>
        <v>19460718</v>
      </c>
      <c r="C596" s="20" t="str">
        <f>INDEX(Data,2,2+MOD(ROWS(C$2:C596)-1,3))</f>
        <v>08.00</v>
      </c>
      <c r="D596" s="14" t="str">
        <f t="shared" ca="1" si="28"/>
        <v>—</v>
      </c>
      <c r="E596" s="25">
        <f t="shared" ca="1" si="29"/>
        <v>7</v>
      </c>
    </row>
    <row r="597" spans="1:5" x14ac:dyDescent="0.25">
      <c r="A597" s="8">
        <f t="shared" si="27"/>
        <v>73</v>
      </c>
      <c r="B597" t="str">
        <f ca="1">TEXT(DATE(YEAR(Invoer!$A$5),1,1)+INT((ROWS(B$2:B597)-1)/3),"jjjjmmdd")</f>
        <v>19460718</v>
      </c>
      <c r="C597" s="20" t="str">
        <f>INDEX(Data,2,2+MOD(ROWS(C$2:C597)-1,3))</f>
        <v>12.00</v>
      </c>
      <c r="D597" s="14" t="str">
        <f t="shared" ca="1" si="28"/>
        <v>—</v>
      </c>
      <c r="E597" s="25">
        <f t="shared" ca="1" si="29"/>
        <v>7</v>
      </c>
    </row>
    <row r="598" spans="1:5" x14ac:dyDescent="0.25">
      <c r="A598" s="8">
        <f t="shared" si="27"/>
        <v>73</v>
      </c>
      <c r="B598" t="str">
        <f ca="1">TEXT(DATE(YEAR(Invoer!$A$5),1,1)+INT((ROWS(B$2:B598)-1)/3),"jjjjmmdd")</f>
        <v>19460718</v>
      </c>
      <c r="C598" s="20" t="str">
        <f>INDEX(Data,2,2+MOD(ROWS(C$2:C598)-1,3))</f>
        <v>16.00</v>
      </c>
      <c r="D598" s="14" t="str">
        <f t="shared" ca="1" si="28"/>
        <v>—</v>
      </c>
      <c r="E598" s="25">
        <f t="shared" ca="1" si="29"/>
        <v>7</v>
      </c>
    </row>
    <row r="599" spans="1:5" x14ac:dyDescent="0.25">
      <c r="A599" s="8">
        <f t="shared" si="27"/>
        <v>73</v>
      </c>
      <c r="B599" t="str">
        <f ca="1">TEXT(DATE(YEAR(Invoer!$A$5),1,1)+INT((ROWS(B$2:B599)-1)/3),"jjjjmmdd")</f>
        <v>19460719</v>
      </c>
      <c r="C599" s="20" t="str">
        <f>INDEX(Data,2,2+MOD(ROWS(C$2:C599)-1,3))</f>
        <v>08.00</v>
      </c>
      <c r="D599" s="14" t="str">
        <f t="shared" ca="1" si="28"/>
        <v>—</v>
      </c>
      <c r="E599" s="25">
        <f t="shared" ca="1" si="29"/>
        <v>7</v>
      </c>
    </row>
    <row r="600" spans="1:5" x14ac:dyDescent="0.25">
      <c r="A600" s="8">
        <f t="shared" si="27"/>
        <v>73</v>
      </c>
      <c r="B600" t="str">
        <f ca="1">TEXT(DATE(YEAR(Invoer!$A$5),1,1)+INT((ROWS(B$2:B600)-1)/3),"jjjjmmdd")</f>
        <v>19460719</v>
      </c>
      <c r="C600" s="20" t="str">
        <f>INDEX(Data,2,2+MOD(ROWS(C$2:C600)-1,3))</f>
        <v>12.00</v>
      </c>
      <c r="D600" s="14" t="str">
        <f t="shared" ca="1" si="28"/>
        <v>—</v>
      </c>
      <c r="E600" s="25">
        <f t="shared" ca="1" si="29"/>
        <v>7</v>
      </c>
    </row>
    <row r="601" spans="1:5" x14ac:dyDescent="0.25">
      <c r="A601" s="8">
        <f t="shared" si="27"/>
        <v>73</v>
      </c>
      <c r="B601" t="str">
        <f ca="1">TEXT(DATE(YEAR(Invoer!$A$5),1,1)+INT((ROWS(B$2:B601)-1)/3),"jjjjmmdd")</f>
        <v>19460719</v>
      </c>
      <c r="C601" s="20" t="str">
        <f>INDEX(Data,2,2+MOD(ROWS(C$2:C601)-1,3))</f>
        <v>16.00</v>
      </c>
      <c r="D601" s="14" t="str">
        <f t="shared" ca="1" si="28"/>
        <v>—</v>
      </c>
      <c r="E601" s="25">
        <f t="shared" ca="1" si="29"/>
        <v>7</v>
      </c>
    </row>
    <row r="602" spans="1:5" x14ac:dyDescent="0.25">
      <c r="A602" s="8">
        <f t="shared" si="27"/>
        <v>73</v>
      </c>
      <c r="B602" t="str">
        <f ca="1">TEXT(DATE(YEAR(Invoer!$A$5),1,1)+INT((ROWS(B$2:B602)-1)/3),"jjjjmmdd")</f>
        <v>19460720</v>
      </c>
      <c r="C602" s="20" t="str">
        <f>INDEX(Data,2,2+MOD(ROWS(C$2:C602)-1,3))</f>
        <v>08.00</v>
      </c>
      <c r="D602" s="14" t="str">
        <f t="shared" ca="1" si="28"/>
        <v>—</v>
      </c>
      <c r="E602" s="25">
        <f t="shared" ca="1" si="29"/>
        <v>7</v>
      </c>
    </row>
    <row r="603" spans="1:5" x14ac:dyDescent="0.25">
      <c r="A603" s="8">
        <f t="shared" si="27"/>
        <v>73</v>
      </c>
      <c r="B603" t="str">
        <f ca="1">TEXT(DATE(YEAR(Invoer!$A$5),1,1)+INT((ROWS(B$2:B603)-1)/3),"jjjjmmdd")</f>
        <v>19460720</v>
      </c>
      <c r="C603" s="20" t="str">
        <f>INDEX(Data,2,2+MOD(ROWS(C$2:C603)-1,3))</f>
        <v>12.00</v>
      </c>
      <c r="D603" s="14" t="str">
        <f t="shared" ca="1" si="28"/>
        <v>—</v>
      </c>
      <c r="E603" s="25">
        <f t="shared" ca="1" si="29"/>
        <v>7</v>
      </c>
    </row>
    <row r="604" spans="1:5" x14ac:dyDescent="0.25">
      <c r="A604" s="8">
        <f t="shared" si="27"/>
        <v>73</v>
      </c>
      <c r="B604" t="str">
        <f ca="1">TEXT(DATE(YEAR(Invoer!$A$5),1,1)+INT((ROWS(B$2:B604)-1)/3),"jjjjmmdd")</f>
        <v>19460720</v>
      </c>
      <c r="C604" s="20" t="str">
        <f>INDEX(Data,2,2+MOD(ROWS(C$2:C604)-1,3))</f>
        <v>16.00</v>
      </c>
      <c r="D604" s="14" t="str">
        <f t="shared" ca="1" si="28"/>
        <v>—</v>
      </c>
      <c r="E604" s="25">
        <f t="shared" ca="1" si="29"/>
        <v>7</v>
      </c>
    </row>
    <row r="605" spans="1:5" x14ac:dyDescent="0.25">
      <c r="A605" s="8">
        <f t="shared" si="27"/>
        <v>73</v>
      </c>
      <c r="B605" t="str">
        <f ca="1">TEXT(DATE(YEAR(Invoer!$A$5),1,1)+INT((ROWS(B$2:B605)-1)/3),"jjjjmmdd")</f>
        <v>19460721</v>
      </c>
      <c r="C605" s="20" t="str">
        <f>INDEX(Data,2,2+MOD(ROWS(C$2:C605)-1,3))</f>
        <v>08.00</v>
      </c>
      <c r="D605" s="14" t="str">
        <f t="shared" ca="1" si="28"/>
        <v>—</v>
      </c>
      <c r="E605" s="25">
        <f t="shared" ca="1" si="29"/>
        <v>7</v>
      </c>
    </row>
    <row r="606" spans="1:5" x14ac:dyDescent="0.25">
      <c r="A606" s="8">
        <f t="shared" si="27"/>
        <v>73</v>
      </c>
      <c r="B606" t="str">
        <f ca="1">TEXT(DATE(YEAR(Invoer!$A$5),1,1)+INT((ROWS(B$2:B606)-1)/3),"jjjjmmdd")</f>
        <v>19460721</v>
      </c>
      <c r="C606" s="20" t="str">
        <f>INDEX(Data,2,2+MOD(ROWS(C$2:C606)-1,3))</f>
        <v>12.00</v>
      </c>
      <c r="D606" s="14" t="str">
        <f t="shared" ca="1" si="28"/>
        <v>—</v>
      </c>
      <c r="E606" s="25">
        <f t="shared" ca="1" si="29"/>
        <v>7</v>
      </c>
    </row>
    <row r="607" spans="1:5" x14ac:dyDescent="0.25">
      <c r="A607" s="8">
        <f t="shared" si="27"/>
        <v>73</v>
      </c>
      <c r="B607" t="str">
        <f ca="1">TEXT(DATE(YEAR(Invoer!$A$5),1,1)+INT((ROWS(B$2:B607)-1)/3),"jjjjmmdd")</f>
        <v>19460721</v>
      </c>
      <c r="C607" s="20" t="str">
        <f>INDEX(Data,2,2+MOD(ROWS(C$2:C607)-1,3))</f>
        <v>16.00</v>
      </c>
      <c r="D607" s="14" t="str">
        <f t="shared" ca="1" si="28"/>
        <v>—</v>
      </c>
      <c r="E607" s="25">
        <f t="shared" ca="1" si="29"/>
        <v>7</v>
      </c>
    </row>
    <row r="608" spans="1:5" x14ac:dyDescent="0.25">
      <c r="A608" s="8">
        <f t="shared" si="27"/>
        <v>73</v>
      </c>
      <c r="B608" t="str">
        <f ca="1">TEXT(DATE(YEAR(Invoer!$A$5),1,1)+INT((ROWS(B$2:B608)-1)/3),"jjjjmmdd")</f>
        <v>19460722</v>
      </c>
      <c r="C608" s="20" t="str">
        <f>INDEX(Data,2,2+MOD(ROWS(C$2:C608)-1,3))</f>
        <v>08.00</v>
      </c>
      <c r="D608" s="14" t="str">
        <f t="shared" ca="1" si="28"/>
        <v>—</v>
      </c>
      <c r="E608" s="25">
        <f t="shared" ca="1" si="29"/>
        <v>7</v>
      </c>
    </row>
    <row r="609" spans="1:5" x14ac:dyDescent="0.25">
      <c r="A609" s="8">
        <f t="shared" si="27"/>
        <v>73</v>
      </c>
      <c r="B609" t="str">
        <f ca="1">TEXT(DATE(YEAR(Invoer!$A$5),1,1)+INT((ROWS(B$2:B609)-1)/3),"jjjjmmdd")</f>
        <v>19460722</v>
      </c>
      <c r="C609" s="20" t="str">
        <f>INDEX(Data,2,2+MOD(ROWS(C$2:C609)-1,3))</f>
        <v>12.00</v>
      </c>
      <c r="D609" s="14" t="str">
        <f t="shared" ca="1" si="28"/>
        <v>—</v>
      </c>
      <c r="E609" s="25">
        <f t="shared" ca="1" si="29"/>
        <v>7</v>
      </c>
    </row>
    <row r="610" spans="1:5" x14ac:dyDescent="0.25">
      <c r="A610" s="8">
        <f t="shared" si="27"/>
        <v>73</v>
      </c>
      <c r="B610" t="str">
        <f ca="1">TEXT(DATE(YEAR(Invoer!$A$5),1,1)+INT((ROWS(B$2:B610)-1)/3),"jjjjmmdd")</f>
        <v>19460722</v>
      </c>
      <c r="C610" s="20" t="str">
        <f>INDEX(Data,2,2+MOD(ROWS(C$2:C610)-1,3))</f>
        <v>16.00</v>
      </c>
      <c r="D610" s="14" t="str">
        <f t="shared" ca="1" si="28"/>
        <v>—</v>
      </c>
      <c r="E610" s="25">
        <f t="shared" ca="1" si="29"/>
        <v>7</v>
      </c>
    </row>
    <row r="611" spans="1:5" x14ac:dyDescent="0.25">
      <c r="A611" s="8">
        <f t="shared" si="27"/>
        <v>73</v>
      </c>
      <c r="B611" t="str">
        <f ca="1">TEXT(DATE(YEAR(Invoer!$A$5),1,1)+INT((ROWS(B$2:B611)-1)/3),"jjjjmmdd")</f>
        <v>19460723</v>
      </c>
      <c r="C611" s="20" t="str">
        <f>INDEX(Data,2,2+MOD(ROWS(C$2:C611)-1,3))</f>
        <v>08.00</v>
      </c>
      <c r="D611" s="14" t="str">
        <f t="shared" ca="1" si="28"/>
        <v>—</v>
      </c>
      <c r="E611" s="25">
        <f t="shared" ca="1" si="29"/>
        <v>7</v>
      </c>
    </row>
    <row r="612" spans="1:5" x14ac:dyDescent="0.25">
      <c r="A612" s="8">
        <f t="shared" si="27"/>
        <v>73</v>
      </c>
      <c r="B612" t="str">
        <f ca="1">TEXT(DATE(YEAR(Invoer!$A$5),1,1)+INT((ROWS(B$2:B612)-1)/3),"jjjjmmdd")</f>
        <v>19460723</v>
      </c>
      <c r="C612" s="20" t="str">
        <f>INDEX(Data,2,2+MOD(ROWS(C$2:C612)-1,3))</f>
        <v>12.00</v>
      </c>
      <c r="D612" s="14" t="str">
        <f t="shared" ca="1" si="28"/>
        <v>—</v>
      </c>
      <c r="E612" s="25">
        <f t="shared" ca="1" si="29"/>
        <v>7</v>
      </c>
    </row>
    <row r="613" spans="1:5" x14ac:dyDescent="0.25">
      <c r="A613" s="8">
        <f t="shared" si="27"/>
        <v>73</v>
      </c>
      <c r="B613" t="str">
        <f ca="1">TEXT(DATE(YEAR(Invoer!$A$5),1,1)+INT((ROWS(B$2:B613)-1)/3),"jjjjmmdd")</f>
        <v>19460723</v>
      </c>
      <c r="C613" s="20" t="str">
        <f>INDEX(Data,2,2+MOD(ROWS(C$2:C613)-1,3))</f>
        <v>16.00</v>
      </c>
      <c r="D613" s="14" t="str">
        <f t="shared" ca="1" si="28"/>
        <v>—</v>
      </c>
      <c r="E613" s="25">
        <f t="shared" ca="1" si="29"/>
        <v>7</v>
      </c>
    </row>
    <row r="614" spans="1:5" x14ac:dyDescent="0.25">
      <c r="A614" s="8">
        <f t="shared" si="27"/>
        <v>73</v>
      </c>
      <c r="B614" t="str">
        <f ca="1">TEXT(DATE(YEAR(Invoer!$A$5),1,1)+INT((ROWS(B$2:B614)-1)/3),"jjjjmmdd")</f>
        <v>19460724</v>
      </c>
      <c r="C614" s="20" t="str">
        <f>INDEX(Data,2,2+MOD(ROWS(C$2:C614)-1,3))</f>
        <v>08.00</v>
      </c>
      <c r="D614" s="14" t="str">
        <f t="shared" ca="1" si="28"/>
        <v>—</v>
      </c>
      <c r="E614" s="25">
        <f t="shared" ca="1" si="29"/>
        <v>7</v>
      </c>
    </row>
    <row r="615" spans="1:5" x14ac:dyDescent="0.25">
      <c r="A615" s="8">
        <f t="shared" si="27"/>
        <v>73</v>
      </c>
      <c r="B615" t="str">
        <f ca="1">TEXT(DATE(YEAR(Invoer!$A$5),1,1)+INT((ROWS(B$2:B615)-1)/3),"jjjjmmdd")</f>
        <v>19460724</v>
      </c>
      <c r="C615" s="20" t="str">
        <f>INDEX(Data,2,2+MOD(ROWS(C$2:C615)-1,3))</f>
        <v>12.00</v>
      </c>
      <c r="D615" s="14" t="str">
        <f t="shared" ca="1" si="28"/>
        <v>—</v>
      </c>
      <c r="E615" s="25">
        <f t="shared" ca="1" si="29"/>
        <v>7</v>
      </c>
    </row>
    <row r="616" spans="1:5" x14ac:dyDescent="0.25">
      <c r="A616" s="8">
        <f t="shared" si="27"/>
        <v>73</v>
      </c>
      <c r="B616" t="str">
        <f ca="1">TEXT(DATE(YEAR(Invoer!$A$5),1,1)+INT((ROWS(B$2:B616)-1)/3),"jjjjmmdd")</f>
        <v>19460724</v>
      </c>
      <c r="C616" s="20" t="str">
        <f>INDEX(Data,2,2+MOD(ROWS(C$2:C616)-1,3))</f>
        <v>16.00</v>
      </c>
      <c r="D616" s="14" t="str">
        <f t="shared" ca="1" si="28"/>
        <v>—</v>
      </c>
      <c r="E616" s="25">
        <f t="shared" ca="1" si="29"/>
        <v>7</v>
      </c>
    </row>
    <row r="617" spans="1:5" x14ac:dyDescent="0.25">
      <c r="A617" s="8">
        <f t="shared" si="27"/>
        <v>73</v>
      </c>
      <c r="B617" t="str">
        <f ca="1">TEXT(DATE(YEAR(Invoer!$A$5),1,1)+INT((ROWS(B$2:B617)-1)/3),"jjjjmmdd")</f>
        <v>19460725</v>
      </c>
      <c r="C617" s="20" t="str">
        <f>INDEX(Data,2,2+MOD(ROWS(C$2:C617)-1,3))</f>
        <v>08.00</v>
      </c>
      <c r="D617" s="14" t="str">
        <f t="shared" ca="1" si="28"/>
        <v>—</v>
      </c>
      <c r="E617" s="25">
        <f t="shared" ca="1" si="29"/>
        <v>7</v>
      </c>
    </row>
    <row r="618" spans="1:5" x14ac:dyDescent="0.25">
      <c r="A618" s="8">
        <f t="shared" si="27"/>
        <v>73</v>
      </c>
      <c r="B618" t="str">
        <f ca="1">TEXT(DATE(YEAR(Invoer!$A$5),1,1)+INT((ROWS(B$2:B618)-1)/3),"jjjjmmdd")</f>
        <v>19460725</v>
      </c>
      <c r="C618" s="20" t="str">
        <f>INDEX(Data,2,2+MOD(ROWS(C$2:C618)-1,3))</f>
        <v>12.00</v>
      </c>
      <c r="D618" s="14" t="str">
        <f t="shared" ca="1" si="28"/>
        <v>—</v>
      </c>
      <c r="E618" s="25">
        <f t="shared" ca="1" si="29"/>
        <v>7</v>
      </c>
    </row>
    <row r="619" spans="1:5" x14ac:dyDescent="0.25">
      <c r="A619" s="8">
        <f t="shared" si="27"/>
        <v>73</v>
      </c>
      <c r="B619" t="str">
        <f ca="1">TEXT(DATE(YEAR(Invoer!$A$5),1,1)+INT((ROWS(B$2:B619)-1)/3),"jjjjmmdd")</f>
        <v>19460725</v>
      </c>
      <c r="C619" s="20" t="str">
        <f>INDEX(Data,2,2+MOD(ROWS(C$2:C619)-1,3))</f>
        <v>16.00</v>
      </c>
      <c r="D619" s="14" t="str">
        <f t="shared" ca="1" si="28"/>
        <v>—</v>
      </c>
      <c r="E619" s="25">
        <f t="shared" ca="1" si="29"/>
        <v>7</v>
      </c>
    </row>
    <row r="620" spans="1:5" x14ac:dyDescent="0.25">
      <c r="A620" s="8">
        <f t="shared" si="27"/>
        <v>73</v>
      </c>
      <c r="B620" t="str">
        <f ca="1">TEXT(DATE(YEAR(Invoer!$A$5),1,1)+INT((ROWS(B$2:B620)-1)/3),"jjjjmmdd")</f>
        <v>19460726</v>
      </c>
      <c r="C620" s="20" t="str">
        <f>INDEX(Data,2,2+MOD(ROWS(C$2:C620)-1,3))</f>
        <v>08.00</v>
      </c>
      <c r="D620" s="14" t="str">
        <f t="shared" ca="1" si="28"/>
        <v>—</v>
      </c>
      <c r="E620" s="25">
        <f t="shared" ca="1" si="29"/>
        <v>7</v>
      </c>
    </row>
    <row r="621" spans="1:5" x14ac:dyDescent="0.25">
      <c r="A621" s="8">
        <f t="shared" si="27"/>
        <v>73</v>
      </c>
      <c r="B621" t="str">
        <f ca="1">TEXT(DATE(YEAR(Invoer!$A$5),1,1)+INT((ROWS(B$2:B621)-1)/3),"jjjjmmdd")</f>
        <v>19460726</v>
      </c>
      <c r="C621" s="20" t="str">
        <f>INDEX(Data,2,2+MOD(ROWS(C$2:C621)-1,3))</f>
        <v>12.00</v>
      </c>
      <c r="D621" s="14" t="str">
        <f t="shared" ca="1" si="28"/>
        <v>—</v>
      </c>
      <c r="E621" s="25">
        <f t="shared" ca="1" si="29"/>
        <v>7</v>
      </c>
    </row>
    <row r="622" spans="1:5" x14ac:dyDescent="0.25">
      <c r="A622" s="8">
        <f t="shared" si="27"/>
        <v>73</v>
      </c>
      <c r="B622" t="str">
        <f ca="1">TEXT(DATE(YEAR(Invoer!$A$5),1,1)+INT((ROWS(B$2:B622)-1)/3),"jjjjmmdd")</f>
        <v>19460726</v>
      </c>
      <c r="C622" s="20" t="str">
        <f>INDEX(Data,2,2+MOD(ROWS(C$2:C622)-1,3))</f>
        <v>16.00</v>
      </c>
      <c r="D622" s="14" t="str">
        <f t="shared" ca="1" si="28"/>
        <v>—</v>
      </c>
      <c r="E622" s="25">
        <f t="shared" ca="1" si="29"/>
        <v>7</v>
      </c>
    </row>
    <row r="623" spans="1:5" x14ac:dyDescent="0.25">
      <c r="A623" s="8">
        <f t="shared" si="27"/>
        <v>73</v>
      </c>
      <c r="B623" t="str">
        <f ca="1">TEXT(DATE(YEAR(Invoer!$A$5),1,1)+INT((ROWS(B$2:B623)-1)/3),"jjjjmmdd")</f>
        <v>19460727</v>
      </c>
      <c r="C623" s="20" t="str">
        <f>INDEX(Data,2,2+MOD(ROWS(C$2:C623)-1,3))</f>
        <v>08.00</v>
      </c>
      <c r="D623" s="14" t="str">
        <f t="shared" ca="1" si="28"/>
        <v>—</v>
      </c>
      <c r="E623" s="25">
        <f t="shared" ca="1" si="29"/>
        <v>7</v>
      </c>
    </row>
    <row r="624" spans="1:5" x14ac:dyDescent="0.25">
      <c r="A624" s="8">
        <f t="shared" si="27"/>
        <v>73</v>
      </c>
      <c r="B624" t="str">
        <f ca="1">TEXT(DATE(YEAR(Invoer!$A$5),1,1)+INT((ROWS(B$2:B624)-1)/3),"jjjjmmdd")</f>
        <v>19460727</v>
      </c>
      <c r="C624" s="20" t="str">
        <f>INDEX(Data,2,2+MOD(ROWS(C$2:C624)-1,3))</f>
        <v>12.00</v>
      </c>
      <c r="D624" s="14" t="str">
        <f t="shared" ca="1" si="28"/>
        <v>—</v>
      </c>
      <c r="E624" s="25">
        <f t="shared" ca="1" si="29"/>
        <v>7</v>
      </c>
    </row>
    <row r="625" spans="1:5" x14ac:dyDescent="0.25">
      <c r="A625" s="8">
        <f t="shared" si="27"/>
        <v>73</v>
      </c>
      <c r="B625" t="str">
        <f ca="1">TEXT(DATE(YEAR(Invoer!$A$5),1,1)+INT((ROWS(B$2:B625)-1)/3),"jjjjmmdd")</f>
        <v>19460727</v>
      </c>
      <c r="C625" s="20" t="str">
        <f>INDEX(Data,2,2+MOD(ROWS(C$2:C625)-1,3))</f>
        <v>16.00</v>
      </c>
      <c r="D625" s="14" t="str">
        <f t="shared" ca="1" si="28"/>
        <v>—</v>
      </c>
      <c r="E625" s="25">
        <f t="shared" ca="1" si="29"/>
        <v>7</v>
      </c>
    </row>
    <row r="626" spans="1:5" x14ac:dyDescent="0.25">
      <c r="A626" s="8">
        <f t="shared" si="27"/>
        <v>73</v>
      </c>
      <c r="B626" t="str">
        <f ca="1">TEXT(DATE(YEAR(Invoer!$A$5),1,1)+INT((ROWS(B$2:B626)-1)/3),"jjjjmmdd")</f>
        <v>19460728</v>
      </c>
      <c r="C626" s="20" t="str">
        <f>INDEX(Data,2,2+MOD(ROWS(C$2:C626)-1,3))</f>
        <v>08.00</v>
      </c>
      <c r="D626" s="14" t="str">
        <f t="shared" ca="1" si="28"/>
        <v>—</v>
      </c>
      <c r="E626" s="25">
        <f t="shared" ca="1" si="29"/>
        <v>7</v>
      </c>
    </row>
    <row r="627" spans="1:5" x14ac:dyDescent="0.25">
      <c r="A627" s="8">
        <f t="shared" si="27"/>
        <v>73</v>
      </c>
      <c r="B627" t="str">
        <f ca="1">TEXT(DATE(YEAR(Invoer!$A$5),1,1)+INT((ROWS(B$2:B627)-1)/3),"jjjjmmdd")</f>
        <v>19460728</v>
      </c>
      <c r="C627" s="20" t="str">
        <f>INDEX(Data,2,2+MOD(ROWS(C$2:C627)-1,3))</f>
        <v>12.00</v>
      </c>
      <c r="D627" s="14" t="str">
        <f t="shared" ca="1" si="28"/>
        <v>—</v>
      </c>
      <c r="E627" s="25">
        <f t="shared" ca="1" si="29"/>
        <v>7</v>
      </c>
    </row>
    <row r="628" spans="1:5" x14ac:dyDescent="0.25">
      <c r="A628" s="8">
        <f t="shared" si="27"/>
        <v>73</v>
      </c>
      <c r="B628" t="str">
        <f ca="1">TEXT(DATE(YEAR(Invoer!$A$5),1,1)+INT((ROWS(B$2:B628)-1)/3),"jjjjmmdd")</f>
        <v>19460728</v>
      </c>
      <c r="C628" s="20" t="str">
        <f>INDEX(Data,2,2+MOD(ROWS(C$2:C628)-1,3))</f>
        <v>16.00</v>
      </c>
      <c r="D628" s="14" t="str">
        <f t="shared" ca="1" si="28"/>
        <v>—</v>
      </c>
      <c r="E628" s="25">
        <f t="shared" ca="1" si="29"/>
        <v>7</v>
      </c>
    </row>
    <row r="629" spans="1:5" x14ac:dyDescent="0.25">
      <c r="A629" s="8">
        <f t="shared" si="27"/>
        <v>73</v>
      </c>
      <c r="B629" t="str">
        <f ca="1">TEXT(DATE(YEAR(Invoer!$A$5),1,1)+INT((ROWS(B$2:B629)-1)/3),"jjjjmmdd")</f>
        <v>19460729</v>
      </c>
      <c r="C629" s="20" t="str">
        <f>INDEX(Data,2,2+MOD(ROWS(C$2:C629)-1,3))</f>
        <v>08.00</v>
      </c>
      <c r="D629" s="14" t="str">
        <f t="shared" ca="1" si="28"/>
        <v>—</v>
      </c>
      <c r="E629" s="25">
        <f t="shared" ca="1" si="29"/>
        <v>7</v>
      </c>
    </row>
    <row r="630" spans="1:5" x14ac:dyDescent="0.25">
      <c r="A630" s="8">
        <f t="shared" si="27"/>
        <v>73</v>
      </c>
      <c r="B630" t="str">
        <f ca="1">TEXT(DATE(YEAR(Invoer!$A$5),1,1)+INT((ROWS(B$2:B630)-1)/3),"jjjjmmdd")</f>
        <v>19460729</v>
      </c>
      <c r="C630" s="20" t="str">
        <f>INDEX(Data,2,2+MOD(ROWS(C$2:C630)-1,3))</f>
        <v>12.00</v>
      </c>
      <c r="D630" s="14" t="str">
        <f t="shared" ca="1" si="28"/>
        <v>—</v>
      </c>
      <c r="E630" s="25">
        <f t="shared" ca="1" si="29"/>
        <v>7</v>
      </c>
    </row>
    <row r="631" spans="1:5" x14ac:dyDescent="0.25">
      <c r="A631" s="8">
        <f t="shared" si="27"/>
        <v>73</v>
      </c>
      <c r="B631" t="str">
        <f ca="1">TEXT(DATE(YEAR(Invoer!$A$5),1,1)+INT((ROWS(B$2:B631)-1)/3),"jjjjmmdd")</f>
        <v>19460729</v>
      </c>
      <c r="C631" s="20" t="str">
        <f>INDEX(Data,2,2+MOD(ROWS(C$2:C631)-1,3))</f>
        <v>16.00</v>
      </c>
      <c r="D631" s="14" t="str">
        <f t="shared" ca="1" si="28"/>
        <v>—</v>
      </c>
      <c r="E631" s="25">
        <f t="shared" ca="1" si="29"/>
        <v>7</v>
      </c>
    </row>
    <row r="632" spans="1:5" x14ac:dyDescent="0.25">
      <c r="A632" s="8">
        <f t="shared" si="27"/>
        <v>73</v>
      </c>
      <c r="B632" t="str">
        <f ca="1">TEXT(DATE(YEAR(Invoer!$A$5),1,1)+INT((ROWS(B$2:B632)-1)/3),"jjjjmmdd")</f>
        <v>19460730</v>
      </c>
      <c r="C632" s="20" t="str">
        <f>INDEX(Data,2,2+MOD(ROWS(C$2:C632)-1,3))</f>
        <v>08.00</v>
      </c>
      <c r="D632" s="14" t="str">
        <f t="shared" ca="1" si="28"/>
        <v>—</v>
      </c>
      <c r="E632" s="25">
        <f t="shared" ca="1" si="29"/>
        <v>7</v>
      </c>
    </row>
    <row r="633" spans="1:5" x14ac:dyDescent="0.25">
      <c r="A633" s="8">
        <f t="shared" si="27"/>
        <v>73</v>
      </c>
      <c r="B633" t="str">
        <f ca="1">TEXT(DATE(YEAR(Invoer!$A$5),1,1)+INT((ROWS(B$2:B633)-1)/3),"jjjjmmdd")</f>
        <v>19460730</v>
      </c>
      <c r="C633" s="20" t="str">
        <f>INDEX(Data,2,2+MOD(ROWS(C$2:C633)-1,3))</f>
        <v>12.00</v>
      </c>
      <c r="D633" s="14" t="str">
        <f t="shared" ca="1" si="28"/>
        <v>—</v>
      </c>
      <c r="E633" s="25">
        <f t="shared" ca="1" si="29"/>
        <v>7</v>
      </c>
    </row>
    <row r="634" spans="1:5" x14ac:dyDescent="0.25">
      <c r="A634" s="8">
        <f t="shared" si="27"/>
        <v>73</v>
      </c>
      <c r="B634" t="str">
        <f ca="1">TEXT(DATE(YEAR(Invoer!$A$5),1,1)+INT((ROWS(B$2:B634)-1)/3),"jjjjmmdd")</f>
        <v>19460730</v>
      </c>
      <c r="C634" s="20" t="str">
        <f>INDEX(Data,2,2+MOD(ROWS(C$2:C634)-1,3))</f>
        <v>16.00</v>
      </c>
      <c r="D634" s="14" t="str">
        <f t="shared" ca="1" si="28"/>
        <v>—</v>
      </c>
      <c r="E634" s="25">
        <f t="shared" ca="1" si="29"/>
        <v>7</v>
      </c>
    </row>
    <row r="635" spans="1:5" x14ac:dyDescent="0.25">
      <c r="A635" s="8">
        <f t="shared" si="27"/>
        <v>73</v>
      </c>
      <c r="B635" t="str">
        <f ca="1">TEXT(DATE(YEAR(Invoer!$A$5),1,1)+INT((ROWS(B$2:B635)-1)/3),"jjjjmmdd")</f>
        <v>19460731</v>
      </c>
      <c r="C635" s="20" t="str">
        <f>INDEX(Data,2,2+MOD(ROWS(C$2:C635)-1,3))</f>
        <v>08.00</v>
      </c>
      <c r="D635" s="14" t="str">
        <f t="shared" ca="1" si="28"/>
        <v>—</v>
      </c>
      <c r="E635" s="25">
        <f t="shared" ca="1" si="29"/>
        <v>7</v>
      </c>
    </row>
    <row r="636" spans="1:5" x14ac:dyDescent="0.25">
      <c r="A636" s="8">
        <f t="shared" si="27"/>
        <v>73</v>
      </c>
      <c r="B636" t="str">
        <f ca="1">TEXT(DATE(YEAR(Invoer!$A$5),1,1)+INT((ROWS(B$2:B636)-1)/3),"jjjjmmdd")</f>
        <v>19460731</v>
      </c>
      <c r="C636" s="20" t="str">
        <f>INDEX(Data,2,2+MOD(ROWS(C$2:C636)-1,3))</f>
        <v>12.00</v>
      </c>
      <c r="D636" s="14" t="str">
        <f t="shared" ca="1" si="28"/>
        <v>—</v>
      </c>
      <c r="E636" s="25">
        <f t="shared" ca="1" si="29"/>
        <v>7</v>
      </c>
    </row>
    <row r="637" spans="1:5" x14ac:dyDescent="0.25">
      <c r="A637" s="8">
        <f t="shared" si="27"/>
        <v>73</v>
      </c>
      <c r="B637" t="str">
        <f ca="1">TEXT(DATE(YEAR(Invoer!$A$5),1,1)+INT((ROWS(B$2:B637)-1)/3),"jjjjmmdd")</f>
        <v>19460731</v>
      </c>
      <c r="C637" s="20" t="str">
        <f>INDEX(Data,2,2+MOD(ROWS(C$2:C637)-1,3))</f>
        <v>16.00</v>
      </c>
      <c r="D637" s="14" t="str">
        <f t="shared" ca="1" si="28"/>
        <v>—</v>
      </c>
      <c r="E637" s="25">
        <f t="shared" ca="1" si="29"/>
        <v>7</v>
      </c>
    </row>
    <row r="638" spans="1:5" x14ac:dyDescent="0.25">
      <c r="A638" s="8">
        <f t="shared" si="27"/>
        <v>73</v>
      </c>
      <c r="B638" t="str">
        <f ca="1">TEXT(DATE(YEAR(Invoer!$A$5),1,1)+INT((ROWS(B$2:B638)-1)/3),"jjjjmmdd")</f>
        <v>19460801</v>
      </c>
      <c r="C638" s="20" t="str">
        <f>INDEX(Data,2,2+MOD(ROWS(C$2:C638)-1,3))</f>
        <v>08.00</v>
      </c>
      <c r="D638" s="14" t="str">
        <f t="shared" ca="1" si="28"/>
        <v>—</v>
      </c>
      <c r="E638" s="25">
        <f t="shared" ca="1" si="29"/>
        <v>7</v>
      </c>
    </row>
    <row r="639" spans="1:5" x14ac:dyDescent="0.25">
      <c r="A639" s="8">
        <f t="shared" si="27"/>
        <v>73</v>
      </c>
      <c r="B639" t="str">
        <f ca="1">TEXT(DATE(YEAR(Invoer!$A$5),1,1)+INT((ROWS(B$2:B639)-1)/3),"jjjjmmdd")</f>
        <v>19460801</v>
      </c>
      <c r="C639" s="20" t="str">
        <f>INDEX(Data,2,2+MOD(ROWS(C$2:C639)-1,3))</f>
        <v>12.00</v>
      </c>
      <c r="D639" s="14" t="str">
        <f t="shared" ca="1" si="28"/>
        <v>—</v>
      </c>
      <c r="E639" s="25">
        <f t="shared" ca="1" si="29"/>
        <v>7</v>
      </c>
    </row>
    <row r="640" spans="1:5" x14ac:dyDescent="0.25">
      <c r="A640" s="8">
        <f t="shared" si="27"/>
        <v>73</v>
      </c>
      <c r="B640" t="str">
        <f ca="1">TEXT(DATE(YEAR(Invoer!$A$5),1,1)+INT((ROWS(B$2:B640)-1)/3),"jjjjmmdd")</f>
        <v>19460801</v>
      </c>
      <c r="C640" s="20" t="str">
        <f>INDEX(Data,2,2+MOD(ROWS(C$2:C640)-1,3))</f>
        <v>16.00</v>
      </c>
      <c r="D640" s="14" t="str">
        <f t="shared" ca="1" si="28"/>
        <v>—</v>
      </c>
      <c r="E640" s="25">
        <f t="shared" ca="1" si="29"/>
        <v>7</v>
      </c>
    </row>
    <row r="641" spans="1:5" x14ac:dyDescent="0.25">
      <c r="A641" s="8">
        <f t="shared" si="27"/>
        <v>73</v>
      </c>
      <c r="B641" t="str">
        <f ca="1">TEXT(DATE(YEAR(Invoer!$A$5),1,1)+INT((ROWS(B$2:B641)-1)/3),"jjjjmmdd")</f>
        <v>19460802</v>
      </c>
      <c r="C641" s="20" t="str">
        <f>INDEX(Data,2,2+MOD(ROWS(C$2:C641)-1,3))</f>
        <v>08.00</v>
      </c>
      <c r="D641" s="14" t="str">
        <f t="shared" ca="1" si="28"/>
        <v>—</v>
      </c>
      <c r="E641" s="25">
        <f t="shared" ca="1" si="29"/>
        <v>7</v>
      </c>
    </row>
    <row r="642" spans="1:5" x14ac:dyDescent="0.25">
      <c r="A642" s="8">
        <f t="shared" ref="A642:A705" si="30">INDEX(Stations,2,1)</f>
        <v>73</v>
      </c>
      <c r="B642" t="str">
        <f ca="1">TEXT(DATE(YEAR(Invoer!$A$5),1,1)+INT((ROWS(B$2:B642)-1)/3),"jjjjmmdd")</f>
        <v>19460802</v>
      </c>
      <c r="C642" s="20" t="str">
        <f>INDEX(Data,2,2+MOD(ROWS(C$2:C642)-1,3))</f>
        <v>12.00</v>
      </c>
      <c r="D642" s="14" t="str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25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</row>
    <row r="643" spans="1:5" x14ac:dyDescent="0.25">
      <c r="A643" s="8">
        <f t="shared" si="30"/>
        <v>73</v>
      </c>
      <c r="B643" t="str">
        <f ca="1">TEXT(DATE(YEAR(Invoer!$A$5),1,1)+INT((ROWS(B$2:B643)-1)/3),"jjjjmmdd")</f>
        <v>19460802</v>
      </c>
      <c r="C643" s="20" t="str">
        <f>INDEX(Data,2,2+MOD(ROWS(C$2:C643)-1,3))</f>
        <v>16.00</v>
      </c>
      <c r="D643" s="14" t="str">
        <f t="shared" ca="1" si="31"/>
        <v>—</v>
      </c>
      <c r="E643" s="25">
        <f t="shared" ca="1" si="32"/>
        <v>7</v>
      </c>
    </row>
    <row r="644" spans="1:5" x14ac:dyDescent="0.25">
      <c r="A644" s="8">
        <f t="shared" si="30"/>
        <v>73</v>
      </c>
      <c r="B644" t="str">
        <f ca="1">TEXT(DATE(YEAR(Invoer!$A$5),1,1)+INT((ROWS(B$2:B644)-1)/3),"jjjjmmdd")</f>
        <v>19460803</v>
      </c>
      <c r="C644" s="20" t="str">
        <f>INDEX(Data,2,2+MOD(ROWS(C$2:C644)-1,3))</f>
        <v>08.00</v>
      </c>
      <c r="D644" s="14" t="str">
        <f t="shared" ca="1" si="31"/>
        <v>—</v>
      </c>
      <c r="E644" s="25">
        <f t="shared" ca="1" si="32"/>
        <v>7</v>
      </c>
    </row>
    <row r="645" spans="1:5" x14ac:dyDescent="0.25">
      <c r="A645" s="8">
        <f t="shared" si="30"/>
        <v>73</v>
      </c>
      <c r="B645" t="str">
        <f ca="1">TEXT(DATE(YEAR(Invoer!$A$5),1,1)+INT((ROWS(B$2:B645)-1)/3),"jjjjmmdd")</f>
        <v>19460803</v>
      </c>
      <c r="C645" s="20" t="str">
        <f>INDEX(Data,2,2+MOD(ROWS(C$2:C645)-1,3))</f>
        <v>12.00</v>
      </c>
      <c r="D645" s="14" t="str">
        <f t="shared" ca="1" si="31"/>
        <v>—</v>
      </c>
      <c r="E645" s="25">
        <f t="shared" ca="1" si="32"/>
        <v>7</v>
      </c>
    </row>
    <row r="646" spans="1:5" x14ac:dyDescent="0.25">
      <c r="A646" s="8">
        <f t="shared" si="30"/>
        <v>73</v>
      </c>
      <c r="B646" t="str">
        <f ca="1">TEXT(DATE(YEAR(Invoer!$A$5),1,1)+INT((ROWS(B$2:B646)-1)/3),"jjjjmmdd")</f>
        <v>19460803</v>
      </c>
      <c r="C646" s="20" t="str">
        <f>INDEX(Data,2,2+MOD(ROWS(C$2:C646)-1,3))</f>
        <v>16.00</v>
      </c>
      <c r="D646" s="14" t="str">
        <f t="shared" ca="1" si="31"/>
        <v>—</v>
      </c>
      <c r="E646" s="25">
        <f t="shared" ca="1" si="32"/>
        <v>7</v>
      </c>
    </row>
    <row r="647" spans="1:5" x14ac:dyDescent="0.25">
      <c r="A647" s="8">
        <f t="shared" si="30"/>
        <v>73</v>
      </c>
      <c r="B647" t="str">
        <f ca="1">TEXT(DATE(YEAR(Invoer!$A$5),1,1)+INT((ROWS(B$2:B647)-1)/3),"jjjjmmdd")</f>
        <v>19460804</v>
      </c>
      <c r="C647" s="20" t="str">
        <f>INDEX(Data,2,2+MOD(ROWS(C$2:C647)-1,3))</f>
        <v>08.00</v>
      </c>
      <c r="D647" s="14" t="str">
        <f t="shared" ca="1" si="31"/>
        <v>—</v>
      </c>
      <c r="E647" s="25">
        <f t="shared" ca="1" si="32"/>
        <v>7</v>
      </c>
    </row>
    <row r="648" spans="1:5" x14ac:dyDescent="0.25">
      <c r="A648" s="8">
        <f t="shared" si="30"/>
        <v>73</v>
      </c>
      <c r="B648" t="str">
        <f ca="1">TEXT(DATE(YEAR(Invoer!$A$5),1,1)+INT((ROWS(B$2:B648)-1)/3),"jjjjmmdd")</f>
        <v>19460804</v>
      </c>
      <c r="C648" s="20" t="str">
        <f>INDEX(Data,2,2+MOD(ROWS(C$2:C648)-1,3))</f>
        <v>12.00</v>
      </c>
      <c r="D648" s="14" t="str">
        <f t="shared" ca="1" si="31"/>
        <v>—</v>
      </c>
      <c r="E648" s="25">
        <f t="shared" ca="1" si="32"/>
        <v>7</v>
      </c>
    </row>
    <row r="649" spans="1:5" x14ac:dyDescent="0.25">
      <c r="A649" s="8">
        <f t="shared" si="30"/>
        <v>73</v>
      </c>
      <c r="B649" t="str">
        <f ca="1">TEXT(DATE(YEAR(Invoer!$A$5),1,1)+INT((ROWS(B$2:B649)-1)/3),"jjjjmmdd")</f>
        <v>19460804</v>
      </c>
      <c r="C649" s="20" t="str">
        <f>INDEX(Data,2,2+MOD(ROWS(C$2:C649)-1,3))</f>
        <v>16.00</v>
      </c>
      <c r="D649" s="14" t="str">
        <f t="shared" ca="1" si="31"/>
        <v>—</v>
      </c>
      <c r="E649" s="25">
        <f t="shared" ca="1" si="32"/>
        <v>7</v>
      </c>
    </row>
    <row r="650" spans="1:5" x14ac:dyDescent="0.25">
      <c r="A650" s="8">
        <f t="shared" si="30"/>
        <v>73</v>
      </c>
      <c r="B650" t="str">
        <f ca="1">TEXT(DATE(YEAR(Invoer!$A$5),1,1)+INT((ROWS(B$2:B650)-1)/3),"jjjjmmdd")</f>
        <v>19460805</v>
      </c>
      <c r="C650" s="20" t="str">
        <f>INDEX(Data,2,2+MOD(ROWS(C$2:C650)-1,3))</f>
        <v>08.00</v>
      </c>
      <c r="D650" s="14" t="str">
        <f t="shared" ca="1" si="31"/>
        <v>—</v>
      </c>
      <c r="E650" s="25">
        <f t="shared" ca="1" si="32"/>
        <v>7</v>
      </c>
    </row>
    <row r="651" spans="1:5" x14ac:dyDescent="0.25">
      <c r="A651" s="8">
        <f t="shared" si="30"/>
        <v>73</v>
      </c>
      <c r="B651" t="str">
        <f ca="1">TEXT(DATE(YEAR(Invoer!$A$5),1,1)+INT((ROWS(B$2:B651)-1)/3),"jjjjmmdd")</f>
        <v>19460805</v>
      </c>
      <c r="C651" s="20" t="str">
        <f>INDEX(Data,2,2+MOD(ROWS(C$2:C651)-1,3))</f>
        <v>12.00</v>
      </c>
      <c r="D651" s="14" t="str">
        <f t="shared" ca="1" si="31"/>
        <v>—</v>
      </c>
      <c r="E651" s="25">
        <f t="shared" ca="1" si="32"/>
        <v>7</v>
      </c>
    </row>
    <row r="652" spans="1:5" x14ac:dyDescent="0.25">
      <c r="A652" s="8">
        <f t="shared" si="30"/>
        <v>73</v>
      </c>
      <c r="B652" t="str">
        <f ca="1">TEXT(DATE(YEAR(Invoer!$A$5),1,1)+INT((ROWS(B$2:B652)-1)/3),"jjjjmmdd")</f>
        <v>19460805</v>
      </c>
      <c r="C652" s="20" t="str">
        <f>INDEX(Data,2,2+MOD(ROWS(C$2:C652)-1,3))</f>
        <v>16.00</v>
      </c>
      <c r="D652" s="14" t="str">
        <f t="shared" ca="1" si="31"/>
        <v>—</v>
      </c>
      <c r="E652" s="25">
        <f t="shared" ca="1" si="32"/>
        <v>7</v>
      </c>
    </row>
    <row r="653" spans="1:5" x14ac:dyDescent="0.25">
      <c r="A653" s="8">
        <f t="shared" si="30"/>
        <v>73</v>
      </c>
      <c r="B653" t="str">
        <f ca="1">TEXT(DATE(YEAR(Invoer!$A$5),1,1)+INT((ROWS(B$2:B653)-1)/3),"jjjjmmdd")</f>
        <v>19460806</v>
      </c>
      <c r="C653" s="20" t="str">
        <f>INDEX(Data,2,2+MOD(ROWS(C$2:C653)-1,3))</f>
        <v>08.00</v>
      </c>
      <c r="D653" s="14" t="str">
        <f t="shared" ca="1" si="31"/>
        <v>—</v>
      </c>
      <c r="E653" s="25">
        <f t="shared" ca="1" si="32"/>
        <v>7</v>
      </c>
    </row>
    <row r="654" spans="1:5" x14ac:dyDescent="0.25">
      <c r="A654" s="8">
        <f t="shared" si="30"/>
        <v>73</v>
      </c>
      <c r="B654" t="str">
        <f ca="1">TEXT(DATE(YEAR(Invoer!$A$5),1,1)+INT((ROWS(B$2:B654)-1)/3),"jjjjmmdd")</f>
        <v>19460806</v>
      </c>
      <c r="C654" s="20" t="str">
        <f>INDEX(Data,2,2+MOD(ROWS(C$2:C654)-1,3))</f>
        <v>12.00</v>
      </c>
      <c r="D654" s="14" t="str">
        <f t="shared" ca="1" si="31"/>
        <v>—</v>
      </c>
      <c r="E654" s="25">
        <f t="shared" ca="1" si="32"/>
        <v>7</v>
      </c>
    </row>
    <row r="655" spans="1:5" x14ac:dyDescent="0.25">
      <c r="A655" s="8">
        <f t="shared" si="30"/>
        <v>73</v>
      </c>
      <c r="B655" t="str">
        <f ca="1">TEXT(DATE(YEAR(Invoer!$A$5),1,1)+INT((ROWS(B$2:B655)-1)/3),"jjjjmmdd")</f>
        <v>19460806</v>
      </c>
      <c r="C655" s="20" t="str">
        <f>INDEX(Data,2,2+MOD(ROWS(C$2:C655)-1,3))</f>
        <v>16.00</v>
      </c>
      <c r="D655" s="14" t="str">
        <f t="shared" ca="1" si="31"/>
        <v>—</v>
      </c>
      <c r="E655" s="25">
        <f t="shared" ca="1" si="32"/>
        <v>7</v>
      </c>
    </row>
    <row r="656" spans="1:5" x14ac:dyDescent="0.25">
      <c r="A656" s="8">
        <f t="shared" si="30"/>
        <v>73</v>
      </c>
      <c r="B656" t="str">
        <f ca="1">TEXT(DATE(YEAR(Invoer!$A$5),1,1)+INT((ROWS(B$2:B656)-1)/3),"jjjjmmdd")</f>
        <v>19460807</v>
      </c>
      <c r="C656" s="20" t="str">
        <f>INDEX(Data,2,2+MOD(ROWS(C$2:C656)-1,3))</f>
        <v>08.00</v>
      </c>
      <c r="D656" s="14" t="str">
        <f t="shared" ca="1" si="31"/>
        <v>—</v>
      </c>
      <c r="E656" s="25">
        <f t="shared" ca="1" si="32"/>
        <v>7</v>
      </c>
    </row>
    <row r="657" spans="1:5" x14ac:dyDescent="0.25">
      <c r="A657" s="8">
        <f t="shared" si="30"/>
        <v>73</v>
      </c>
      <c r="B657" t="str">
        <f ca="1">TEXT(DATE(YEAR(Invoer!$A$5),1,1)+INT((ROWS(B$2:B657)-1)/3),"jjjjmmdd")</f>
        <v>19460807</v>
      </c>
      <c r="C657" s="20" t="str">
        <f>INDEX(Data,2,2+MOD(ROWS(C$2:C657)-1,3))</f>
        <v>12.00</v>
      </c>
      <c r="D657" s="14" t="str">
        <f t="shared" ca="1" si="31"/>
        <v>—</v>
      </c>
      <c r="E657" s="25">
        <f t="shared" ca="1" si="32"/>
        <v>7</v>
      </c>
    </row>
    <row r="658" spans="1:5" x14ac:dyDescent="0.25">
      <c r="A658" s="8">
        <f t="shared" si="30"/>
        <v>73</v>
      </c>
      <c r="B658" t="str">
        <f ca="1">TEXT(DATE(YEAR(Invoer!$A$5),1,1)+INT((ROWS(B$2:B658)-1)/3),"jjjjmmdd")</f>
        <v>19460807</v>
      </c>
      <c r="C658" s="20" t="str">
        <f>INDEX(Data,2,2+MOD(ROWS(C$2:C658)-1,3))</f>
        <v>16.00</v>
      </c>
      <c r="D658" s="14" t="str">
        <f t="shared" ca="1" si="31"/>
        <v>—</v>
      </c>
      <c r="E658" s="25">
        <f t="shared" ca="1" si="32"/>
        <v>7</v>
      </c>
    </row>
    <row r="659" spans="1:5" x14ac:dyDescent="0.25">
      <c r="A659" s="8">
        <f t="shared" si="30"/>
        <v>73</v>
      </c>
      <c r="B659" t="str">
        <f ca="1">TEXT(DATE(YEAR(Invoer!$A$5),1,1)+INT((ROWS(B$2:B659)-1)/3),"jjjjmmdd")</f>
        <v>19460808</v>
      </c>
      <c r="C659" s="20" t="str">
        <f>INDEX(Data,2,2+MOD(ROWS(C$2:C659)-1,3))</f>
        <v>08.00</v>
      </c>
      <c r="D659" s="14" t="str">
        <f t="shared" ca="1" si="31"/>
        <v>—</v>
      </c>
      <c r="E659" s="25">
        <f t="shared" ca="1" si="32"/>
        <v>7</v>
      </c>
    </row>
    <row r="660" spans="1:5" x14ac:dyDescent="0.25">
      <c r="A660" s="8">
        <f t="shared" si="30"/>
        <v>73</v>
      </c>
      <c r="B660" t="str">
        <f ca="1">TEXT(DATE(YEAR(Invoer!$A$5),1,1)+INT((ROWS(B$2:B660)-1)/3),"jjjjmmdd")</f>
        <v>19460808</v>
      </c>
      <c r="C660" s="20" t="str">
        <f>INDEX(Data,2,2+MOD(ROWS(C$2:C660)-1,3))</f>
        <v>12.00</v>
      </c>
      <c r="D660" s="14" t="str">
        <f t="shared" ca="1" si="31"/>
        <v>—</v>
      </c>
      <c r="E660" s="25">
        <f t="shared" ca="1" si="32"/>
        <v>7</v>
      </c>
    </row>
    <row r="661" spans="1:5" x14ac:dyDescent="0.25">
      <c r="A661" s="8">
        <f t="shared" si="30"/>
        <v>73</v>
      </c>
      <c r="B661" t="str">
        <f ca="1">TEXT(DATE(YEAR(Invoer!$A$5),1,1)+INT((ROWS(B$2:B661)-1)/3),"jjjjmmdd")</f>
        <v>19460808</v>
      </c>
      <c r="C661" s="20" t="str">
        <f>INDEX(Data,2,2+MOD(ROWS(C$2:C661)-1,3))</f>
        <v>16.00</v>
      </c>
      <c r="D661" s="14" t="str">
        <f t="shared" ca="1" si="31"/>
        <v>—</v>
      </c>
      <c r="E661" s="25">
        <f t="shared" ca="1" si="32"/>
        <v>7</v>
      </c>
    </row>
    <row r="662" spans="1:5" x14ac:dyDescent="0.25">
      <c r="A662" s="8">
        <f t="shared" si="30"/>
        <v>73</v>
      </c>
      <c r="B662" t="str">
        <f ca="1">TEXT(DATE(YEAR(Invoer!$A$5),1,1)+INT((ROWS(B$2:B662)-1)/3),"jjjjmmdd")</f>
        <v>19460809</v>
      </c>
      <c r="C662" s="20" t="str">
        <f>INDEX(Data,2,2+MOD(ROWS(C$2:C662)-1,3))</f>
        <v>08.00</v>
      </c>
      <c r="D662" s="14" t="str">
        <f t="shared" ca="1" si="31"/>
        <v>—</v>
      </c>
      <c r="E662" s="25">
        <f t="shared" ca="1" si="32"/>
        <v>7</v>
      </c>
    </row>
    <row r="663" spans="1:5" x14ac:dyDescent="0.25">
      <c r="A663" s="8">
        <f t="shared" si="30"/>
        <v>73</v>
      </c>
      <c r="B663" t="str">
        <f ca="1">TEXT(DATE(YEAR(Invoer!$A$5),1,1)+INT((ROWS(B$2:B663)-1)/3),"jjjjmmdd")</f>
        <v>19460809</v>
      </c>
      <c r="C663" s="20" t="str">
        <f>INDEX(Data,2,2+MOD(ROWS(C$2:C663)-1,3))</f>
        <v>12.00</v>
      </c>
      <c r="D663" s="14" t="str">
        <f t="shared" ca="1" si="31"/>
        <v>—</v>
      </c>
      <c r="E663" s="25">
        <f t="shared" ca="1" si="32"/>
        <v>7</v>
      </c>
    </row>
    <row r="664" spans="1:5" x14ac:dyDescent="0.25">
      <c r="A664" s="8">
        <f t="shared" si="30"/>
        <v>73</v>
      </c>
      <c r="B664" t="str">
        <f ca="1">TEXT(DATE(YEAR(Invoer!$A$5),1,1)+INT((ROWS(B$2:B664)-1)/3),"jjjjmmdd")</f>
        <v>19460809</v>
      </c>
      <c r="C664" s="20" t="str">
        <f>INDEX(Data,2,2+MOD(ROWS(C$2:C664)-1,3))</f>
        <v>16.00</v>
      </c>
      <c r="D664" s="14" t="str">
        <f t="shared" ca="1" si="31"/>
        <v>—</v>
      </c>
      <c r="E664" s="25">
        <f t="shared" ca="1" si="32"/>
        <v>7</v>
      </c>
    </row>
    <row r="665" spans="1:5" x14ac:dyDescent="0.25">
      <c r="A665" s="8">
        <f t="shared" si="30"/>
        <v>73</v>
      </c>
      <c r="B665" t="str">
        <f ca="1">TEXT(DATE(YEAR(Invoer!$A$5),1,1)+INT((ROWS(B$2:B665)-1)/3),"jjjjmmdd")</f>
        <v>19460810</v>
      </c>
      <c r="C665" s="20" t="str">
        <f>INDEX(Data,2,2+MOD(ROWS(C$2:C665)-1,3))</f>
        <v>08.00</v>
      </c>
      <c r="D665" s="14" t="str">
        <f t="shared" ca="1" si="31"/>
        <v>—</v>
      </c>
      <c r="E665" s="25">
        <f t="shared" ca="1" si="32"/>
        <v>7</v>
      </c>
    </row>
    <row r="666" spans="1:5" x14ac:dyDescent="0.25">
      <c r="A666" s="8">
        <f t="shared" si="30"/>
        <v>73</v>
      </c>
      <c r="B666" t="str">
        <f ca="1">TEXT(DATE(YEAR(Invoer!$A$5),1,1)+INT((ROWS(B$2:B666)-1)/3),"jjjjmmdd")</f>
        <v>19460810</v>
      </c>
      <c r="C666" s="20" t="str">
        <f>INDEX(Data,2,2+MOD(ROWS(C$2:C666)-1,3))</f>
        <v>12.00</v>
      </c>
      <c r="D666" s="14" t="str">
        <f t="shared" ca="1" si="31"/>
        <v>—</v>
      </c>
      <c r="E666" s="25">
        <f t="shared" ca="1" si="32"/>
        <v>7</v>
      </c>
    </row>
    <row r="667" spans="1:5" x14ac:dyDescent="0.25">
      <c r="A667" s="8">
        <f t="shared" si="30"/>
        <v>73</v>
      </c>
      <c r="B667" t="str">
        <f ca="1">TEXT(DATE(YEAR(Invoer!$A$5),1,1)+INT((ROWS(B$2:B667)-1)/3),"jjjjmmdd")</f>
        <v>19460810</v>
      </c>
      <c r="C667" s="20" t="str">
        <f>INDEX(Data,2,2+MOD(ROWS(C$2:C667)-1,3))</f>
        <v>16.00</v>
      </c>
      <c r="D667" s="14" t="str">
        <f t="shared" ca="1" si="31"/>
        <v>—</v>
      </c>
      <c r="E667" s="25">
        <f t="shared" ca="1" si="32"/>
        <v>7</v>
      </c>
    </row>
    <row r="668" spans="1:5" x14ac:dyDescent="0.25">
      <c r="A668" s="8">
        <f t="shared" si="30"/>
        <v>73</v>
      </c>
      <c r="B668" t="str">
        <f ca="1">TEXT(DATE(YEAR(Invoer!$A$5),1,1)+INT((ROWS(B$2:B668)-1)/3),"jjjjmmdd")</f>
        <v>19460811</v>
      </c>
      <c r="C668" s="20" t="str">
        <f>INDEX(Data,2,2+MOD(ROWS(C$2:C668)-1,3))</f>
        <v>08.00</v>
      </c>
      <c r="D668" s="14" t="str">
        <f t="shared" ca="1" si="31"/>
        <v>—</v>
      </c>
      <c r="E668" s="25">
        <f t="shared" ca="1" si="32"/>
        <v>7</v>
      </c>
    </row>
    <row r="669" spans="1:5" x14ac:dyDescent="0.25">
      <c r="A669" s="8">
        <f t="shared" si="30"/>
        <v>73</v>
      </c>
      <c r="B669" t="str">
        <f ca="1">TEXT(DATE(YEAR(Invoer!$A$5),1,1)+INT((ROWS(B$2:B669)-1)/3),"jjjjmmdd")</f>
        <v>19460811</v>
      </c>
      <c r="C669" s="20" t="str">
        <f>INDEX(Data,2,2+MOD(ROWS(C$2:C669)-1,3))</f>
        <v>12.00</v>
      </c>
      <c r="D669" s="14" t="str">
        <f t="shared" ca="1" si="31"/>
        <v>—</v>
      </c>
      <c r="E669" s="25">
        <f t="shared" ca="1" si="32"/>
        <v>7</v>
      </c>
    </row>
    <row r="670" spans="1:5" x14ac:dyDescent="0.25">
      <c r="A670" s="8">
        <f t="shared" si="30"/>
        <v>73</v>
      </c>
      <c r="B670" t="str">
        <f ca="1">TEXT(DATE(YEAR(Invoer!$A$5),1,1)+INT((ROWS(B$2:B670)-1)/3),"jjjjmmdd")</f>
        <v>19460811</v>
      </c>
      <c r="C670" s="20" t="str">
        <f>INDEX(Data,2,2+MOD(ROWS(C$2:C670)-1,3))</f>
        <v>16.00</v>
      </c>
      <c r="D670" s="14" t="str">
        <f t="shared" ca="1" si="31"/>
        <v>—</v>
      </c>
      <c r="E670" s="25">
        <f t="shared" ca="1" si="32"/>
        <v>7</v>
      </c>
    </row>
    <row r="671" spans="1:5" x14ac:dyDescent="0.25">
      <c r="A671" s="8">
        <f t="shared" si="30"/>
        <v>73</v>
      </c>
      <c r="B671" t="str">
        <f ca="1">TEXT(DATE(YEAR(Invoer!$A$5),1,1)+INT((ROWS(B$2:B671)-1)/3),"jjjjmmdd")</f>
        <v>19460812</v>
      </c>
      <c r="C671" s="20" t="str">
        <f>INDEX(Data,2,2+MOD(ROWS(C$2:C671)-1,3))</f>
        <v>08.00</v>
      </c>
      <c r="D671" s="14" t="str">
        <f t="shared" ca="1" si="31"/>
        <v>—</v>
      </c>
      <c r="E671" s="25">
        <f t="shared" ca="1" si="32"/>
        <v>7</v>
      </c>
    </row>
    <row r="672" spans="1:5" x14ac:dyDescent="0.25">
      <c r="A672" s="8">
        <f t="shared" si="30"/>
        <v>73</v>
      </c>
      <c r="B672" t="str">
        <f ca="1">TEXT(DATE(YEAR(Invoer!$A$5),1,1)+INT((ROWS(B$2:B672)-1)/3),"jjjjmmdd")</f>
        <v>19460812</v>
      </c>
      <c r="C672" s="20" t="str">
        <f>INDEX(Data,2,2+MOD(ROWS(C$2:C672)-1,3))</f>
        <v>12.00</v>
      </c>
      <c r="D672" s="14" t="str">
        <f t="shared" ca="1" si="31"/>
        <v>—</v>
      </c>
      <c r="E672" s="25">
        <f t="shared" ca="1" si="32"/>
        <v>7</v>
      </c>
    </row>
    <row r="673" spans="1:5" x14ac:dyDescent="0.25">
      <c r="A673" s="8">
        <f t="shared" si="30"/>
        <v>73</v>
      </c>
      <c r="B673" t="str">
        <f ca="1">TEXT(DATE(YEAR(Invoer!$A$5),1,1)+INT((ROWS(B$2:B673)-1)/3),"jjjjmmdd")</f>
        <v>19460812</v>
      </c>
      <c r="C673" s="20" t="str">
        <f>INDEX(Data,2,2+MOD(ROWS(C$2:C673)-1,3))</f>
        <v>16.00</v>
      </c>
      <c r="D673" s="14" t="str">
        <f t="shared" ca="1" si="31"/>
        <v>—</v>
      </c>
      <c r="E673" s="25">
        <f t="shared" ca="1" si="32"/>
        <v>7</v>
      </c>
    </row>
    <row r="674" spans="1:5" x14ac:dyDescent="0.25">
      <c r="A674" s="8">
        <f t="shared" si="30"/>
        <v>73</v>
      </c>
      <c r="B674" t="str">
        <f ca="1">TEXT(DATE(YEAR(Invoer!$A$5),1,1)+INT((ROWS(B$2:B674)-1)/3),"jjjjmmdd")</f>
        <v>19460813</v>
      </c>
      <c r="C674" s="20" t="str">
        <f>INDEX(Data,2,2+MOD(ROWS(C$2:C674)-1,3))</f>
        <v>08.00</v>
      </c>
      <c r="D674" s="14" t="str">
        <f t="shared" ca="1" si="31"/>
        <v>—</v>
      </c>
      <c r="E674" s="25">
        <f t="shared" ca="1" si="32"/>
        <v>7</v>
      </c>
    </row>
    <row r="675" spans="1:5" x14ac:dyDescent="0.25">
      <c r="A675" s="8">
        <f t="shared" si="30"/>
        <v>73</v>
      </c>
      <c r="B675" t="str">
        <f ca="1">TEXT(DATE(YEAR(Invoer!$A$5),1,1)+INT((ROWS(B$2:B675)-1)/3),"jjjjmmdd")</f>
        <v>19460813</v>
      </c>
      <c r="C675" s="20" t="str">
        <f>INDEX(Data,2,2+MOD(ROWS(C$2:C675)-1,3))</f>
        <v>12.00</v>
      </c>
      <c r="D675" s="14" t="str">
        <f t="shared" ca="1" si="31"/>
        <v>—</v>
      </c>
      <c r="E675" s="25">
        <f t="shared" ca="1" si="32"/>
        <v>7</v>
      </c>
    </row>
    <row r="676" spans="1:5" x14ac:dyDescent="0.25">
      <c r="A676" s="8">
        <f t="shared" si="30"/>
        <v>73</v>
      </c>
      <c r="B676" t="str">
        <f ca="1">TEXT(DATE(YEAR(Invoer!$A$5),1,1)+INT((ROWS(B$2:B676)-1)/3),"jjjjmmdd")</f>
        <v>19460813</v>
      </c>
      <c r="C676" s="20" t="str">
        <f>INDEX(Data,2,2+MOD(ROWS(C$2:C676)-1,3))</f>
        <v>16.00</v>
      </c>
      <c r="D676" s="14" t="str">
        <f t="shared" ca="1" si="31"/>
        <v>—</v>
      </c>
      <c r="E676" s="25">
        <f t="shared" ca="1" si="32"/>
        <v>7</v>
      </c>
    </row>
    <row r="677" spans="1:5" x14ac:dyDescent="0.25">
      <c r="A677" s="8">
        <f t="shared" si="30"/>
        <v>73</v>
      </c>
      <c r="B677" t="str">
        <f ca="1">TEXT(DATE(YEAR(Invoer!$A$5),1,1)+INT((ROWS(B$2:B677)-1)/3),"jjjjmmdd")</f>
        <v>19460814</v>
      </c>
      <c r="C677" s="20" t="str">
        <f>INDEX(Data,2,2+MOD(ROWS(C$2:C677)-1,3))</f>
        <v>08.00</v>
      </c>
      <c r="D677" s="14" t="str">
        <f t="shared" ca="1" si="31"/>
        <v>—</v>
      </c>
      <c r="E677" s="25">
        <f t="shared" ca="1" si="32"/>
        <v>7</v>
      </c>
    </row>
    <row r="678" spans="1:5" x14ac:dyDescent="0.25">
      <c r="A678" s="8">
        <f t="shared" si="30"/>
        <v>73</v>
      </c>
      <c r="B678" t="str">
        <f ca="1">TEXT(DATE(YEAR(Invoer!$A$5),1,1)+INT((ROWS(B$2:B678)-1)/3),"jjjjmmdd")</f>
        <v>19460814</v>
      </c>
      <c r="C678" s="20" t="str">
        <f>INDEX(Data,2,2+MOD(ROWS(C$2:C678)-1,3))</f>
        <v>12.00</v>
      </c>
      <c r="D678" s="14" t="str">
        <f t="shared" ca="1" si="31"/>
        <v>—</v>
      </c>
      <c r="E678" s="25">
        <f t="shared" ca="1" si="32"/>
        <v>7</v>
      </c>
    </row>
    <row r="679" spans="1:5" x14ac:dyDescent="0.25">
      <c r="A679" s="8">
        <f t="shared" si="30"/>
        <v>73</v>
      </c>
      <c r="B679" t="str">
        <f ca="1">TEXT(DATE(YEAR(Invoer!$A$5),1,1)+INT((ROWS(B$2:B679)-1)/3),"jjjjmmdd")</f>
        <v>19460814</v>
      </c>
      <c r="C679" s="20" t="str">
        <f>INDEX(Data,2,2+MOD(ROWS(C$2:C679)-1,3))</f>
        <v>16.00</v>
      </c>
      <c r="D679" s="14" t="str">
        <f t="shared" ca="1" si="31"/>
        <v>—</v>
      </c>
      <c r="E679" s="25">
        <f t="shared" ca="1" si="32"/>
        <v>7</v>
      </c>
    </row>
    <row r="680" spans="1:5" x14ac:dyDescent="0.25">
      <c r="A680" s="8">
        <f t="shared" si="30"/>
        <v>73</v>
      </c>
      <c r="B680" t="str">
        <f ca="1">TEXT(DATE(YEAR(Invoer!$A$5),1,1)+INT((ROWS(B$2:B680)-1)/3),"jjjjmmdd")</f>
        <v>19460815</v>
      </c>
      <c r="C680" s="20" t="str">
        <f>INDEX(Data,2,2+MOD(ROWS(C$2:C680)-1,3))</f>
        <v>08.00</v>
      </c>
      <c r="D680" s="14" t="str">
        <f t="shared" ca="1" si="31"/>
        <v>—</v>
      </c>
      <c r="E680" s="25">
        <f t="shared" ca="1" si="32"/>
        <v>7</v>
      </c>
    </row>
    <row r="681" spans="1:5" x14ac:dyDescent="0.25">
      <c r="A681" s="8">
        <f t="shared" si="30"/>
        <v>73</v>
      </c>
      <c r="B681" t="str">
        <f ca="1">TEXT(DATE(YEAR(Invoer!$A$5),1,1)+INT((ROWS(B$2:B681)-1)/3),"jjjjmmdd")</f>
        <v>19460815</v>
      </c>
      <c r="C681" s="20" t="str">
        <f>INDEX(Data,2,2+MOD(ROWS(C$2:C681)-1,3))</f>
        <v>12.00</v>
      </c>
      <c r="D681" s="14" t="str">
        <f t="shared" ca="1" si="31"/>
        <v>—</v>
      </c>
      <c r="E681" s="25">
        <f t="shared" ca="1" si="32"/>
        <v>7</v>
      </c>
    </row>
    <row r="682" spans="1:5" x14ac:dyDescent="0.25">
      <c r="A682" s="8">
        <f t="shared" si="30"/>
        <v>73</v>
      </c>
      <c r="B682" t="str">
        <f ca="1">TEXT(DATE(YEAR(Invoer!$A$5),1,1)+INT((ROWS(B$2:B682)-1)/3),"jjjjmmdd")</f>
        <v>19460815</v>
      </c>
      <c r="C682" s="20" t="str">
        <f>INDEX(Data,2,2+MOD(ROWS(C$2:C682)-1,3))</f>
        <v>16.00</v>
      </c>
      <c r="D682" s="14" t="str">
        <f t="shared" ca="1" si="31"/>
        <v>—</v>
      </c>
      <c r="E682" s="25">
        <f t="shared" ca="1" si="32"/>
        <v>7</v>
      </c>
    </row>
    <row r="683" spans="1:5" x14ac:dyDescent="0.25">
      <c r="A683" s="8">
        <f t="shared" si="30"/>
        <v>73</v>
      </c>
      <c r="B683" t="str">
        <f ca="1">TEXT(DATE(YEAR(Invoer!$A$5),1,1)+INT((ROWS(B$2:B683)-1)/3),"jjjjmmdd")</f>
        <v>19460816</v>
      </c>
      <c r="C683" s="20" t="str">
        <f>INDEX(Data,2,2+MOD(ROWS(C$2:C683)-1,3))</f>
        <v>08.00</v>
      </c>
      <c r="D683" s="14" t="str">
        <f t="shared" ca="1" si="31"/>
        <v>—</v>
      </c>
      <c r="E683" s="25">
        <f t="shared" ca="1" si="32"/>
        <v>7</v>
      </c>
    </row>
    <row r="684" spans="1:5" x14ac:dyDescent="0.25">
      <c r="A684" s="8">
        <f t="shared" si="30"/>
        <v>73</v>
      </c>
      <c r="B684" t="str">
        <f ca="1">TEXT(DATE(YEAR(Invoer!$A$5),1,1)+INT((ROWS(B$2:B684)-1)/3),"jjjjmmdd")</f>
        <v>19460816</v>
      </c>
      <c r="C684" s="20" t="str">
        <f>INDEX(Data,2,2+MOD(ROWS(C$2:C684)-1,3))</f>
        <v>12.00</v>
      </c>
      <c r="D684" s="14" t="str">
        <f t="shared" ca="1" si="31"/>
        <v>—</v>
      </c>
      <c r="E684" s="25">
        <f t="shared" ca="1" si="32"/>
        <v>7</v>
      </c>
    </row>
    <row r="685" spans="1:5" x14ac:dyDescent="0.25">
      <c r="A685" s="8">
        <f t="shared" si="30"/>
        <v>73</v>
      </c>
      <c r="B685" t="str">
        <f ca="1">TEXT(DATE(YEAR(Invoer!$A$5),1,1)+INT((ROWS(B$2:B685)-1)/3),"jjjjmmdd")</f>
        <v>19460816</v>
      </c>
      <c r="C685" s="20" t="str">
        <f>INDEX(Data,2,2+MOD(ROWS(C$2:C685)-1,3))</f>
        <v>16.00</v>
      </c>
      <c r="D685" s="14" t="str">
        <f t="shared" ca="1" si="31"/>
        <v>—</v>
      </c>
      <c r="E685" s="25">
        <f t="shared" ca="1" si="32"/>
        <v>7</v>
      </c>
    </row>
    <row r="686" spans="1:5" x14ac:dyDescent="0.25">
      <c r="A686" s="8">
        <f t="shared" si="30"/>
        <v>73</v>
      </c>
      <c r="B686" t="str">
        <f ca="1">TEXT(DATE(YEAR(Invoer!$A$5),1,1)+INT((ROWS(B$2:B686)-1)/3),"jjjjmmdd")</f>
        <v>19460817</v>
      </c>
      <c r="C686" s="20" t="str">
        <f>INDEX(Data,2,2+MOD(ROWS(C$2:C686)-1,3))</f>
        <v>08.00</v>
      </c>
      <c r="D686" s="14" t="str">
        <f t="shared" ca="1" si="31"/>
        <v>—</v>
      </c>
      <c r="E686" s="25">
        <f t="shared" ca="1" si="32"/>
        <v>7</v>
      </c>
    </row>
    <row r="687" spans="1:5" x14ac:dyDescent="0.25">
      <c r="A687" s="8">
        <f t="shared" si="30"/>
        <v>73</v>
      </c>
      <c r="B687" t="str">
        <f ca="1">TEXT(DATE(YEAR(Invoer!$A$5),1,1)+INT((ROWS(B$2:B687)-1)/3),"jjjjmmdd")</f>
        <v>19460817</v>
      </c>
      <c r="C687" s="20" t="str">
        <f>INDEX(Data,2,2+MOD(ROWS(C$2:C687)-1,3))</f>
        <v>12.00</v>
      </c>
      <c r="D687" s="14" t="str">
        <f t="shared" ca="1" si="31"/>
        <v>—</v>
      </c>
      <c r="E687" s="25">
        <f t="shared" ca="1" si="32"/>
        <v>7</v>
      </c>
    </row>
    <row r="688" spans="1:5" x14ac:dyDescent="0.25">
      <c r="A688" s="8">
        <f t="shared" si="30"/>
        <v>73</v>
      </c>
      <c r="B688" t="str">
        <f ca="1">TEXT(DATE(YEAR(Invoer!$A$5),1,1)+INT((ROWS(B$2:B688)-1)/3),"jjjjmmdd")</f>
        <v>19460817</v>
      </c>
      <c r="C688" s="20" t="str">
        <f>INDEX(Data,2,2+MOD(ROWS(C$2:C688)-1,3))</f>
        <v>16.00</v>
      </c>
      <c r="D688" s="14" t="str">
        <f t="shared" ca="1" si="31"/>
        <v>—</v>
      </c>
      <c r="E688" s="25">
        <f t="shared" ca="1" si="32"/>
        <v>7</v>
      </c>
    </row>
    <row r="689" spans="1:5" x14ac:dyDescent="0.25">
      <c r="A689" s="8">
        <f t="shared" si="30"/>
        <v>73</v>
      </c>
      <c r="B689" t="str">
        <f ca="1">TEXT(DATE(YEAR(Invoer!$A$5),1,1)+INT((ROWS(B$2:B689)-1)/3),"jjjjmmdd")</f>
        <v>19460818</v>
      </c>
      <c r="C689" s="20" t="str">
        <f>INDEX(Data,2,2+MOD(ROWS(C$2:C689)-1,3))</f>
        <v>08.00</v>
      </c>
      <c r="D689" s="14" t="str">
        <f t="shared" ca="1" si="31"/>
        <v>—</v>
      </c>
      <c r="E689" s="25">
        <f t="shared" ca="1" si="32"/>
        <v>7</v>
      </c>
    </row>
    <row r="690" spans="1:5" x14ac:dyDescent="0.25">
      <c r="A690" s="8">
        <f t="shared" si="30"/>
        <v>73</v>
      </c>
      <c r="B690" t="str">
        <f ca="1">TEXT(DATE(YEAR(Invoer!$A$5),1,1)+INT((ROWS(B$2:B690)-1)/3),"jjjjmmdd")</f>
        <v>19460818</v>
      </c>
      <c r="C690" s="20" t="str">
        <f>INDEX(Data,2,2+MOD(ROWS(C$2:C690)-1,3))</f>
        <v>12.00</v>
      </c>
      <c r="D690" s="14" t="str">
        <f t="shared" ca="1" si="31"/>
        <v>—</v>
      </c>
      <c r="E690" s="25">
        <f t="shared" ca="1" si="32"/>
        <v>7</v>
      </c>
    </row>
    <row r="691" spans="1:5" x14ac:dyDescent="0.25">
      <c r="A691" s="8">
        <f t="shared" si="30"/>
        <v>73</v>
      </c>
      <c r="B691" t="str">
        <f ca="1">TEXT(DATE(YEAR(Invoer!$A$5),1,1)+INT((ROWS(B$2:B691)-1)/3),"jjjjmmdd")</f>
        <v>19460818</v>
      </c>
      <c r="C691" s="20" t="str">
        <f>INDEX(Data,2,2+MOD(ROWS(C$2:C691)-1,3))</f>
        <v>16.00</v>
      </c>
      <c r="D691" s="14" t="str">
        <f t="shared" ca="1" si="31"/>
        <v>—</v>
      </c>
      <c r="E691" s="25">
        <f t="shared" ca="1" si="32"/>
        <v>7</v>
      </c>
    </row>
    <row r="692" spans="1:5" x14ac:dyDescent="0.25">
      <c r="A692" s="8">
        <f t="shared" si="30"/>
        <v>73</v>
      </c>
      <c r="B692" t="str">
        <f ca="1">TEXT(DATE(YEAR(Invoer!$A$5),1,1)+INT((ROWS(B$2:B692)-1)/3),"jjjjmmdd")</f>
        <v>19460819</v>
      </c>
      <c r="C692" s="20" t="str">
        <f>INDEX(Data,2,2+MOD(ROWS(C$2:C692)-1,3))</f>
        <v>08.00</v>
      </c>
      <c r="D692" s="14" t="str">
        <f t="shared" ca="1" si="31"/>
        <v>—</v>
      </c>
      <c r="E692" s="25">
        <f t="shared" ca="1" si="32"/>
        <v>7</v>
      </c>
    </row>
    <row r="693" spans="1:5" x14ac:dyDescent="0.25">
      <c r="A693" s="8">
        <f t="shared" si="30"/>
        <v>73</v>
      </c>
      <c r="B693" t="str">
        <f ca="1">TEXT(DATE(YEAR(Invoer!$A$5),1,1)+INT((ROWS(B$2:B693)-1)/3),"jjjjmmdd")</f>
        <v>19460819</v>
      </c>
      <c r="C693" s="20" t="str">
        <f>INDEX(Data,2,2+MOD(ROWS(C$2:C693)-1,3))</f>
        <v>12.00</v>
      </c>
      <c r="D693" s="14" t="str">
        <f t="shared" ca="1" si="31"/>
        <v>—</v>
      </c>
      <c r="E693" s="25">
        <f t="shared" ca="1" si="32"/>
        <v>7</v>
      </c>
    </row>
    <row r="694" spans="1:5" x14ac:dyDescent="0.25">
      <c r="A694" s="8">
        <f t="shared" si="30"/>
        <v>73</v>
      </c>
      <c r="B694" t="str">
        <f ca="1">TEXT(DATE(YEAR(Invoer!$A$5),1,1)+INT((ROWS(B$2:B694)-1)/3),"jjjjmmdd")</f>
        <v>19460819</v>
      </c>
      <c r="C694" s="20" t="str">
        <f>INDEX(Data,2,2+MOD(ROWS(C$2:C694)-1,3))</f>
        <v>16.00</v>
      </c>
      <c r="D694" s="14" t="str">
        <f t="shared" ca="1" si="31"/>
        <v>—</v>
      </c>
      <c r="E694" s="25">
        <f t="shared" ca="1" si="32"/>
        <v>7</v>
      </c>
    </row>
    <row r="695" spans="1:5" x14ac:dyDescent="0.25">
      <c r="A695" s="8">
        <f t="shared" si="30"/>
        <v>73</v>
      </c>
      <c r="B695" t="str">
        <f ca="1">TEXT(DATE(YEAR(Invoer!$A$5),1,1)+INT((ROWS(B$2:B695)-1)/3),"jjjjmmdd")</f>
        <v>19460820</v>
      </c>
      <c r="C695" s="20" t="str">
        <f>INDEX(Data,2,2+MOD(ROWS(C$2:C695)-1,3))</f>
        <v>08.00</v>
      </c>
      <c r="D695" s="14" t="str">
        <f t="shared" ca="1" si="31"/>
        <v>—</v>
      </c>
      <c r="E695" s="25">
        <f t="shared" ca="1" si="32"/>
        <v>7</v>
      </c>
    </row>
    <row r="696" spans="1:5" x14ac:dyDescent="0.25">
      <c r="A696" s="8">
        <f t="shared" si="30"/>
        <v>73</v>
      </c>
      <c r="B696" t="str">
        <f ca="1">TEXT(DATE(YEAR(Invoer!$A$5),1,1)+INT((ROWS(B$2:B696)-1)/3),"jjjjmmdd")</f>
        <v>19460820</v>
      </c>
      <c r="C696" s="20" t="str">
        <f>INDEX(Data,2,2+MOD(ROWS(C$2:C696)-1,3))</f>
        <v>12.00</v>
      </c>
      <c r="D696" s="14" t="str">
        <f t="shared" ca="1" si="31"/>
        <v>—</v>
      </c>
      <c r="E696" s="25">
        <f t="shared" ca="1" si="32"/>
        <v>7</v>
      </c>
    </row>
    <row r="697" spans="1:5" x14ac:dyDescent="0.25">
      <c r="A697" s="8">
        <f t="shared" si="30"/>
        <v>73</v>
      </c>
      <c r="B697" t="str">
        <f ca="1">TEXT(DATE(YEAR(Invoer!$A$5),1,1)+INT((ROWS(B$2:B697)-1)/3),"jjjjmmdd")</f>
        <v>19460820</v>
      </c>
      <c r="C697" s="20" t="str">
        <f>INDEX(Data,2,2+MOD(ROWS(C$2:C697)-1,3))</f>
        <v>16.00</v>
      </c>
      <c r="D697" s="14" t="str">
        <f t="shared" ca="1" si="31"/>
        <v>—</v>
      </c>
      <c r="E697" s="25">
        <f t="shared" ca="1" si="32"/>
        <v>7</v>
      </c>
    </row>
    <row r="698" spans="1:5" x14ac:dyDescent="0.25">
      <c r="A698" s="8">
        <f t="shared" si="30"/>
        <v>73</v>
      </c>
      <c r="B698" t="str">
        <f ca="1">TEXT(DATE(YEAR(Invoer!$A$5),1,1)+INT((ROWS(B$2:B698)-1)/3),"jjjjmmdd")</f>
        <v>19460821</v>
      </c>
      <c r="C698" s="20" t="str">
        <f>INDEX(Data,2,2+MOD(ROWS(C$2:C698)-1,3))</f>
        <v>08.00</v>
      </c>
      <c r="D698" s="14" t="str">
        <f t="shared" ca="1" si="31"/>
        <v>—</v>
      </c>
      <c r="E698" s="25">
        <f t="shared" ca="1" si="32"/>
        <v>7</v>
      </c>
    </row>
    <row r="699" spans="1:5" x14ac:dyDescent="0.25">
      <c r="A699" s="8">
        <f t="shared" si="30"/>
        <v>73</v>
      </c>
      <c r="B699" t="str">
        <f ca="1">TEXT(DATE(YEAR(Invoer!$A$5),1,1)+INT((ROWS(B$2:B699)-1)/3),"jjjjmmdd")</f>
        <v>19460821</v>
      </c>
      <c r="C699" s="20" t="str">
        <f>INDEX(Data,2,2+MOD(ROWS(C$2:C699)-1,3))</f>
        <v>12.00</v>
      </c>
      <c r="D699" s="14" t="str">
        <f t="shared" ca="1" si="31"/>
        <v>—</v>
      </c>
      <c r="E699" s="25">
        <f t="shared" ca="1" si="32"/>
        <v>7</v>
      </c>
    </row>
    <row r="700" spans="1:5" x14ac:dyDescent="0.25">
      <c r="A700" s="8">
        <f t="shared" si="30"/>
        <v>73</v>
      </c>
      <c r="B700" t="str">
        <f ca="1">TEXT(DATE(YEAR(Invoer!$A$5),1,1)+INT((ROWS(B$2:B700)-1)/3),"jjjjmmdd")</f>
        <v>19460821</v>
      </c>
      <c r="C700" s="20" t="str">
        <f>INDEX(Data,2,2+MOD(ROWS(C$2:C700)-1,3))</f>
        <v>16.00</v>
      </c>
      <c r="D700" s="14" t="str">
        <f t="shared" ca="1" si="31"/>
        <v>—</v>
      </c>
      <c r="E700" s="25">
        <f t="shared" ca="1" si="32"/>
        <v>7</v>
      </c>
    </row>
    <row r="701" spans="1:5" x14ac:dyDescent="0.25">
      <c r="A701" s="8">
        <f t="shared" si="30"/>
        <v>73</v>
      </c>
      <c r="B701" t="str">
        <f ca="1">TEXT(DATE(YEAR(Invoer!$A$5),1,1)+INT((ROWS(B$2:B701)-1)/3),"jjjjmmdd")</f>
        <v>19460822</v>
      </c>
      <c r="C701" s="20" t="str">
        <f>INDEX(Data,2,2+MOD(ROWS(C$2:C701)-1,3))</f>
        <v>08.00</v>
      </c>
      <c r="D701" s="14" t="str">
        <f t="shared" ca="1" si="31"/>
        <v>—</v>
      </c>
      <c r="E701" s="25">
        <f t="shared" ca="1" si="32"/>
        <v>7</v>
      </c>
    </row>
    <row r="702" spans="1:5" x14ac:dyDescent="0.25">
      <c r="A702" s="8">
        <f t="shared" si="30"/>
        <v>73</v>
      </c>
      <c r="B702" t="str">
        <f ca="1">TEXT(DATE(YEAR(Invoer!$A$5),1,1)+INT((ROWS(B$2:B702)-1)/3),"jjjjmmdd")</f>
        <v>19460822</v>
      </c>
      <c r="C702" s="20" t="str">
        <f>INDEX(Data,2,2+MOD(ROWS(C$2:C702)-1,3))</f>
        <v>12.00</v>
      </c>
      <c r="D702" s="14" t="str">
        <f t="shared" ca="1" si="31"/>
        <v>—</v>
      </c>
      <c r="E702" s="25">
        <f t="shared" ca="1" si="32"/>
        <v>7</v>
      </c>
    </row>
    <row r="703" spans="1:5" x14ac:dyDescent="0.25">
      <c r="A703" s="8">
        <f t="shared" si="30"/>
        <v>73</v>
      </c>
      <c r="B703" t="str">
        <f ca="1">TEXT(DATE(YEAR(Invoer!$A$5),1,1)+INT((ROWS(B$2:B703)-1)/3),"jjjjmmdd")</f>
        <v>19460822</v>
      </c>
      <c r="C703" s="20" t="str">
        <f>INDEX(Data,2,2+MOD(ROWS(C$2:C703)-1,3))</f>
        <v>16.00</v>
      </c>
      <c r="D703" s="14" t="str">
        <f t="shared" ca="1" si="31"/>
        <v>—</v>
      </c>
      <c r="E703" s="25">
        <f t="shared" ca="1" si="32"/>
        <v>7</v>
      </c>
    </row>
    <row r="704" spans="1:5" x14ac:dyDescent="0.25">
      <c r="A704" s="8">
        <f t="shared" si="30"/>
        <v>73</v>
      </c>
      <c r="B704" t="str">
        <f ca="1">TEXT(DATE(YEAR(Invoer!$A$5),1,1)+INT((ROWS(B$2:B704)-1)/3),"jjjjmmdd")</f>
        <v>19460823</v>
      </c>
      <c r="C704" s="20" t="str">
        <f>INDEX(Data,2,2+MOD(ROWS(C$2:C704)-1,3))</f>
        <v>08.00</v>
      </c>
      <c r="D704" s="14" t="str">
        <f t="shared" ca="1" si="31"/>
        <v>—</v>
      </c>
      <c r="E704" s="25">
        <f t="shared" ca="1" si="32"/>
        <v>7</v>
      </c>
    </row>
    <row r="705" spans="1:5" x14ac:dyDescent="0.25">
      <c r="A705" s="8">
        <f t="shared" si="30"/>
        <v>73</v>
      </c>
      <c r="B705" t="str">
        <f ca="1">TEXT(DATE(YEAR(Invoer!$A$5),1,1)+INT((ROWS(B$2:B705)-1)/3),"jjjjmmdd")</f>
        <v>19460823</v>
      </c>
      <c r="C705" s="20" t="str">
        <f>INDEX(Data,2,2+MOD(ROWS(C$2:C705)-1,3))</f>
        <v>12.00</v>
      </c>
      <c r="D705" s="14" t="str">
        <f t="shared" ca="1" si="31"/>
        <v>—</v>
      </c>
      <c r="E705" s="25">
        <f t="shared" ca="1" si="32"/>
        <v>7</v>
      </c>
    </row>
    <row r="706" spans="1:5" x14ac:dyDescent="0.25">
      <c r="A706" s="8">
        <f t="shared" ref="A706:A769" si="33">INDEX(Stations,2,1)</f>
        <v>73</v>
      </c>
      <c r="B706" t="str">
        <f ca="1">TEXT(DATE(YEAR(Invoer!$A$5),1,1)+INT((ROWS(B$2:B706)-1)/3),"jjjjmmdd")</f>
        <v>19460823</v>
      </c>
      <c r="C706" s="20" t="str">
        <f>INDEX(Data,2,2+MOD(ROWS(C$2:C706)-1,3))</f>
        <v>16.00</v>
      </c>
      <c r="D706" s="14" t="str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25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</row>
    <row r="707" spans="1:5" x14ac:dyDescent="0.25">
      <c r="A707" s="8">
        <f t="shared" si="33"/>
        <v>73</v>
      </c>
      <c r="B707" t="str">
        <f ca="1">TEXT(DATE(YEAR(Invoer!$A$5),1,1)+INT((ROWS(B$2:B707)-1)/3),"jjjjmmdd")</f>
        <v>19460824</v>
      </c>
      <c r="C707" s="20" t="str">
        <f>INDEX(Data,2,2+MOD(ROWS(C$2:C707)-1,3))</f>
        <v>08.00</v>
      </c>
      <c r="D707" s="14" t="str">
        <f t="shared" ca="1" si="34"/>
        <v>—</v>
      </c>
      <c r="E707" s="25">
        <f t="shared" ca="1" si="35"/>
        <v>7</v>
      </c>
    </row>
    <row r="708" spans="1:5" x14ac:dyDescent="0.25">
      <c r="A708" s="8">
        <f t="shared" si="33"/>
        <v>73</v>
      </c>
      <c r="B708" t="str">
        <f ca="1">TEXT(DATE(YEAR(Invoer!$A$5),1,1)+INT((ROWS(B$2:B708)-1)/3),"jjjjmmdd")</f>
        <v>19460824</v>
      </c>
      <c r="C708" s="20" t="str">
        <f>INDEX(Data,2,2+MOD(ROWS(C$2:C708)-1,3))</f>
        <v>12.00</v>
      </c>
      <c r="D708" s="14" t="str">
        <f t="shared" ca="1" si="34"/>
        <v>—</v>
      </c>
      <c r="E708" s="25">
        <f t="shared" ca="1" si="35"/>
        <v>7</v>
      </c>
    </row>
    <row r="709" spans="1:5" x14ac:dyDescent="0.25">
      <c r="A709" s="8">
        <f t="shared" si="33"/>
        <v>73</v>
      </c>
      <c r="B709" t="str">
        <f ca="1">TEXT(DATE(YEAR(Invoer!$A$5),1,1)+INT((ROWS(B$2:B709)-1)/3),"jjjjmmdd")</f>
        <v>19460824</v>
      </c>
      <c r="C709" s="20" t="str">
        <f>INDEX(Data,2,2+MOD(ROWS(C$2:C709)-1,3))</f>
        <v>16.00</v>
      </c>
      <c r="D709" s="14" t="str">
        <f t="shared" ca="1" si="34"/>
        <v>—</v>
      </c>
      <c r="E709" s="25">
        <f t="shared" ca="1" si="35"/>
        <v>7</v>
      </c>
    </row>
    <row r="710" spans="1:5" x14ac:dyDescent="0.25">
      <c r="A710" s="8">
        <f t="shared" si="33"/>
        <v>73</v>
      </c>
      <c r="B710" t="str">
        <f ca="1">TEXT(DATE(YEAR(Invoer!$A$5),1,1)+INT((ROWS(B$2:B710)-1)/3),"jjjjmmdd")</f>
        <v>19460825</v>
      </c>
      <c r="C710" s="20" t="str">
        <f>INDEX(Data,2,2+MOD(ROWS(C$2:C710)-1,3))</f>
        <v>08.00</v>
      </c>
      <c r="D710" s="14" t="str">
        <f t="shared" ca="1" si="34"/>
        <v>—</v>
      </c>
      <c r="E710" s="25">
        <f t="shared" ca="1" si="35"/>
        <v>7</v>
      </c>
    </row>
    <row r="711" spans="1:5" x14ac:dyDescent="0.25">
      <c r="A711" s="8">
        <f t="shared" si="33"/>
        <v>73</v>
      </c>
      <c r="B711" t="str">
        <f ca="1">TEXT(DATE(YEAR(Invoer!$A$5),1,1)+INT((ROWS(B$2:B711)-1)/3),"jjjjmmdd")</f>
        <v>19460825</v>
      </c>
      <c r="C711" s="20" t="str">
        <f>INDEX(Data,2,2+MOD(ROWS(C$2:C711)-1,3))</f>
        <v>12.00</v>
      </c>
      <c r="D711" s="14" t="str">
        <f t="shared" ca="1" si="34"/>
        <v>—</v>
      </c>
      <c r="E711" s="25">
        <f t="shared" ca="1" si="35"/>
        <v>7</v>
      </c>
    </row>
    <row r="712" spans="1:5" x14ac:dyDescent="0.25">
      <c r="A712" s="8">
        <f t="shared" si="33"/>
        <v>73</v>
      </c>
      <c r="B712" t="str">
        <f ca="1">TEXT(DATE(YEAR(Invoer!$A$5),1,1)+INT((ROWS(B$2:B712)-1)/3),"jjjjmmdd")</f>
        <v>19460825</v>
      </c>
      <c r="C712" s="20" t="str">
        <f>INDEX(Data,2,2+MOD(ROWS(C$2:C712)-1,3))</f>
        <v>16.00</v>
      </c>
      <c r="D712" s="14" t="str">
        <f t="shared" ca="1" si="34"/>
        <v>—</v>
      </c>
      <c r="E712" s="25">
        <f t="shared" ca="1" si="35"/>
        <v>7</v>
      </c>
    </row>
    <row r="713" spans="1:5" x14ac:dyDescent="0.25">
      <c r="A713" s="8">
        <f t="shared" si="33"/>
        <v>73</v>
      </c>
      <c r="B713" t="str">
        <f ca="1">TEXT(DATE(YEAR(Invoer!$A$5),1,1)+INT((ROWS(B$2:B713)-1)/3),"jjjjmmdd")</f>
        <v>19460826</v>
      </c>
      <c r="C713" s="20" t="str">
        <f>INDEX(Data,2,2+MOD(ROWS(C$2:C713)-1,3))</f>
        <v>08.00</v>
      </c>
      <c r="D713" s="14" t="str">
        <f t="shared" ca="1" si="34"/>
        <v>—</v>
      </c>
      <c r="E713" s="25">
        <f t="shared" ca="1" si="35"/>
        <v>7</v>
      </c>
    </row>
    <row r="714" spans="1:5" x14ac:dyDescent="0.25">
      <c r="A714" s="8">
        <f t="shared" si="33"/>
        <v>73</v>
      </c>
      <c r="B714" t="str">
        <f ca="1">TEXT(DATE(YEAR(Invoer!$A$5),1,1)+INT((ROWS(B$2:B714)-1)/3),"jjjjmmdd")</f>
        <v>19460826</v>
      </c>
      <c r="C714" s="20" t="str">
        <f>INDEX(Data,2,2+MOD(ROWS(C$2:C714)-1,3))</f>
        <v>12.00</v>
      </c>
      <c r="D714" s="14" t="str">
        <f t="shared" ca="1" si="34"/>
        <v>—</v>
      </c>
      <c r="E714" s="25">
        <f t="shared" ca="1" si="35"/>
        <v>7</v>
      </c>
    </row>
    <row r="715" spans="1:5" x14ac:dyDescent="0.25">
      <c r="A715" s="8">
        <f t="shared" si="33"/>
        <v>73</v>
      </c>
      <c r="B715" t="str">
        <f ca="1">TEXT(DATE(YEAR(Invoer!$A$5),1,1)+INT((ROWS(B$2:B715)-1)/3),"jjjjmmdd")</f>
        <v>19460826</v>
      </c>
      <c r="C715" s="20" t="str">
        <f>INDEX(Data,2,2+MOD(ROWS(C$2:C715)-1,3))</f>
        <v>16.00</v>
      </c>
      <c r="D715" s="14" t="str">
        <f t="shared" ca="1" si="34"/>
        <v>—</v>
      </c>
      <c r="E715" s="25">
        <f t="shared" ca="1" si="35"/>
        <v>7</v>
      </c>
    </row>
    <row r="716" spans="1:5" x14ac:dyDescent="0.25">
      <c r="A716" s="8">
        <f t="shared" si="33"/>
        <v>73</v>
      </c>
      <c r="B716" t="str">
        <f ca="1">TEXT(DATE(YEAR(Invoer!$A$5),1,1)+INT((ROWS(B$2:B716)-1)/3),"jjjjmmdd")</f>
        <v>19460827</v>
      </c>
      <c r="C716" s="20" t="str">
        <f>INDEX(Data,2,2+MOD(ROWS(C$2:C716)-1,3))</f>
        <v>08.00</v>
      </c>
      <c r="D716" s="14" t="str">
        <f t="shared" ca="1" si="34"/>
        <v>—</v>
      </c>
      <c r="E716" s="25">
        <f t="shared" ca="1" si="35"/>
        <v>7</v>
      </c>
    </row>
    <row r="717" spans="1:5" x14ac:dyDescent="0.25">
      <c r="A717" s="8">
        <f t="shared" si="33"/>
        <v>73</v>
      </c>
      <c r="B717" t="str">
        <f ca="1">TEXT(DATE(YEAR(Invoer!$A$5),1,1)+INT((ROWS(B$2:B717)-1)/3),"jjjjmmdd")</f>
        <v>19460827</v>
      </c>
      <c r="C717" s="20" t="str">
        <f>INDEX(Data,2,2+MOD(ROWS(C$2:C717)-1,3))</f>
        <v>12.00</v>
      </c>
      <c r="D717" s="14" t="str">
        <f t="shared" ca="1" si="34"/>
        <v>—</v>
      </c>
      <c r="E717" s="25">
        <f t="shared" ca="1" si="35"/>
        <v>7</v>
      </c>
    </row>
    <row r="718" spans="1:5" x14ac:dyDescent="0.25">
      <c r="A718" s="8">
        <f t="shared" si="33"/>
        <v>73</v>
      </c>
      <c r="B718" t="str">
        <f ca="1">TEXT(DATE(YEAR(Invoer!$A$5),1,1)+INT((ROWS(B$2:B718)-1)/3),"jjjjmmdd")</f>
        <v>19460827</v>
      </c>
      <c r="C718" s="20" t="str">
        <f>INDEX(Data,2,2+MOD(ROWS(C$2:C718)-1,3))</f>
        <v>16.00</v>
      </c>
      <c r="D718" s="14" t="str">
        <f t="shared" ca="1" si="34"/>
        <v>—</v>
      </c>
      <c r="E718" s="25">
        <f t="shared" ca="1" si="35"/>
        <v>7</v>
      </c>
    </row>
    <row r="719" spans="1:5" x14ac:dyDescent="0.25">
      <c r="A719" s="8">
        <f t="shared" si="33"/>
        <v>73</v>
      </c>
      <c r="B719" t="str">
        <f ca="1">TEXT(DATE(YEAR(Invoer!$A$5),1,1)+INT((ROWS(B$2:B719)-1)/3),"jjjjmmdd")</f>
        <v>19460828</v>
      </c>
      <c r="C719" s="20" t="str">
        <f>INDEX(Data,2,2+MOD(ROWS(C$2:C719)-1,3))</f>
        <v>08.00</v>
      </c>
      <c r="D719" s="14" t="str">
        <f t="shared" ca="1" si="34"/>
        <v>—</v>
      </c>
      <c r="E719" s="25">
        <f t="shared" ca="1" si="35"/>
        <v>7</v>
      </c>
    </row>
    <row r="720" spans="1:5" x14ac:dyDescent="0.25">
      <c r="A720" s="8">
        <f t="shared" si="33"/>
        <v>73</v>
      </c>
      <c r="B720" t="str">
        <f ca="1">TEXT(DATE(YEAR(Invoer!$A$5),1,1)+INT((ROWS(B$2:B720)-1)/3),"jjjjmmdd")</f>
        <v>19460828</v>
      </c>
      <c r="C720" s="20" t="str">
        <f>INDEX(Data,2,2+MOD(ROWS(C$2:C720)-1,3))</f>
        <v>12.00</v>
      </c>
      <c r="D720" s="14" t="str">
        <f t="shared" ca="1" si="34"/>
        <v>—</v>
      </c>
      <c r="E720" s="25">
        <f t="shared" ca="1" si="35"/>
        <v>7</v>
      </c>
    </row>
    <row r="721" spans="1:5" x14ac:dyDescent="0.25">
      <c r="A721" s="8">
        <f t="shared" si="33"/>
        <v>73</v>
      </c>
      <c r="B721" t="str">
        <f ca="1">TEXT(DATE(YEAR(Invoer!$A$5),1,1)+INT((ROWS(B$2:B721)-1)/3),"jjjjmmdd")</f>
        <v>19460828</v>
      </c>
      <c r="C721" s="20" t="str">
        <f>INDEX(Data,2,2+MOD(ROWS(C$2:C721)-1,3))</f>
        <v>16.00</v>
      </c>
      <c r="D721" s="14" t="str">
        <f t="shared" ca="1" si="34"/>
        <v>—</v>
      </c>
      <c r="E721" s="25">
        <f t="shared" ca="1" si="35"/>
        <v>7</v>
      </c>
    </row>
    <row r="722" spans="1:5" x14ac:dyDescent="0.25">
      <c r="A722" s="8">
        <f t="shared" si="33"/>
        <v>73</v>
      </c>
      <c r="B722" t="str">
        <f ca="1">TEXT(DATE(YEAR(Invoer!$A$5),1,1)+INT((ROWS(B$2:B722)-1)/3),"jjjjmmdd")</f>
        <v>19460829</v>
      </c>
      <c r="C722" s="20" t="str">
        <f>INDEX(Data,2,2+MOD(ROWS(C$2:C722)-1,3))</f>
        <v>08.00</v>
      </c>
      <c r="D722" s="14" t="str">
        <f t="shared" ca="1" si="34"/>
        <v>—</v>
      </c>
      <c r="E722" s="25">
        <f t="shared" ca="1" si="35"/>
        <v>7</v>
      </c>
    </row>
    <row r="723" spans="1:5" x14ac:dyDescent="0.25">
      <c r="A723" s="8">
        <f t="shared" si="33"/>
        <v>73</v>
      </c>
      <c r="B723" t="str">
        <f ca="1">TEXT(DATE(YEAR(Invoer!$A$5),1,1)+INT((ROWS(B$2:B723)-1)/3),"jjjjmmdd")</f>
        <v>19460829</v>
      </c>
      <c r="C723" s="20" t="str">
        <f>INDEX(Data,2,2+MOD(ROWS(C$2:C723)-1,3))</f>
        <v>12.00</v>
      </c>
      <c r="D723" s="14" t="str">
        <f t="shared" ca="1" si="34"/>
        <v>—</v>
      </c>
      <c r="E723" s="25">
        <f t="shared" ca="1" si="35"/>
        <v>7</v>
      </c>
    </row>
    <row r="724" spans="1:5" x14ac:dyDescent="0.25">
      <c r="A724" s="8">
        <f t="shared" si="33"/>
        <v>73</v>
      </c>
      <c r="B724" t="str">
        <f ca="1">TEXT(DATE(YEAR(Invoer!$A$5),1,1)+INT((ROWS(B$2:B724)-1)/3),"jjjjmmdd")</f>
        <v>19460829</v>
      </c>
      <c r="C724" s="20" t="str">
        <f>INDEX(Data,2,2+MOD(ROWS(C$2:C724)-1,3))</f>
        <v>16.00</v>
      </c>
      <c r="D724" s="14" t="str">
        <f t="shared" ca="1" si="34"/>
        <v>—</v>
      </c>
      <c r="E724" s="25">
        <f t="shared" ca="1" si="35"/>
        <v>7</v>
      </c>
    </row>
    <row r="725" spans="1:5" x14ac:dyDescent="0.25">
      <c r="A725" s="8">
        <f t="shared" si="33"/>
        <v>73</v>
      </c>
      <c r="B725" t="str">
        <f ca="1">TEXT(DATE(YEAR(Invoer!$A$5),1,1)+INT((ROWS(B$2:B725)-1)/3),"jjjjmmdd")</f>
        <v>19460830</v>
      </c>
      <c r="C725" s="20" t="str">
        <f>INDEX(Data,2,2+MOD(ROWS(C$2:C725)-1,3))</f>
        <v>08.00</v>
      </c>
      <c r="D725" s="14" t="str">
        <f t="shared" ca="1" si="34"/>
        <v>—</v>
      </c>
      <c r="E725" s="25">
        <f t="shared" ca="1" si="35"/>
        <v>7</v>
      </c>
    </row>
    <row r="726" spans="1:5" x14ac:dyDescent="0.25">
      <c r="A726" s="8">
        <f t="shared" si="33"/>
        <v>73</v>
      </c>
      <c r="B726" t="str">
        <f ca="1">TEXT(DATE(YEAR(Invoer!$A$5),1,1)+INT((ROWS(B$2:B726)-1)/3),"jjjjmmdd")</f>
        <v>19460830</v>
      </c>
      <c r="C726" s="20" t="str">
        <f>INDEX(Data,2,2+MOD(ROWS(C$2:C726)-1,3))</f>
        <v>12.00</v>
      </c>
      <c r="D726" s="14" t="str">
        <f t="shared" ca="1" si="34"/>
        <v>—</v>
      </c>
      <c r="E726" s="25">
        <f t="shared" ca="1" si="35"/>
        <v>7</v>
      </c>
    </row>
    <row r="727" spans="1:5" x14ac:dyDescent="0.25">
      <c r="A727" s="8">
        <f t="shared" si="33"/>
        <v>73</v>
      </c>
      <c r="B727" t="str">
        <f ca="1">TEXT(DATE(YEAR(Invoer!$A$5),1,1)+INT((ROWS(B$2:B727)-1)/3),"jjjjmmdd")</f>
        <v>19460830</v>
      </c>
      <c r="C727" s="20" t="str">
        <f>INDEX(Data,2,2+MOD(ROWS(C$2:C727)-1,3))</f>
        <v>16.00</v>
      </c>
      <c r="D727" s="14" t="str">
        <f t="shared" ca="1" si="34"/>
        <v>—</v>
      </c>
      <c r="E727" s="25">
        <f t="shared" ca="1" si="35"/>
        <v>7</v>
      </c>
    </row>
    <row r="728" spans="1:5" x14ac:dyDescent="0.25">
      <c r="A728" s="8">
        <f t="shared" si="33"/>
        <v>73</v>
      </c>
      <c r="B728" t="str">
        <f ca="1">TEXT(DATE(YEAR(Invoer!$A$5),1,1)+INT((ROWS(B$2:B728)-1)/3),"jjjjmmdd")</f>
        <v>19460831</v>
      </c>
      <c r="C728" s="20" t="str">
        <f>INDEX(Data,2,2+MOD(ROWS(C$2:C728)-1,3))</f>
        <v>08.00</v>
      </c>
      <c r="D728" s="14" t="str">
        <f t="shared" ca="1" si="34"/>
        <v>—</v>
      </c>
      <c r="E728" s="25">
        <f t="shared" ca="1" si="35"/>
        <v>7</v>
      </c>
    </row>
    <row r="729" spans="1:5" x14ac:dyDescent="0.25">
      <c r="A729" s="8">
        <f t="shared" si="33"/>
        <v>73</v>
      </c>
      <c r="B729" t="str">
        <f ca="1">TEXT(DATE(YEAR(Invoer!$A$5),1,1)+INT((ROWS(B$2:B729)-1)/3),"jjjjmmdd")</f>
        <v>19460831</v>
      </c>
      <c r="C729" s="20" t="str">
        <f>INDEX(Data,2,2+MOD(ROWS(C$2:C729)-1,3))</f>
        <v>12.00</v>
      </c>
      <c r="D729" s="14" t="str">
        <f t="shared" ca="1" si="34"/>
        <v>—</v>
      </c>
      <c r="E729" s="25">
        <f t="shared" ca="1" si="35"/>
        <v>7</v>
      </c>
    </row>
    <row r="730" spans="1:5" x14ac:dyDescent="0.25">
      <c r="A730" s="8">
        <f t="shared" si="33"/>
        <v>73</v>
      </c>
      <c r="B730" t="str">
        <f ca="1">TEXT(DATE(YEAR(Invoer!$A$5),1,1)+INT((ROWS(B$2:B730)-1)/3),"jjjjmmdd")</f>
        <v>19460831</v>
      </c>
      <c r="C730" s="20" t="str">
        <f>INDEX(Data,2,2+MOD(ROWS(C$2:C730)-1,3))</f>
        <v>16.00</v>
      </c>
      <c r="D730" s="14" t="str">
        <f t="shared" ca="1" si="34"/>
        <v>—</v>
      </c>
      <c r="E730" s="25">
        <f t="shared" ca="1" si="35"/>
        <v>7</v>
      </c>
    </row>
    <row r="731" spans="1:5" x14ac:dyDescent="0.25">
      <c r="A731" s="8">
        <f t="shared" si="33"/>
        <v>73</v>
      </c>
      <c r="B731" t="str">
        <f ca="1">TEXT(DATE(YEAR(Invoer!$A$5),1,1)+INT((ROWS(B$2:B731)-1)/3),"jjjjmmdd")</f>
        <v>19460901</v>
      </c>
      <c r="C731" s="20" t="str">
        <f>INDEX(Data,2,2+MOD(ROWS(C$2:C731)-1,3))</f>
        <v>08.00</v>
      </c>
      <c r="D731" s="14" t="str">
        <f t="shared" ca="1" si="34"/>
        <v>—</v>
      </c>
      <c r="E731" s="25">
        <f t="shared" ca="1" si="35"/>
        <v>7</v>
      </c>
    </row>
    <row r="732" spans="1:5" x14ac:dyDescent="0.25">
      <c r="A732" s="8">
        <f t="shared" si="33"/>
        <v>73</v>
      </c>
      <c r="B732" t="str">
        <f ca="1">TEXT(DATE(YEAR(Invoer!$A$5),1,1)+INT((ROWS(B$2:B732)-1)/3),"jjjjmmdd")</f>
        <v>19460901</v>
      </c>
      <c r="C732" s="20" t="str">
        <f>INDEX(Data,2,2+MOD(ROWS(C$2:C732)-1,3))</f>
        <v>12.00</v>
      </c>
      <c r="D732" s="14" t="str">
        <f t="shared" ca="1" si="34"/>
        <v>—</v>
      </c>
      <c r="E732" s="25">
        <f t="shared" ca="1" si="35"/>
        <v>7</v>
      </c>
    </row>
    <row r="733" spans="1:5" x14ac:dyDescent="0.25">
      <c r="A733" s="8">
        <f t="shared" si="33"/>
        <v>73</v>
      </c>
      <c r="B733" t="str">
        <f ca="1">TEXT(DATE(YEAR(Invoer!$A$5),1,1)+INT((ROWS(B$2:B733)-1)/3),"jjjjmmdd")</f>
        <v>19460901</v>
      </c>
      <c r="C733" s="20" t="str">
        <f>INDEX(Data,2,2+MOD(ROWS(C$2:C733)-1,3))</f>
        <v>16.00</v>
      </c>
      <c r="D733" s="14" t="str">
        <f t="shared" ca="1" si="34"/>
        <v>—</v>
      </c>
      <c r="E733" s="25">
        <f t="shared" ca="1" si="35"/>
        <v>7</v>
      </c>
    </row>
    <row r="734" spans="1:5" x14ac:dyDescent="0.25">
      <c r="A734" s="8">
        <f t="shared" si="33"/>
        <v>73</v>
      </c>
      <c r="B734" t="str">
        <f ca="1">TEXT(DATE(YEAR(Invoer!$A$5),1,1)+INT((ROWS(B$2:B734)-1)/3),"jjjjmmdd")</f>
        <v>19460902</v>
      </c>
      <c r="C734" s="20" t="str">
        <f>INDEX(Data,2,2+MOD(ROWS(C$2:C734)-1,3))</f>
        <v>08.00</v>
      </c>
      <c r="D734" s="14" t="str">
        <f t="shared" ca="1" si="34"/>
        <v>—</v>
      </c>
      <c r="E734" s="25">
        <f t="shared" ca="1" si="35"/>
        <v>7</v>
      </c>
    </row>
    <row r="735" spans="1:5" x14ac:dyDescent="0.25">
      <c r="A735" s="8">
        <f t="shared" si="33"/>
        <v>73</v>
      </c>
      <c r="B735" t="str">
        <f ca="1">TEXT(DATE(YEAR(Invoer!$A$5),1,1)+INT((ROWS(B$2:B735)-1)/3),"jjjjmmdd")</f>
        <v>19460902</v>
      </c>
      <c r="C735" s="20" t="str">
        <f>INDEX(Data,2,2+MOD(ROWS(C$2:C735)-1,3))</f>
        <v>12.00</v>
      </c>
      <c r="D735" s="14" t="str">
        <f t="shared" ca="1" si="34"/>
        <v>—</v>
      </c>
      <c r="E735" s="25">
        <f t="shared" ca="1" si="35"/>
        <v>7</v>
      </c>
    </row>
    <row r="736" spans="1:5" x14ac:dyDescent="0.25">
      <c r="A736" s="8">
        <f t="shared" si="33"/>
        <v>73</v>
      </c>
      <c r="B736" t="str">
        <f ca="1">TEXT(DATE(YEAR(Invoer!$A$5),1,1)+INT((ROWS(B$2:B736)-1)/3),"jjjjmmdd")</f>
        <v>19460902</v>
      </c>
      <c r="C736" s="20" t="str">
        <f>INDEX(Data,2,2+MOD(ROWS(C$2:C736)-1,3))</f>
        <v>16.00</v>
      </c>
      <c r="D736" s="14" t="str">
        <f t="shared" ca="1" si="34"/>
        <v>—</v>
      </c>
      <c r="E736" s="25">
        <f t="shared" ca="1" si="35"/>
        <v>7</v>
      </c>
    </row>
    <row r="737" spans="1:5" x14ac:dyDescent="0.25">
      <c r="A737" s="8">
        <f t="shared" si="33"/>
        <v>73</v>
      </c>
      <c r="B737" t="str">
        <f ca="1">TEXT(DATE(YEAR(Invoer!$A$5),1,1)+INT((ROWS(B$2:B737)-1)/3),"jjjjmmdd")</f>
        <v>19460903</v>
      </c>
      <c r="C737" s="20" t="str">
        <f>INDEX(Data,2,2+MOD(ROWS(C$2:C737)-1,3))</f>
        <v>08.00</v>
      </c>
      <c r="D737" s="14" t="str">
        <f t="shared" ca="1" si="34"/>
        <v>—</v>
      </c>
      <c r="E737" s="25">
        <f t="shared" ca="1" si="35"/>
        <v>7</v>
      </c>
    </row>
    <row r="738" spans="1:5" x14ac:dyDescent="0.25">
      <c r="A738" s="8">
        <f t="shared" si="33"/>
        <v>73</v>
      </c>
      <c r="B738" t="str">
        <f ca="1">TEXT(DATE(YEAR(Invoer!$A$5),1,1)+INT((ROWS(B$2:B738)-1)/3),"jjjjmmdd")</f>
        <v>19460903</v>
      </c>
      <c r="C738" s="20" t="str">
        <f>INDEX(Data,2,2+MOD(ROWS(C$2:C738)-1,3))</f>
        <v>12.00</v>
      </c>
      <c r="D738" s="14" t="str">
        <f t="shared" ca="1" si="34"/>
        <v>—</v>
      </c>
      <c r="E738" s="25">
        <f t="shared" ca="1" si="35"/>
        <v>7</v>
      </c>
    </row>
    <row r="739" spans="1:5" x14ac:dyDescent="0.25">
      <c r="A739" s="8">
        <f t="shared" si="33"/>
        <v>73</v>
      </c>
      <c r="B739" t="str">
        <f ca="1">TEXT(DATE(YEAR(Invoer!$A$5),1,1)+INT((ROWS(B$2:B739)-1)/3),"jjjjmmdd")</f>
        <v>19460903</v>
      </c>
      <c r="C739" s="20" t="str">
        <f>INDEX(Data,2,2+MOD(ROWS(C$2:C739)-1,3))</f>
        <v>16.00</v>
      </c>
      <c r="D739" s="14" t="str">
        <f t="shared" ca="1" si="34"/>
        <v>—</v>
      </c>
      <c r="E739" s="25">
        <f t="shared" ca="1" si="35"/>
        <v>7</v>
      </c>
    </row>
    <row r="740" spans="1:5" x14ac:dyDescent="0.25">
      <c r="A740" s="8">
        <f t="shared" si="33"/>
        <v>73</v>
      </c>
      <c r="B740" t="str">
        <f ca="1">TEXT(DATE(YEAR(Invoer!$A$5),1,1)+INT((ROWS(B$2:B740)-1)/3),"jjjjmmdd")</f>
        <v>19460904</v>
      </c>
      <c r="C740" s="20" t="str">
        <f>INDEX(Data,2,2+MOD(ROWS(C$2:C740)-1,3))</f>
        <v>08.00</v>
      </c>
      <c r="D740" s="14" t="str">
        <f t="shared" ca="1" si="34"/>
        <v>—</v>
      </c>
      <c r="E740" s="25">
        <f t="shared" ca="1" si="35"/>
        <v>7</v>
      </c>
    </row>
    <row r="741" spans="1:5" x14ac:dyDescent="0.25">
      <c r="A741" s="8">
        <f t="shared" si="33"/>
        <v>73</v>
      </c>
      <c r="B741" t="str">
        <f ca="1">TEXT(DATE(YEAR(Invoer!$A$5),1,1)+INT((ROWS(B$2:B741)-1)/3),"jjjjmmdd")</f>
        <v>19460904</v>
      </c>
      <c r="C741" s="20" t="str">
        <f>INDEX(Data,2,2+MOD(ROWS(C$2:C741)-1,3))</f>
        <v>12.00</v>
      </c>
      <c r="D741" s="14" t="str">
        <f t="shared" ca="1" si="34"/>
        <v>—</v>
      </c>
      <c r="E741" s="25">
        <f t="shared" ca="1" si="35"/>
        <v>7</v>
      </c>
    </row>
    <row r="742" spans="1:5" x14ac:dyDescent="0.25">
      <c r="A742" s="8">
        <f t="shared" si="33"/>
        <v>73</v>
      </c>
      <c r="B742" t="str">
        <f ca="1">TEXT(DATE(YEAR(Invoer!$A$5),1,1)+INT((ROWS(B$2:B742)-1)/3),"jjjjmmdd")</f>
        <v>19460904</v>
      </c>
      <c r="C742" s="20" t="str">
        <f>INDEX(Data,2,2+MOD(ROWS(C$2:C742)-1,3))</f>
        <v>16.00</v>
      </c>
      <c r="D742" s="14" t="str">
        <f t="shared" ca="1" si="34"/>
        <v>—</v>
      </c>
      <c r="E742" s="25">
        <f t="shared" ca="1" si="35"/>
        <v>7</v>
      </c>
    </row>
    <row r="743" spans="1:5" x14ac:dyDescent="0.25">
      <c r="A743" s="8">
        <f t="shared" si="33"/>
        <v>73</v>
      </c>
      <c r="B743" t="str">
        <f ca="1">TEXT(DATE(YEAR(Invoer!$A$5),1,1)+INT((ROWS(B$2:B743)-1)/3),"jjjjmmdd")</f>
        <v>19460905</v>
      </c>
      <c r="C743" s="20" t="str">
        <f>INDEX(Data,2,2+MOD(ROWS(C$2:C743)-1,3))</f>
        <v>08.00</v>
      </c>
      <c r="D743" s="14" t="str">
        <f t="shared" ca="1" si="34"/>
        <v>—</v>
      </c>
      <c r="E743" s="25">
        <f t="shared" ca="1" si="35"/>
        <v>7</v>
      </c>
    </row>
    <row r="744" spans="1:5" x14ac:dyDescent="0.25">
      <c r="A744" s="8">
        <f t="shared" si="33"/>
        <v>73</v>
      </c>
      <c r="B744" t="str">
        <f ca="1">TEXT(DATE(YEAR(Invoer!$A$5),1,1)+INT((ROWS(B$2:B744)-1)/3),"jjjjmmdd")</f>
        <v>19460905</v>
      </c>
      <c r="C744" s="20" t="str">
        <f>INDEX(Data,2,2+MOD(ROWS(C$2:C744)-1,3))</f>
        <v>12.00</v>
      </c>
      <c r="D744" s="14" t="str">
        <f t="shared" ca="1" si="34"/>
        <v>—</v>
      </c>
      <c r="E744" s="25">
        <f t="shared" ca="1" si="35"/>
        <v>7</v>
      </c>
    </row>
    <row r="745" spans="1:5" x14ac:dyDescent="0.25">
      <c r="A745" s="8">
        <f t="shared" si="33"/>
        <v>73</v>
      </c>
      <c r="B745" t="str">
        <f ca="1">TEXT(DATE(YEAR(Invoer!$A$5),1,1)+INT((ROWS(B$2:B745)-1)/3),"jjjjmmdd")</f>
        <v>19460905</v>
      </c>
      <c r="C745" s="20" t="str">
        <f>INDEX(Data,2,2+MOD(ROWS(C$2:C745)-1,3))</f>
        <v>16.00</v>
      </c>
      <c r="D745" s="14" t="str">
        <f t="shared" ca="1" si="34"/>
        <v>—</v>
      </c>
      <c r="E745" s="25">
        <f t="shared" ca="1" si="35"/>
        <v>7</v>
      </c>
    </row>
    <row r="746" spans="1:5" x14ac:dyDescent="0.25">
      <c r="A746" s="8">
        <f t="shared" si="33"/>
        <v>73</v>
      </c>
      <c r="B746" t="str">
        <f ca="1">TEXT(DATE(YEAR(Invoer!$A$5),1,1)+INT((ROWS(B$2:B746)-1)/3),"jjjjmmdd")</f>
        <v>19460906</v>
      </c>
      <c r="C746" s="20" t="str">
        <f>INDEX(Data,2,2+MOD(ROWS(C$2:C746)-1,3))</f>
        <v>08.00</v>
      </c>
      <c r="D746" s="14" t="str">
        <f t="shared" ca="1" si="34"/>
        <v>—</v>
      </c>
      <c r="E746" s="25">
        <f t="shared" ca="1" si="35"/>
        <v>7</v>
      </c>
    </row>
    <row r="747" spans="1:5" x14ac:dyDescent="0.25">
      <c r="A747" s="8">
        <f t="shared" si="33"/>
        <v>73</v>
      </c>
      <c r="B747" t="str">
        <f ca="1">TEXT(DATE(YEAR(Invoer!$A$5),1,1)+INT((ROWS(B$2:B747)-1)/3),"jjjjmmdd")</f>
        <v>19460906</v>
      </c>
      <c r="C747" s="20" t="str">
        <f>INDEX(Data,2,2+MOD(ROWS(C$2:C747)-1,3))</f>
        <v>12.00</v>
      </c>
      <c r="D747" s="14" t="str">
        <f t="shared" ca="1" si="34"/>
        <v>—</v>
      </c>
      <c r="E747" s="25">
        <f t="shared" ca="1" si="35"/>
        <v>7</v>
      </c>
    </row>
    <row r="748" spans="1:5" x14ac:dyDescent="0.25">
      <c r="A748" s="8">
        <f t="shared" si="33"/>
        <v>73</v>
      </c>
      <c r="B748" t="str">
        <f ca="1">TEXT(DATE(YEAR(Invoer!$A$5),1,1)+INT((ROWS(B$2:B748)-1)/3),"jjjjmmdd")</f>
        <v>19460906</v>
      </c>
      <c r="C748" s="20" t="str">
        <f>INDEX(Data,2,2+MOD(ROWS(C$2:C748)-1,3))</f>
        <v>16.00</v>
      </c>
      <c r="D748" s="14" t="str">
        <f t="shared" ca="1" si="34"/>
        <v>—</v>
      </c>
      <c r="E748" s="25">
        <f t="shared" ca="1" si="35"/>
        <v>7</v>
      </c>
    </row>
    <row r="749" spans="1:5" x14ac:dyDescent="0.25">
      <c r="A749" s="8">
        <f t="shared" si="33"/>
        <v>73</v>
      </c>
      <c r="B749" t="str">
        <f ca="1">TEXT(DATE(YEAR(Invoer!$A$5),1,1)+INT((ROWS(B$2:B749)-1)/3),"jjjjmmdd")</f>
        <v>19460907</v>
      </c>
      <c r="C749" s="20" t="str">
        <f>INDEX(Data,2,2+MOD(ROWS(C$2:C749)-1,3))</f>
        <v>08.00</v>
      </c>
      <c r="D749" s="14" t="str">
        <f t="shared" ca="1" si="34"/>
        <v>—</v>
      </c>
      <c r="E749" s="25">
        <f t="shared" ca="1" si="35"/>
        <v>7</v>
      </c>
    </row>
    <row r="750" spans="1:5" x14ac:dyDescent="0.25">
      <c r="A750" s="8">
        <f t="shared" si="33"/>
        <v>73</v>
      </c>
      <c r="B750" t="str">
        <f ca="1">TEXT(DATE(YEAR(Invoer!$A$5),1,1)+INT((ROWS(B$2:B750)-1)/3),"jjjjmmdd")</f>
        <v>19460907</v>
      </c>
      <c r="C750" s="20" t="str">
        <f>INDEX(Data,2,2+MOD(ROWS(C$2:C750)-1,3))</f>
        <v>12.00</v>
      </c>
      <c r="D750" s="14" t="str">
        <f t="shared" ca="1" si="34"/>
        <v>—</v>
      </c>
      <c r="E750" s="25">
        <f t="shared" ca="1" si="35"/>
        <v>7</v>
      </c>
    </row>
    <row r="751" spans="1:5" x14ac:dyDescent="0.25">
      <c r="A751" s="8">
        <f t="shared" si="33"/>
        <v>73</v>
      </c>
      <c r="B751" t="str">
        <f ca="1">TEXT(DATE(YEAR(Invoer!$A$5),1,1)+INT((ROWS(B$2:B751)-1)/3),"jjjjmmdd")</f>
        <v>19460907</v>
      </c>
      <c r="C751" s="20" t="str">
        <f>INDEX(Data,2,2+MOD(ROWS(C$2:C751)-1,3))</f>
        <v>16.00</v>
      </c>
      <c r="D751" s="14" t="str">
        <f t="shared" ca="1" si="34"/>
        <v>—</v>
      </c>
      <c r="E751" s="25">
        <f t="shared" ca="1" si="35"/>
        <v>7</v>
      </c>
    </row>
    <row r="752" spans="1:5" x14ac:dyDescent="0.25">
      <c r="A752" s="8">
        <f t="shared" si="33"/>
        <v>73</v>
      </c>
      <c r="B752" t="str">
        <f ca="1">TEXT(DATE(YEAR(Invoer!$A$5),1,1)+INT((ROWS(B$2:B752)-1)/3),"jjjjmmdd")</f>
        <v>19460908</v>
      </c>
      <c r="C752" s="20" t="str">
        <f>INDEX(Data,2,2+MOD(ROWS(C$2:C752)-1,3))</f>
        <v>08.00</v>
      </c>
      <c r="D752" s="14" t="str">
        <f t="shared" ca="1" si="34"/>
        <v>—</v>
      </c>
      <c r="E752" s="25">
        <f t="shared" ca="1" si="35"/>
        <v>7</v>
      </c>
    </row>
    <row r="753" spans="1:5" x14ac:dyDescent="0.25">
      <c r="A753" s="8">
        <f t="shared" si="33"/>
        <v>73</v>
      </c>
      <c r="B753" t="str">
        <f ca="1">TEXT(DATE(YEAR(Invoer!$A$5),1,1)+INT((ROWS(B$2:B753)-1)/3),"jjjjmmdd")</f>
        <v>19460908</v>
      </c>
      <c r="C753" s="20" t="str">
        <f>INDEX(Data,2,2+MOD(ROWS(C$2:C753)-1,3))</f>
        <v>12.00</v>
      </c>
      <c r="D753" s="14" t="str">
        <f t="shared" ca="1" si="34"/>
        <v>—</v>
      </c>
      <c r="E753" s="25">
        <f t="shared" ca="1" si="35"/>
        <v>7</v>
      </c>
    </row>
    <row r="754" spans="1:5" x14ac:dyDescent="0.25">
      <c r="A754" s="8">
        <f t="shared" si="33"/>
        <v>73</v>
      </c>
      <c r="B754" t="str">
        <f ca="1">TEXT(DATE(YEAR(Invoer!$A$5),1,1)+INT((ROWS(B$2:B754)-1)/3),"jjjjmmdd")</f>
        <v>19460908</v>
      </c>
      <c r="C754" s="20" t="str">
        <f>INDEX(Data,2,2+MOD(ROWS(C$2:C754)-1,3))</f>
        <v>16.00</v>
      </c>
      <c r="D754" s="14" t="str">
        <f t="shared" ca="1" si="34"/>
        <v>—</v>
      </c>
      <c r="E754" s="25">
        <f t="shared" ca="1" si="35"/>
        <v>7</v>
      </c>
    </row>
    <row r="755" spans="1:5" x14ac:dyDescent="0.25">
      <c r="A755" s="8">
        <f t="shared" si="33"/>
        <v>73</v>
      </c>
      <c r="B755" t="str">
        <f ca="1">TEXT(DATE(YEAR(Invoer!$A$5),1,1)+INT((ROWS(B$2:B755)-1)/3),"jjjjmmdd")</f>
        <v>19460909</v>
      </c>
      <c r="C755" s="20" t="str">
        <f>INDEX(Data,2,2+MOD(ROWS(C$2:C755)-1,3))</f>
        <v>08.00</v>
      </c>
      <c r="D755" s="14" t="str">
        <f t="shared" ca="1" si="34"/>
        <v>—</v>
      </c>
      <c r="E755" s="25">
        <f t="shared" ca="1" si="35"/>
        <v>7</v>
      </c>
    </row>
    <row r="756" spans="1:5" x14ac:dyDescent="0.25">
      <c r="A756" s="8">
        <f t="shared" si="33"/>
        <v>73</v>
      </c>
      <c r="B756" t="str">
        <f ca="1">TEXT(DATE(YEAR(Invoer!$A$5),1,1)+INT((ROWS(B$2:B756)-1)/3),"jjjjmmdd")</f>
        <v>19460909</v>
      </c>
      <c r="C756" s="20" t="str">
        <f>INDEX(Data,2,2+MOD(ROWS(C$2:C756)-1,3))</f>
        <v>12.00</v>
      </c>
      <c r="D756" s="14" t="str">
        <f t="shared" ca="1" si="34"/>
        <v>—</v>
      </c>
      <c r="E756" s="25">
        <f t="shared" ca="1" si="35"/>
        <v>7</v>
      </c>
    </row>
    <row r="757" spans="1:5" x14ac:dyDescent="0.25">
      <c r="A757" s="8">
        <f t="shared" si="33"/>
        <v>73</v>
      </c>
      <c r="B757" t="str">
        <f ca="1">TEXT(DATE(YEAR(Invoer!$A$5),1,1)+INT((ROWS(B$2:B757)-1)/3),"jjjjmmdd")</f>
        <v>19460909</v>
      </c>
      <c r="C757" s="20" t="str">
        <f>INDEX(Data,2,2+MOD(ROWS(C$2:C757)-1,3))</f>
        <v>16.00</v>
      </c>
      <c r="D757" s="14" t="str">
        <f t="shared" ca="1" si="34"/>
        <v>—</v>
      </c>
      <c r="E757" s="25">
        <f t="shared" ca="1" si="35"/>
        <v>7</v>
      </c>
    </row>
    <row r="758" spans="1:5" x14ac:dyDescent="0.25">
      <c r="A758" s="8">
        <f t="shared" si="33"/>
        <v>73</v>
      </c>
      <c r="B758" t="str">
        <f ca="1">TEXT(DATE(YEAR(Invoer!$A$5),1,1)+INT((ROWS(B$2:B758)-1)/3),"jjjjmmdd")</f>
        <v>19460910</v>
      </c>
      <c r="C758" s="20" t="str">
        <f>INDEX(Data,2,2+MOD(ROWS(C$2:C758)-1,3))</f>
        <v>08.00</v>
      </c>
      <c r="D758" s="14" t="str">
        <f t="shared" ca="1" si="34"/>
        <v>—</v>
      </c>
      <c r="E758" s="25">
        <f t="shared" ca="1" si="35"/>
        <v>7</v>
      </c>
    </row>
    <row r="759" spans="1:5" x14ac:dyDescent="0.25">
      <c r="A759" s="8">
        <f t="shared" si="33"/>
        <v>73</v>
      </c>
      <c r="B759" t="str">
        <f ca="1">TEXT(DATE(YEAR(Invoer!$A$5),1,1)+INT((ROWS(B$2:B759)-1)/3),"jjjjmmdd")</f>
        <v>19460910</v>
      </c>
      <c r="C759" s="20" t="str">
        <f>INDEX(Data,2,2+MOD(ROWS(C$2:C759)-1,3))</f>
        <v>12.00</v>
      </c>
      <c r="D759" s="14" t="str">
        <f t="shared" ca="1" si="34"/>
        <v>—</v>
      </c>
      <c r="E759" s="25">
        <f t="shared" ca="1" si="35"/>
        <v>7</v>
      </c>
    </row>
    <row r="760" spans="1:5" x14ac:dyDescent="0.25">
      <c r="A760" s="8">
        <f t="shared" si="33"/>
        <v>73</v>
      </c>
      <c r="B760" t="str">
        <f ca="1">TEXT(DATE(YEAR(Invoer!$A$5),1,1)+INT((ROWS(B$2:B760)-1)/3),"jjjjmmdd")</f>
        <v>19460910</v>
      </c>
      <c r="C760" s="20" t="str">
        <f>INDEX(Data,2,2+MOD(ROWS(C$2:C760)-1,3))</f>
        <v>16.00</v>
      </c>
      <c r="D760" s="14" t="str">
        <f t="shared" ca="1" si="34"/>
        <v>—</v>
      </c>
      <c r="E760" s="25">
        <f t="shared" ca="1" si="35"/>
        <v>7</v>
      </c>
    </row>
    <row r="761" spans="1:5" x14ac:dyDescent="0.25">
      <c r="A761" s="8">
        <f t="shared" si="33"/>
        <v>73</v>
      </c>
      <c r="B761" t="str">
        <f ca="1">TEXT(DATE(YEAR(Invoer!$A$5),1,1)+INT((ROWS(B$2:B761)-1)/3),"jjjjmmdd")</f>
        <v>19460911</v>
      </c>
      <c r="C761" s="20" t="str">
        <f>INDEX(Data,2,2+MOD(ROWS(C$2:C761)-1,3))</f>
        <v>08.00</v>
      </c>
      <c r="D761" s="14" t="str">
        <f t="shared" ca="1" si="34"/>
        <v>—</v>
      </c>
      <c r="E761" s="25">
        <f t="shared" ca="1" si="35"/>
        <v>7</v>
      </c>
    </row>
    <row r="762" spans="1:5" x14ac:dyDescent="0.25">
      <c r="A762" s="8">
        <f t="shared" si="33"/>
        <v>73</v>
      </c>
      <c r="B762" t="str">
        <f ca="1">TEXT(DATE(YEAR(Invoer!$A$5),1,1)+INT((ROWS(B$2:B762)-1)/3),"jjjjmmdd")</f>
        <v>19460911</v>
      </c>
      <c r="C762" s="20" t="str">
        <f>INDEX(Data,2,2+MOD(ROWS(C$2:C762)-1,3))</f>
        <v>12.00</v>
      </c>
      <c r="D762" s="14" t="str">
        <f t="shared" ca="1" si="34"/>
        <v>—</v>
      </c>
      <c r="E762" s="25">
        <f t="shared" ca="1" si="35"/>
        <v>7</v>
      </c>
    </row>
    <row r="763" spans="1:5" x14ac:dyDescent="0.25">
      <c r="A763" s="8">
        <f t="shared" si="33"/>
        <v>73</v>
      </c>
      <c r="B763" t="str">
        <f ca="1">TEXT(DATE(YEAR(Invoer!$A$5),1,1)+INT((ROWS(B$2:B763)-1)/3),"jjjjmmdd")</f>
        <v>19460911</v>
      </c>
      <c r="C763" s="20" t="str">
        <f>INDEX(Data,2,2+MOD(ROWS(C$2:C763)-1,3))</f>
        <v>16.00</v>
      </c>
      <c r="D763" s="14" t="str">
        <f t="shared" ca="1" si="34"/>
        <v>—</v>
      </c>
      <c r="E763" s="25">
        <f t="shared" ca="1" si="35"/>
        <v>7</v>
      </c>
    </row>
    <row r="764" spans="1:5" x14ac:dyDescent="0.25">
      <c r="A764" s="8">
        <f t="shared" si="33"/>
        <v>73</v>
      </c>
      <c r="B764" t="str">
        <f ca="1">TEXT(DATE(YEAR(Invoer!$A$5),1,1)+INT((ROWS(B$2:B764)-1)/3),"jjjjmmdd")</f>
        <v>19460912</v>
      </c>
      <c r="C764" s="20" t="str">
        <f>INDEX(Data,2,2+MOD(ROWS(C$2:C764)-1,3))</f>
        <v>08.00</v>
      </c>
      <c r="D764" s="14" t="str">
        <f t="shared" ca="1" si="34"/>
        <v>—</v>
      </c>
      <c r="E764" s="25">
        <f t="shared" ca="1" si="35"/>
        <v>7</v>
      </c>
    </row>
    <row r="765" spans="1:5" x14ac:dyDescent="0.25">
      <c r="A765" s="8">
        <f t="shared" si="33"/>
        <v>73</v>
      </c>
      <c r="B765" t="str">
        <f ca="1">TEXT(DATE(YEAR(Invoer!$A$5),1,1)+INT((ROWS(B$2:B765)-1)/3),"jjjjmmdd")</f>
        <v>19460912</v>
      </c>
      <c r="C765" s="20" t="str">
        <f>INDEX(Data,2,2+MOD(ROWS(C$2:C765)-1,3))</f>
        <v>12.00</v>
      </c>
      <c r="D765" s="14" t="str">
        <f t="shared" ca="1" si="34"/>
        <v>—</v>
      </c>
      <c r="E765" s="25">
        <f t="shared" ca="1" si="35"/>
        <v>7</v>
      </c>
    </row>
    <row r="766" spans="1:5" x14ac:dyDescent="0.25">
      <c r="A766" s="8">
        <f t="shared" si="33"/>
        <v>73</v>
      </c>
      <c r="B766" t="str">
        <f ca="1">TEXT(DATE(YEAR(Invoer!$A$5),1,1)+INT((ROWS(B$2:B766)-1)/3),"jjjjmmdd")</f>
        <v>19460912</v>
      </c>
      <c r="C766" s="20" t="str">
        <f>INDEX(Data,2,2+MOD(ROWS(C$2:C766)-1,3))</f>
        <v>16.00</v>
      </c>
      <c r="D766" s="14" t="str">
        <f t="shared" ca="1" si="34"/>
        <v>—</v>
      </c>
      <c r="E766" s="25">
        <f t="shared" ca="1" si="35"/>
        <v>7</v>
      </c>
    </row>
    <row r="767" spans="1:5" x14ac:dyDescent="0.25">
      <c r="A767" s="8">
        <f t="shared" si="33"/>
        <v>73</v>
      </c>
      <c r="B767" t="str">
        <f ca="1">TEXT(DATE(YEAR(Invoer!$A$5),1,1)+INT((ROWS(B$2:B767)-1)/3),"jjjjmmdd")</f>
        <v>19460913</v>
      </c>
      <c r="C767" s="20" t="str">
        <f>INDEX(Data,2,2+MOD(ROWS(C$2:C767)-1,3))</f>
        <v>08.00</v>
      </c>
      <c r="D767" s="14" t="str">
        <f t="shared" ca="1" si="34"/>
        <v>—</v>
      </c>
      <c r="E767" s="25">
        <f t="shared" ca="1" si="35"/>
        <v>7</v>
      </c>
    </row>
    <row r="768" spans="1:5" x14ac:dyDescent="0.25">
      <c r="A768" s="8">
        <f t="shared" si="33"/>
        <v>73</v>
      </c>
      <c r="B768" t="str">
        <f ca="1">TEXT(DATE(YEAR(Invoer!$A$5),1,1)+INT((ROWS(B$2:B768)-1)/3),"jjjjmmdd")</f>
        <v>19460913</v>
      </c>
      <c r="C768" s="20" t="str">
        <f>INDEX(Data,2,2+MOD(ROWS(C$2:C768)-1,3))</f>
        <v>12.00</v>
      </c>
      <c r="D768" s="14" t="str">
        <f t="shared" ca="1" si="34"/>
        <v>—</v>
      </c>
      <c r="E768" s="25">
        <f t="shared" ca="1" si="35"/>
        <v>7</v>
      </c>
    </row>
    <row r="769" spans="1:5" x14ac:dyDescent="0.25">
      <c r="A769" s="8">
        <f t="shared" si="33"/>
        <v>73</v>
      </c>
      <c r="B769" t="str">
        <f ca="1">TEXT(DATE(YEAR(Invoer!$A$5),1,1)+INT((ROWS(B$2:B769)-1)/3),"jjjjmmdd")</f>
        <v>19460913</v>
      </c>
      <c r="C769" s="20" t="str">
        <f>INDEX(Data,2,2+MOD(ROWS(C$2:C769)-1,3))</f>
        <v>16.00</v>
      </c>
      <c r="D769" s="14" t="str">
        <f t="shared" ca="1" si="34"/>
        <v>—</v>
      </c>
      <c r="E769" s="25">
        <f t="shared" ca="1" si="35"/>
        <v>7</v>
      </c>
    </row>
    <row r="770" spans="1:5" x14ac:dyDescent="0.25">
      <c r="A770" s="8">
        <f t="shared" ref="A770:A833" si="36">INDEX(Stations,2,1)</f>
        <v>73</v>
      </c>
      <c r="B770" t="str">
        <f ca="1">TEXT(DATE(YEAR(Invoer!$A$5),1,1)+INT((ROWS(B$2:B770)-1)/3),"jjjjmmdd")</f>
        <v>19460914</v>
      </c>
      <c r="C770" s="20" t="str">
        <f>INDEX(Data,2,2+MOD(ROWS(C$2:C770)-1,3))</f>
        <v>08.00</v>
      </c>
      <c r="D770" s="14" t="str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25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</row>
    <row r="771" spans="1:5" x14ac:dyDescent="0.25">
      <c r="A771" s="8">
        <f t="shared" si="36"/>
        <v>73</v>
      </c>
      <c r="B771" t="str">
        <f ca="1">TEXT(DATE(YEAR(Invoer!$A$5),1,1)+INT((ROWS(B$2:B771)-1)/3),"jjjjmmdd")</f>
        <v>19460914</v>
      </c>
      <c r="C771" s="20" t="str">
        <f>INDEX(Data,2,2+MOD(ROWS(C$2:C771)-1,3))</f>
        <v>12.00</v>
      </c>
      <c r="D771" s="14" t="str">
        <f t="shared" ca="1" si="37"/>
        <v>—</v>
      </c>
      <c r="E771" s="25">
        <f t="shared" ca="1" si="38"/>
        <v>7</v>
      </c>
    </row>
    <row r="772" spans="1:5" x14ac:dyDescent="0.25">
      <c r="A772" s="8">
        <f t="shared" si="36"/>
        <v>73</v>
      </c>
      <c r="B772" t="str">
        <f ca="1">TEXT(DATE(YEAR(Invoer!$A$5),1,1)+INT((ROWS(B$2:B772)-1)/3),"jjjjmmdd")</f>
        <v>19460914</v>
      </c>
      <c r="C772" s="20" t="str">
        <f>INDEX(Data,2,2+MOD(ROWS(C$2:C772)-1,3))</f>
        <v>16.00</v>
      </c>
      <c r="D772" s="14" t="str">
        <f t="shared" ca="1" si="37"/>
        <v>—</v>
      </c>
      <c r="E772" s="25">
        <f t="shared" ca="1" si="38"/>
        <v>7</v>
      </c>
    </row>
    <row r="773" spans="1:5" x14ac:dyDescent="0.25">
      <c r="A773" s="8">
        <f t="shared" si="36"/>
        <v>73</v>
      </c>
      <c r="B773" t="str">
        <f ca="1">TEXT(DATE(YEAR(Invoer!$A$5),1,1)+INT((ROWS(B$2:B773)-1)/3),"jjjjmmdd")</f>
        <v>19460915</v>
      </c>
      <c r="C773" s="20" t="str">
        <f>INDEX(Data,2,2+MOD(ROWS(C$2:C773)-1,3))</f>
        <v>08.00</v>
      </c>
      <c r="D773" s="14" t="str">
        <f t="shared" ca="1" si="37"/>
        <v>—</v>
      </c>
      <c r="E773" s="25">
        <f t="shared" ca="1" si="38"/>
        <v>7</v>
      </c>
    </row>
    <row r="774" spans="1:5" x14ac:dyDescent="0.25">
      <c r="A774" s="8">
        <f t="shared" si="36"/>
        <v>73</v>
      </c>
      <c r="B774" t="str">
        <f ca="1">TEXT(DATE(YEAR(Invoer!$A$5),1,1)+INT((ROWS(B$2:B774)-1)/3),"jjjjmmdd")</f>
        <v>19460915</v>
      </c>
      <c r="C774" s="20" t="str">
        <f>INDEX(Data,2,2+MOD(ROWS(C$2:C774)-1,3))</f>
        <v>12.00</v>
      </c>
      <c r="D774" s="14" t="str">
        <f t="shared" ca="1" si="37"/>
        <v>—</v>
      </c>
      <c r="E774" s="25">
        <f t="shared" ca="1" si="38"/>
        <v>7</v>
      </c>
    </row>
    <row r="775" spans="1:5" x14ac:dyDescent="0.25">
      <c r="A775" s="8">
        <f t="shared" si="36"/>
        <v>73</v>
      </c>
      <c r="B775" t="str">
        <f ca="1">TEXT(DATE(YEAR(Invoer!$A$5),1,1)+INT((ROWS(B$2:B775)-1)/3),"jjjjmmdd")</f>
        <v>19460915</v>
      </c>
      <c r="C775" s="20" t="str">
        <f>INDEX(Data,2,2+MOD(ROWS(C$2:C775)-1,3))</f>
        <v>16.00</v>
      </c>
      <c r="D775" s="14" t="str">
        <f t="shared" ca="1" si="37"/>
        <v>—</v>
      </c>
      <c r="E775" s="25">
        <f t="shared" ca="1" si="38"/>
        <v>7</v>
      </c>
    </row>
    <row r="776" spans="1:5" x14ac:dyDescent="0.25">
      <c r="A776" s="8">
        <f t="shared" si="36"/>
        <v>73</v>
      </c>
      <c r="B776" t="str">
        <f ca="1">TEXT(DATE(YEAR(Invoer!$A$5),1,1)+INT((ROWS(B$2:B776)-1)/3),"jjjjmmdd")</f>
        <v>19460916</v>
      </c>
      <c r="C776" s="20" t="str">
        <f>INDEX(Data,2,2+MOD(ROWS(C$2:C776)-1,3))</f>
        <v>08.00</v>
      </c>
      <c r="D776" s="14" t="str">
        <f t="shared" ca="1" si="37"/>
        <v>—</v>
      </c>
      <c r="E776" s="25">
        <f t="shared" ca="1" si="38"/>
        <v>7</v>
      </c>
    </row>
    <row r="777" spans="1:5" x14ac:dyDescent="0.25">
      <c r="A777" s="8">
        <f t="shared" si="36"/>
        <v>73</v>
      </c>
      <c r="B777" t="str">
        <f ca="1">TEXT(DATE(YEAR(Invoer!$A$5),1,1)+INT((ROWS(B$2:B777)-1)/3),"jjjjmmdd")</f>
        <v>19460916</v>
      </c>
      <c r="C777" s="20" t="str">
        <f>INDEX(Data,2,2+MOD(ROWS(C$2:C777)-1,3))</f>
        <v>12.00</v>
      </c>
      <c r="D777" s="14" t="str">
        <f t="shared" ca="1" si="37"/>
        <v>—</v>
      </c>
      <c r="E777" s="25">
        <f t="shared" ca="1" si="38"/>
        <v>7</v>
      </c>
    </row>
    <row r="778" spans="1:5" x14ac:dyDescent="0.25">
      <c r="A778" s="8">
        <f t="shared" si="36"/>
        <v>73</v>
      </c>
      <c r="B778" t="str">
        <f ca="1">TEXT(DATE(YEAR(Invoer!$A$5),1,1)+INT((ROWS(B$2:B778)-1)/3),"jjjjmmdd")</f>
        <v>19460916</v>
      </c>
      <c r="C778" s="20" t="str">
        <f>INDEX(Data,2,2+MOD(ROWS(C$2:C778)-1,3))</f>
        <v>16.00</v>
      </c>
      <c r="D778" s="14" t="str">
        <f t="shared" ca="1" si="37"/>
        <v>—</v>
      </c>
      <c r="E778" s="25">
        <f t="shared" ca="1" si="38"/>
        <v>7</v>
      </c>
    </row>
    <row r="779" spans="1:5" x14ac:dyDescent="0.25">
      <c r="A779" s="8">
        <f t="shared" si="36"/>
        <v>73</v>
      </c>
      <c r="B779" t="str">
        <f ca="1">TEXT(DATE(YEAR(Invoer!$A$5),1,1)+INT((ROWS(B$2:B779)-1)/3),"jjjjmmdd")</f>
        <v>19460917</v>
      </c>
      <c r="C779" s="20" t="str">
        <f>INDEX(Data,2,2+MOD(ROWS(C$2:C779)-1,3))</f>
        <v>08.00</v>
      </c>
      <c r="D779" s="14" t="str">
        <f t="shared" ca="1" si="37"/>
        <v>—</v>
      </c>
      <c r="E779" s="25">
        <f t="shared" ca="1" si="38"/>
        <v>7</v>
      </c>
    </row>
    <row r="780" spans="1:5" x14ac:dyDescent="0.25">
      <c r="A780" s="8">
        <f t="shared" si="36"/>
        <v>73</v>
      </c>
      <c r="B780" t="str">
        <f ca="1">TEXT(DATE(YEAR(Invoer!$A$5),1,1)+INT((ROWS(B$2:B780)-1)/3),"jjjjmmdd")</f>
        <v>19460917</v>
      </c>
      <c r="C780" s="20" t="str">
        <f>INDEX(Data,2,2+MOD(ROWS(C$2:C780)-1,3))</f>
        <v>12.00</v>
      </c>
      <c r="D780" s="14" t="str">
        <f t="shared" ca="1" si="37"/>
        <v>—</v>
      </c>
      <c r="E780" s="25">
        <f t="shared" ca="1" si="38"/>
        <v>7</v>
      </c>
    </row>
    <row r="781" spans="1:5" x14ac:dyDescent="0.25">
      <c r="A781" s="8">
        <f t="shared" si="36"/>
        <v>73</v>
      </c>
      <c r="B781" t="str">
        <f ca="1">TEXT(DATE(YEAR(Invoer!$A$5),1,1)+INT((ROWS(B$2:B781)-1)/3),"jjjjmmdd")</f>
        <v>19460917</v>
      </c>
      <c r="C781" s="20" t="str">
        <f>INDEX(Data,2,2+MOD(ROWS(C$2:C781)-1,3))</f>
        <v>16.00</v>
      </c>
      <c r="D781" s="14" t="str">
        <f t="shared" ca="1" si="37"/>
        <v>—</v>
      </c>
      <c r="E781" s="25">
        <f t="shared" ca="1" si="38"/>
        <v>7</v>
      </c>
    </row>
    <row r="782" spans="1:5" x14ac:dyDescent="0.25">
      <c r="A782" s="8">
        <f t="shared" si="36"/>
        <v>73</v>
      </c>
      <c r="B782" t="str">
        <f ca="1">TEXT(DATE(YEAR(Invoer!$A$5),1,1)+INT((ROWS(B$2:B782)-1)/3),"jjjjmmdd")</f>
        <v>19460918</v>
      </c>
      <c r="C782" s="20" t="str">
        <f>INDEX(Data,2,2+MOD(ROWS(C$2:C782)-1,3))</f>
        <v>08.00</v>
      </c>
      <c r="D782" s="14" t="str">
        <f t="shared" ca="1" si="37"/>
        <v>—</v>
      </c>
      <c r="E782" s="25">
        <f t="shared" ca="1" si="38"/>
        <v>7</v>
      </c>
    </row>
    <row r="783" spans="1:5" x14ac:dyDescent="0.25">
      <c r="A783" s="8">
        <f t="shared" si="36"/>
        <v>73</v>
      </c>
      <c r="B783" t="str">
        <f ca="1">TEXT(DATE(YEAR(Invoer!$A$5),1,1)+INT((ROWS(B$2:B783)-1)/3),"jjjjmmdd")</f>
        <v>19460918</v>
      </c>
      <c r="C783" s="20" t="str">
        <f>INDEX(Data,2,2+MOD(ROWS(C$2:C783)-1,3))</f>
        <v>12.00</v>
      </c>
      <c r="D783" s="14" t="str">
        <f t="shared" ca="1" si="37"/>
        <v>—</v>
      </c>
      <c r="E783" s="25">
        <f t="shared" ca="1" si="38"/>
        <v>7</v>
      </c>
    </row>
    <row r="784" spans="1:5" x14ac:dyDescent="0.25">
      <c r="A784" s="8">
        <f t="shared" si="36"/>
        <v>73</v>
      </c>
      <c r="B784" t="str">
        <f ca="1">TEXT(DATE(YEAR(Invoer!$A$5),1,1)+INT((ROWS(B$2:B784)-1)/3),"jjjjmmdd")</f>
        <v>19460918</v>
      </c>
      <c r="C784" s="20" t="str">
        <f>INDEX(Data,2,2+MOD(ROWS(C$2:C784)-1,3))</f>
        <v>16.00</v>
      </c>
      <c r="D784" s="14" t="str">
        <f t="shared" ca="1" si="37"/>
        <v>—</v>
      </c>
      <c r="E784" s="25">
        <f t="shared" ca="1" si="38"/>
        <v>7</v>
      </c>
    </row>
    <row r="785" spans="1:5" x14ac:dyDescent="0.25">
      <c r="A785" s="8">
        <f t="shared" si="36"/>
        <v>73</v>
      </c>
      <c r="B785" t="str">
        <f ca="1">TEXT(DATE(YEAR(Invoer!$A$5),1,1)+INT((ROWS(B$2:B785)-1)/3),"jjjjmmdd")</f>
        <v>19460919</v>
      </c>
      <c r="C785" s="20" t="str">
        <f>INDEX(Data,2,2+MOD(ROWS(C$2:C785)-1,3))</f>
        <v>08.00</v>
      </c>
      <c r="D785" s="14" t="str">
        <f t="shared" ca="1" si="37"/>
        <v>—</v>
      </c>
      <c r="E785" s="25">
        <f t="shared" ca="1" si="38"/>
        <v>7</v>
      </c>
    </row>
    <row r="786" spans="1:5" x14ac:dyDescent="0.25">
      <c r="A786" s="8">
        <f t="shared" si="36"/>
        <v>73</v>
      </c>
      <c r="B786" t="str">
        <f ca="1">TEXT(DATE(YEAR(Invoer!$A$5),1,1)+INT((ROWS(B$2:B786)-1)/3),"jjjjmmdd")</f>
        <v>19460919</v>
      </c>
      <c r="C786" s="20" t="str">
        <f>INDEX(Data,2,2+MOD(ROWS(C$2:C786)-1,3))</f>
        <v>12.00</v>
      </c>
      <c r="D786" s="14" t="str">
        <f t="shared" ca="1" si="37"/>
        <v>—</v>
      </c>
      <c r="E786" s="25">
        <f t="shared" ca="1" si="38"/>
        <v>7</v>
      </c>
    </row>
    <row r="787" spans="1:5" x14ac:dyDescent="0.25">
      <c r="A787" s="8">
        <f t="shared" si="36"/>
        <v>73</v>
      </c>
      <c r="B787" t="str">
        <f ca="1">TEXT(DATE(YEAR(Invoer!$A$5),1,1)+INT((ROWS(B$2:B787)-1)/3),"jjjjmmdd")</f>
        <v>19460919</v>
      </c>
      <c r="C787" s="20" t="str">
        <f>INDEX(Data,2,2+MOD(ROWS(C$2:C787)-1,3))</f>
        <v>16.00</v>
      </c>
      <c r="D787" s="14" t="str">
        <f t="shared" ca="1" si="37"/>
        <v>—</v>
      </c>
      <c r="E787" s="25">
        <f t="shared" ca="1" si="38"/>
        <v>7</v>
      </c>
    </row>
    <row r="788" spans="1:5" x14ac:dyDescent="0.25">
      <c r="A788" s="8">
        <f t="shared" si="36"/>
        <v>73</v>
      </c>
      <c r="B788" t="str">
        <f ca="1">TEXT(DATE(YEAR(Invoer!$A$5),1,1)+INT((ROWS(B$2:B788)-1)/3),"jjjjmmdd")</f>
        <v>19460920</v>
      </c>
      <c r="C788" s="20" t="str">
        <f>INDEX(Data,2,2+MOD(ROWS(C$2:C788)-1,3))</f>
        <v>08.00</v>
      </c>
      <c r="D788" s="14" t="str">
        <f t="shared" ca="1" si="37"/>
        <v>—</v>
      </c>
      <c r="E788" s="25">
        <f t="shared" ca="1" si="38"/>
        <v>7</v>
      </c>
    </row>
    <row r="789" spans="1:5" x14ac:dyDescent="0.25">
      <c r="A789" s="8">
        <f t="shared" si="36"/>
        <v>73</v>
      </c>
      <c r="B789" t="str">
        <f ca="1">TEXT(DATE(YEAR(Invoer!$A$5),1,1)+INT((ROWS(B$2:B789)-1)/3),"jjjjmmdd")</f>
        <v>19460920</v>
      </c>
      <c r="C789" s="20" t="str">
        <f>INDEX(Data,2,2+MOD(ROWS(C$2:C789)-1,3))</f>
        <v>12.00</v>
      </c>
      <c r="D789" s="14" t="str">
        <f t="shared" ca="1" si="37"/>
        <v>—</v>
      </c>
      <c r="E789" s="25">
        <f t="shared" ca="1" si="38"/>
        <v>7</v>
      </c>
    </row>
    <row r="790" spans="1:5" x14ac:dyDescent="0.25">
      <c r="A790" s="8">
        <f t="shared" si="36"/>
        <v>73</v>
      </c>
      <c r="B790" t="str">
        <f ca="1">TEXT(DATE(YEAR(Invoer!$A$5),1,1)+INT((ROWS(B$2:B790)-1)/3),"jjjjmmdd")</f>
        <v>19460920</v>
      </c>
      <c r="C790" s="20" t="str">
        <f>INDEX(Data,2,2+MOD(ROWS(C$2:C790)-1,3))</f>
        <v>16.00</v>
      </c>
      <c r="D790" s="14" t="str">
        <f t="shared" ca="1" si="37"/>
        <v>—</v>
      </c>
      <c r="E790" s="25">
        <f t="shared" ca="1" si="38"/>
        <v>7</v>
      </c>
    </row>
    <row r="791" spans="1:5" x14ac:dyDescent="0.25">
      <c r="A791" s="8">
        <f t="shared" si="36"/>
        <v>73</v>
      </c>
      <c r="B791" t="str">
        <f ca="1">TEXT(DATE(YEAR(Invoer!$A$5),1,1)+INT((ROWS(B$2:B791)-1)/3),"jjjjmmdd")</f>
        <v>19460921</v>
      </c>
      <c r="C791" s="20" t="str">
        <f>INDEX(Data,2,2+MOD(ROWS(C$2:C791)-1,3))</f>
        <v>08.00</v>
      </c>
      <c r="D791" s="14" t="str">
        <f t="shared" ca="1" si="37"/>
        <v>—</v>
      </c>
      <c r="E791" s="25">
        <f t="shared" ca="1" si="38"/>
        <v>7</v>
      </c>
    </row>
    <row r="792" spans="1:5" x14ac:dyDescent="0.25">
      <c r="A792" s="8">
        <f t="shared" si="36"/>
        <v>73</v>
      </c>
      <c r="B792" t="str">
        <f ca="1">TEXT(DATE(YEAR(Invoer!$A$5),1,1)+INT((ROWS(B$2:B792)-1)/3),"jjjjmmdd")</f>
        <v>19460921</v>
      </c>
      <c r="C792" s="20" t="str">
        <f>INDEX(Data,2,2+MOD(ROWS(C$2:C792)-1,3))</f>
        <v>12.00</v>
      </c>
      <c r="D792" s="14" t="str">
        <f t="shared" ca="1" si="37"/>
        <v>—</v>
      </c>
      <c r="E792" s="25">
        <f t="shared" ca="1" si="38"/>
        <v>7</v>
      </c>
    </row>
    <row r="793" spans="1:5" x14ac:dyDescent="0.25">
      <c r="A793" s="8">
        <f t="shared" si="36"/>
        <v>73</v>
      </c>
      <c r="B793" t="str">
        <f ca="1">TEXT(DATE(YEAR(Invoer!$A$5),1,1)+INT((ROWS(B$2:B793)-1)/3),"jjjjmmdd")</f>
        <v>19460921</v>
      </c>
      <c r="C793" s="20" t="str">
        <f>INDEX(Data,2,2+MOD(ROWS(C$2:C793)-1,3))</f>
        <v>16.00</v>
      </c>
      <c r="D793" s="14" t="str">
        <f t="shared" ca="1" si="37"/>
        <v>—</v>
      </c>
      <c r="E793" s="25">
        <f t="shared" ca="1" si="38"/>
        <v>7</v>
      </c>
    </row>
    <row r="794" spans="1:5" x14ac:dyDescent="0.25">
      <c r="A794" s="8">
        <f t="shared" si="36"/>
        <v>73</v>
      </c>
      <c r="B794" t="str">
        <f ca="1">TEXT(DATE(YEAR(Invoer!$A$5),1,1)+INT((ROWS(B$2:B794)-1)/3),"jjjjmmdd")</f>
        <v>19460922</v>
      </c>
      <c r="C794" s="20" t="str">
        <f>INDEX(Data,2,2+MOD(ROWS(C$2:C794)-1,3))</f>
        <v>08.00</v>
      </c>
      <c r="D794" s="14" t="str">
        <f t="shared" ca="1" si="37"/>
        <v>—</v>
      </c>
      <c r="E794" s="25">
        <f t="shared" ca="1" si="38"/>
        <v>7</v>
      </c>
    </row>
    <row r="795" spans="1:5" x14ac:dyDescent="0.25">
      <c r="A795" s="8">
        <f t="shared" si="36"/>
        <v>73</v>
      </c>
      <c r="B795" t="str">
        <f ca="1">TEXT(DATE(YEAR(Invoer!$A$5),1,1)+INT((ROWS(B$2:B795)-1)/3),"jjjjmmdd")</f>
        <v>19460922</v>
      </c>
      <c r="C795" s="20" t="str">
        <f>INDEX(Data,2,2+MOD(ROWS(C$2:C795)-1,3))</f>
        <v>12.00</v>
      </c>
      <c r="D795" s="14" t="str">
        <f t="shared" ca="1" si="37"/>
        <v>—</v>
      </c>
      <c r="E795" s="25">
        <f t="shared" ca="1" si="38"/>
        <v>7</v>
      </c>
    </row>
    <row r="796" spans="1:5" x14ac:dyDescent="0.25">
      <c r="A796" s="8">
        <f t="shared" si="36"/>
        <v>73</v>
      </c>
      <c r="B796" t="str">
        <f ca="1">TEXT(DATE(YEAR(Invoer!$A$5),1,1)+INT((ROWS(B$2:B796)-1)/3),"jjjjmmdd")</f>
        <v>19460922</v>
      </c>
      <c r="C796" s="20" t="str">
        <f>INDEX(Data,2,2+MOD(ROWS(C$2:C796)-1,3))</f>
        <v>16.00</v>
      </c>
      <c r="D796" s="14" t="str">
        <f t="shared" ca="1" si="37"/>
        <v>—</v>
      </c>
      <c r="E796" s="25">
        <f t="shared" ca="1" si="38"/>
        <v>7</v>
      </c>
    </row>
    <row r="797" spans="1:5" x14ac:dyDescent="0.25">
      <c r="A797" s="8">
        <f t="shared" si="36"/>
        <v>73</v>
      </c>
      <c r="B797" t="str">
        <f ca="1">TEXT(DATE(YEAR(Invoer!$A$5),1,1)+INT((ROWS(B$2:B797)-1)/3),"jjjjmmdd")</f>
        <v>19460923</v>
      </c>
      <c r="C797" s="20" t="str">
        <f>INDEX(Data,2,2+MOD(ROWS(C$2:C797)-1,3))</f>
        <v>08.00</v>
      </c>
      <c r="D797" s="14" t="str">
        <f t="shared" ca="1" si="37"/>
        <v>—</v>
      </c>
      <c r="E797" s="25">
        <f t="shared" ca="1" si="38"/>
        <v>7</v>
      </c>
    </row>
    <row r="798" spans="1:5" x14ac:dyDescent="0.25">
      <c r="A798" s="8">
        <f t="shared" si="36"/>
        <v>73</v>
      </c>
      <c r="B798" t="str">
        <f ca="1">TEXT(DATE(YEAR(Invoer!$A$5),1,1)+INT((ROWS(B$2:B798)-1)/3),"jjjjmmdd")</f>
        <v>19460923</v>
      </c>
      <c r="C798" s="20" t="str">
        <f>INDEX(Data,2,2+MOD(ROWS(C$2:C798)-1,3))</f>
        <v>12.00</v>
      </c>
      <c r="D798" s="14" t="str">
        <f t="shared" ca="1" si="37"/>
        <v>—</v>
      </c>
      <c r="E798" s="25">
        <f t="shared" ca="1" si="38"/>
        <v>7</v>
      </c>
    </row>
    <row r="799" spans="1:5" x14ac:dyDescent="0.25">
      <c r="A799" s="8">
        <f t="shared" si="36"/>
        <v>73</v>
      </c>
      <c r="B799" t="str">
        <f ca="1">TEXT(DATE(YEAR(Invoer!$A$5),1,1)+INT((ROWS(B$2:B799)-1)/3),"jjjjmmdd")</f>
        <v>19460923</v>
      </c>
      <c r="C799" s="20" t="str">
        <f>INDEX(Data,2,2+MOD(ROWS(C$2:C799)-1,3))</f>
        <v>16.00</v>
      </c>
      <c r="D799" s="14" t="str">
        <f t="shared" ca="1" si="37"/>
        <v>—</v>
      </c>
      <c r="E799" s="25">
        <f t="shared" ca="1" si="38"/>
        <v>7</v>
      </c>
    </row>
    <row r="800" spans="1:5" x14ac:dyDescent="0.25">
      <c r="A800" s="8">
        <f t="shared" si="36"/>
        <v>73</v>
      </c>
      <c r="B800" t="str">
        <f ca="1">TEXT(DATE(YEAR(Invoer!$A$5),1,1)+INT((ROWS(B$2:B800)-1)/3),"jjjjmmdd")</f>
        <v>19460924</v>
      </c>
      <c r="C800" s="20" t="str">
        <f>INDEX(Data,2,2+MOD(ROWS(C$2:C800)-1,3))</f>
        <v>08.00</v>
      </c>
      <c r="D800" s="14" t="str">
        <f t="shared" ca="1" si="37"/>
        <v>—</v>
      </c>
      <c r="E800" s="25">
        <f t="shared" ca="1" si="38"/>
        <v>7</v>
      </c>
    </row>
    <row r="801" spans="1:5" x14ac:dyDescent="0.25">
      <c r="A801" s="8">
        <f t="shared" si="36"/>
        <v>73</v>
      </c>
      <c r="B801" t="str">
        <f ca="1">TEXT(DATE(YEAR(Invoer!$A$5),1,1)+INT((ROWS(B$2:B801)-1)/3),"jjjjmmdd")</f>
        <v>19460924</v>
      </c>
      <c r="C801" s="20" t="str">
        <f>INDEX(Data,2,2+MOD(ROWS(C$2:C801)-1,3))</f>
        <v>12.00</v>
      </c>
      <c r="D801" s="14" t="str">
        <f t="shared" ca="1" si="37"/>
        <v>—</v>
      </c>
      <c r="E801" s="25">
        <f t="shared" ca="1" si="38"/>
        <v>7</v>
      </c>
    </row>
    <row r="802" spans="1:5" x14ac:dyDescent="0.25">
      <c r="A802" s="8">
        <f t="shared" si="36"/>
        <v>73</v>
      </c>
      <c r="B802" t="str">
        <f ca="1">TEXT(DATE(YEAR(Invoer!$A$5),1,1)+INT((ROWS(B$2:B802)-1)/3),"jjjjmmdd")</f>
        <v>19460924</v>
      </c>
      <c r="C802" s="20" t="str">
        <f>INDEX(Data,2,2+MOD(ROWS(C$2:C802)-1,3))</f>
        <v>16.00</v>
      </c>
      <c r="D802" s="14" t="str">
        <f t="shared" ca="1" si="37"/>
        <v>—</v>
      </c>
      <c r="E802" s="25">
        <f t="shared" ca="1" si="38"/>
        <v>7</v>
      </c>
    </row>
    <row r="803" spans="1:5" x14ac:dyDescent="0.25">
      <c r="A803" s="8">
        <f t="shared" si="36"/>
        <v>73</v>
      </c>
      <c r="B803" t="str">
        <f ca="1">TEXT(DATE(YEAR(Invoer!$A$5),1,1)+INT((ROWS(B$2:B803)-1)/3),"jjjjmmdd")</f>
        <v>19460925</v>
      </c>
      <c r="C803" s="20" t="str">
        <f>INDEX(Data,2,2+MOD(ROWS(C$2:C803)-1,3))</f>
        <v>08.00</v>
      </c>
      <c r="D803" s="14" t="str">
        <f t="shared" ca="1" si="37"/>
        <v>—</v>
      </c>
      <c r="E803" s="25">
        <f t="shared" ca="1" si="38"/>
        <v>7</v>
      </c>
    </row>
    <row r="804" spans="1:5" x14ac:dyDescent="0.25">
      <c r="A804" s="8">
        <f t="shared" si="36"/>
        <v>73</v>
      </c>
      <c r="B804" t="str">
        <f ca="1">TEXT(DATE(YEAR(Invoer!$A$5),1,1)+INT((ROWS(B$2:B804)-1)/3),"jjjjmmdd")</f>
        <v>19460925</v>
      </c>
      <c r="C804" s="20" t="str">
        <f>INDEX(Data,2,2+MOD(ROWS(C$2:C804)-1,3))</f>
        <v>12.00</v>
      </c>
      <c r="D804" s="14" t="str">
        <f t="shared" ca="1" si="37"/>
        <v>—</v>
      </c>
      <c r="E804" s="25">
        <f t="shared" ca="1" si="38"/>
        <v>7</v>
      </c>
    </row>
    <row r="805" spans="1:5" x14ac:dyDescent="0.25">
      <c r="A805" s="8">
        <f t="shared" si="36"/>
        <v>73</v>
      </c>
      <c r="B805" t="str">
        <f ca="1">TEXT(DATE(YEAR(Invoer!$A$5),1,1)+INT((ROWS(B$2:B805)-1)/3),"jjjjmmdd")</f>
        <v>19460925</v>
      </c>
      <c r="C805" s="20" t="str">
        <f>INDEX(Data,2,2+MOD(ROWS(C$2:C805)-1,3))</f>
        <v>16.00</v>
      </c>
      <c r="D805" s="14" t="str">
        <f t="shared" ca="1" si="37"/>
        <v>—</v>
      </c>
      <c r="E805" s="25">
        <f t="shared" ca="1" si="38"/>
        <v>7</v>
      </c>
    </row>
    <row r="806" spans="1:5" x14ac:dyDescent="0.25">
      <c r="A806" s="8">
        <f t="shared" si="36"/>
        <v>73</v>
      </c>
      <c r="B806" t="str">
        <f ca="1">TEXT(DATE(YEAR(Invoer!$A$5),1,1)+INT((ROWS(B$2:B806)-1)/3),"jjjjmmdd")</f>
        <v>19460926</v>
      </c>
      <c r="C806" s="20" t="str">
        <f>INDEX(Data,2,2+MOD(ROWS(C$2:C806)-1,3))</f>
        <v>08.00</v>
      </c>
      <c r="D806" s="14" t="str">
        <f t="shared" ca="1" si="37"/>
        <v>—</v>
      </c>
      <c r="E806" s="25">
        <f t="shared" ca="1" si="38"/>
        <v>7</v>
      </c>
    </row>
    <row r="807" spans="1:5" x14ac:dyDescent="0.25">
      <c r="A807" s="8">
        <f t="shared" si="36"/>
        <v>73</v>
      </c>
      <c r="B807" t="str">
        <f ca="1">TEXT(DATE(YEAR(Invoer!$A$5),1,1)+INT((ROWS(B$2:B807)-1)/3),"jjjjmmdd")</f>
        <v>19460926</v>
      </c>
      <c r="C807" s="20" t="str">
        <f>INDEX(Data,2,2+MOD(ROWS(C$2:C807)-1,3))</f>
        <v>12.00</v>
      </c>
      <c r="D807" s="14" t="str">
        <f t="shared" ca="1" si="37"/>
        <v>—</v>
      </c>
      <c r="E807" s="25">
        <f t="shared" ca="1" si="38"/>
        <v>7</v>
      </c>
    </row>
    <row r="808" spans="1:5" x14ac:dyDescent="0.25">
      <c r="A808" s="8">
        <f t="shared" si="36"/>
        <v>73</v>
      </c>
      <c r="B808" t="str">
        <f ca="1">TEXT(DATE(YEAR(Invoer!$A$5),1,1)+INT((ROWS(B$2:B808)-1)/3),"jjjjmmdd")</f>
        <v>19460926</v>
      </c>
      <c r="C808" s="20" t="str">
        <f>INDEX(Data,2,2+MOD(ROWS(C$2:C808)-1,3))</f>
        <v>16.00</v>
      </c>
      <c r="D808" s="14" t="str">
        <f t="shared" ca="1" si="37"/>
        <v>—</v>
      </c>
      <c r="E808" s="25">
        <f t="shared" ca="1" si="38"/>
        <v>7</v>
      </c>
    </row>
    <row r="809" spans="1:5" x14ac:dyDescent="0.25">
      <c r="A809" s="8">
        <f t="shared" si="36"/>
        <v>73</v>
      </c>
      <c r="B809" t="str">
        <f ca="1">TEXT(DATE(YEAR(Invoer!$A$5),1,1)+INT((ROWS(B$2:B809)-1)/3),"jjjjmmdd")</f>
        <v>19460927</v>
      </c>
      <c r="C809" s="20" t="str">
        <f>INDEX(Data,2,2+MOD(ROWS(C$2:C809)-1,3))</f>
        <v>08.00</v>
      </c>
      <c r="D809" s="14" t="str">
        <f t="shared" ca="1" si="37"/>
        <v>—</v>
      </c>
      <c r="E809" s="25">
        <f t="shared" ca="1" si="38"/>
        <v>7</v>
      </c>
    </row>
    <row r="810" spans="1:5" x14ac:dyDescent="0.25">
      <c r="A810" s="8">
        <f t="shared" si="36"/>
        <v>73</v>
      </c>
      <c r="B810" t="str">
        <f ca="1">TEXT(DATE(YEAR(Invoer!$A$5),1,1)+INT((ROWS(B$2:B810)-1)/3),"jjjjmmdd")</f>
        <v>19460927</v>
      </c>
      <c r="C810" s="20" t="str">
        <f>INDEX(Data,2,2+MOD(ROWS(C$2:C810)-1,3))</f>
        <v>12.00</v>
      </c>
      <c r="D810" s="14" t="str">
        <f t="shared" ca="1" si="37"/>
        <v>—</v>
      </c>
      <c r="E810" s="25">
        <f t="shared" ca="1" si="38"/>
        <v>7</v>
      </c>
    </row>
    <row r="811" spans="1:5" x14ac:dyDescent="0.25">
      <c r="A811" s="8">
        <f t="shared" si="36"/>
        <v>73</v>
      </c>
      <c r="B811" t="str">
        <f ca="1">TEXT(DATE(YEAR(Invoer!$A$5),1,1)+INT((ROWS(B$2:B811)-1)/3),"jjjjmmdd")</f>
        <v>19460927</v>
      </c>
      <c r="C811" s="20" t="str">
        <f>INDEX(Data,2,2+MOD(ROWS(C$2:C811)-1,3))</f>
        <v>16.00</v>
      </c>
      <c r="D811" s="14" t="str">
        <f t="shared" ca="1" si="37"/>
        <v>—</v>
      </c>
      <c r="E811" s="25">
        <f t="shared" ca="1" si="38"/>
        <v>7</v>
      </c>
    </row>
    <row r="812" spans="1:5" x14ac:dyDescent="0.25">
      <c r="A812" s="8">
        <f t="shared" si="36"/>
        <v>73</v>
      </c>
      <c r="B812" t="str">
        <f ca="1">TEXT(DATE(YEAR(Invoer!$A$5),1,1)+INT((ROWS(B$2:B812)-1)/3),"jjjjmmdd")</f>
        <v>19460928</v>
      </c>
      <c r="C812" s="20" t="str">
        <f>INDEX(Data,2,2+MOD(ROWS(C$2:C812)-1,3))</f>
        <v>08.00</v>
      </c>
      <c r="D812" s="14" t="str">
        <f t="shared" ca="1" si="37"/>
        <v>—</v>
      </c>
      <c r="E812" s="25">
        <f t="shared" ca="1" si="38"/>
        <v>7</v>
      </c>
    </row>
    <row r="813" spans="1:5" x14ac:dyDescent="0.25">
      <c r="A813" s="8">
        <f t="shared" si="36"/>
        <v>73</v>
      </c>
      <c r="B813" t="str">
        <f ca="1">TEXT(DATE(YEAR(Invoer!$A$5),1,1)+INT((ROWS(B$2:B813)-1)/3),"jjjjmmdd")</f>
        <v>19460928</v>
      </c>
      <c r="C813" s="20" t="str">
        <f>INDEX(Data,2,2+MOD(ROWS(C$2:C813)-1,3))</f>
        <v>12.00</v>
      </c>
      <c r="D813" s="14" t="str">
        <f t="shared" ca="1" si="37"/>
        <v>—</v>
      </c>
      <c r="E813" s="25">
        <f t="shared" ca="1" si="38"/>
        <v>7</v>
      </c>
    </row>
    <row r="814" spans="1:5" x14ac:dyDescent="0.25">
      <c r="A814" s="8">
        <f t="shared" si="36"/>
        <v>73</v>
      </c>
      <c r="B814" t="str">
        <f ca="1">TEXT(DATE(YEAR(Invoer!$A$5),1,1)+INT((ROWS(B$2:B814)-1)/3),"jjjjmmdd")</f>
        <v>19460928</v>
      </c>
      <c r="C814" s="20" t="str">
        <f>INDEX(Data,2,2+MOD(ROWS(C$2:C814)-1,3))</f>
        <v>16.00</v>
      </c>
      <c r="D814" s="14" t="str">
        <f t="shared" ca="1" si="37"/>
        <v>—</v>
      </c>
      <c r="E814" s="25">
        <f t="shared" ca="1" si="38"/>
        <v>7</v>
      </c>
    </row>
    <row r="815" spans="1:5" x14ac:dyDescent="0.25">
      <c r="A815" s="8">
        <f t="shared" si="36"/>
        <v>73</v>
      </c>
      <c r="B815" t="str">
        <f ca="1">TEXT(DATE(YEAR(Invoer!$A$5),1,1)+INT((ROWS(B$2:B815)-1)/3),"jjjjmmdd")</f>
        <v>19460929</v>
      </c>
      <c r="C815" s="20" t="str">
        <f>INDEX(Data,2,2+MOD(ROWS(C$2:C815)-1,3))</f>
        <v>08.00</v>
      </c>
      <c r="D815" s="14" t="str">
        <f t="shared" ca="1" si="37"/>
        <v>—</v>
      </c>
      <c r="E815" s="25">
        <f t="shared" ca="1" si="38"/>
        <v>7</v>
      </c>
    </row>
    <row r="816" spans="1:5" x14ac:dyDescent="0.25">
      <c r="A816" s="8">
        <f t="shared" si="36"/>
        <v>73</v>
      </c>
      <c r="B816" t="str">
        <f ca="1">TEXT(DATE(YEAR(Invoer!$A$5),1,1)+INT((ROWS(B$2:B816)-1)/3),"jjjjmmdd")</f>
        <v>19460929</v>
      </c>
      <c r="C816" s="20" t="str">
        <f>INDEX(Data,2,2+MOD(ROWS(C$2:C816)-1,3))</f>
        <v>12.00</v>
      </c>
      <c r="D816" s="14" t="str">
        <f t="shared" ca="1" si="37"/>
        <v>—</v>
      </c>
      <c r="E816" s="25">
        <f t="shared" ca="1" si="38"/>
        <v>7</v>
      </c>
    </row>
    <row r="817" spans="1:5" x14ac:dyDescent="0.25">
      <c r="A817" s="8">
        <f t="shared" si="36"/>
        <v>73</v>
      </c>
      <c r="B817" t="str">
        <f ca="1">TEXT(DATE(YEAR(Invoer!$A$5),1,1)+INT((ROWS(B$2:B817)-1)/3),"jjjjmmdd")</f>
        <v>19460929</v>
      </c>
      <c r="C817" s="20" t="str">
        <f>INDEX(Data,2,2+MOD(ROWS(C$2:C817)-1,3))</f>
        <v>16.00</v>
      </c>
      <c r="D817" s="14" t="str">
        <f t="shared" ca="1" si="37"/>
        <v>—</v>
      </c>
      <c r="E817" s="25">
        <f t="shared" ca="1" si="38"/>
        <v>7</v>
      </c>
    </row>
    <row r="818" spans="1:5" x14ac:dyDescent="0.25">
      <c r="A818" s="8">
        <f t="shared" si="36"/>
        <v>73</v>
      </c>
      <c r="B818" t="str">
        <f ca="1">TEXT(DATE(YEAR(Invoer!$A$5),1,1)+INT((ROWS(B$2:B818)-1)/3),"jjjjmmdd")</f>
        <v>19460930</v>
      </c>
      <c r="C818" s="20" t="str">
        <f>INDEX(Data,2,2+MOD(ROWS(C$2:C818)-1,3))</f>
        <v>08.00</v>
      </c>
      <c r="D818" s="14" t="str">
        <f t="shared" ca="1" si="37"/>
        <v>—</v>
      </c>
      <c r="E818" s="25">
        <f t="shared" ca="1" si="38"/>
        <v>7</v>
      </c>
    </row>
    <row r="819" spans="1:5" x14ac:dyDescent="0.25">
      <c r="A819" s="8">
        <f t="shared" si="36"/>
        <v>73</v>
      </c>
      <c r="B819" t="str">
        <f ca="1">TEXT(DATE(YEAR(Invoer!$A$5),1,1)+INT((ROWS(B$2:B819)-1)/3),"jjjjmmdd")</f>
        <v>19460930</v>
      </c>
      <c r="C819" s="20" t="str">
        <f>INDEX(Data,2,2+MOD(ROWS(C$2:C819)-1,3))</f>
        <v>12.00</v>
      </c>
      <c r="D819" s="14" t="str">
        <f t="shared" ca="1" si="37"/>
        <v>—</v>
      </c>
      <c r="E819" s="25">
        <f t="shared" ca="1" si="38"/>
        <v>7</v>
      </c>
    </row>
    <row r="820" spans="1:5" x14ac:dyDescent="0.25">
      <c r="A820" s="8">
        <f t="shared" si="36"/>
        <v>73</v>
      </c>
      <c r="B820" t="str">
        <f ca="1">TEXT(DATE(YEAR(Invoer!$A$5),1,1)+INT((ROWS(B$2:B820)-1)/3),"jjjjmmdd")</f>
        <v>19460930</v>
      </c>
      <c r="C820" s="20" t="str">
        <f>INDEX(Data,2,2+MOD(ROWS(C$2:C820)-1,3))</f>
        <v>16.00</v>
      </c>
      <c r="D820" s="14" t="str">
        <f t="shared" ca="1" si="37"/>
        <v>—</v>
      </c>
      <c r="E820" s="25">
        <f t="shared" ca="1" si="38"/>
        <v>7</v>
      </c>
    </row>
    <row r="821" spans="1:5" x14ac:dyDescent="0.25">
      <c r="A821" s="8">
        <f t="shared" si="36"/>
        <v>73</v>
      </c>
      <c r="B821" t="str">
        <f ca="1">TEXT(DATE(YEAR(Invoer!$A$5),1,1)+INT((ROWS(B$2:B821)-1)/3),"jjjjmmdd")</f>
        <v>19461001</v>
      </c>
      <c r="C821" s="20" t="str">
        <f>INDEX(Data,2,2+MOD(ROWS(C$2:C821)-1,3))</f>
        <v>08.00</v>
      </c>
      <c r="D821" s="14" t="str">
        <f t="shared" ca="1" si="37"/>
        <v>—</v>
      </c>
      <c r="E821" s="25">
        <f t="shared" ca="1" si="38"/>
        <v>7</v>
      </c>
    </row>
    <row r="822" spans="1:5" x14ac:dyDescent="0.25">
      <c r="A822" s="8">
        <f t="shared" si="36"/>
        <v>73</v>
      </c>
      <c r="B822" t="str">
        <f ca="1">TEXT(DATE(YEAR(Invoer!$A$5),1,1)+INT((ROWS(B$2:B822)-1)/3),"jjjjmmdd")</f>
        <v>19461001</v>
      </c>
      <c r="C822" s="20" t="str">
        <f>INDEX(Data,2,2+MOD(ROWS(C$2:C822)-1,3))</f>
        <v>12.00</v>
      </c>
      <c r="D822" s="14" t="str">
        <f t="shared" ca="1" si="37"/>
        <v>—</v>
      </c>
      <c r="E822" s="25">
        <f t="shared" ca="1" si="38"/>
        <v>7</v>
      </c>
    </row>
    <row r="823" spans="1:5" x14ac:dyDescent="0.25">
      <c r="A823" s="8">
        <f t="shared" si="36"/>
        <v>73</v>
      </c>
      <c r="B823" t="str">
        <f ca="1">TEXT(DATE(YEAR(Invoer!$A$5),1,1)+INT((ROWS(B$2:B823)-1)/3),"jjjjmmdd")</f>
        <v>19461001</v>
      </c>
      <c r="C823" s="20" t="str">
        <f>INDEX(Data,2,2+MOD(ROWS(C$2:C823)-1,3))</f>
        <v>16.00</v>
      </c>
      <c r="D823" s="14" t="str">
        <f t="shared" ca="1" si="37"/>
        <v>—</v>
      </c>
      <c r="E823" s="25">
        <f t="shared" ca="1" si="38"/>
        <v>7</v>
      </c>
    </row>
    <row r="824" spans="1:5" x14ac:dyDescent="0.25">
      <c r="A824" s="8">
        <f t="shared" si="36"/>
        <v>73</v>
      </c>
      <c r="B824" t="str">
        <f ca="1">TEXT(DATE(YEAR(Invoer!$A$5),1,1)+INT((ROWS(B$2:B824)-1)/3),"jjjjmmdd")</f>
        <v>19461002</v>
      </c>
      <c r="C824" s="20" t="str">
        <f>INDEX(Data,2,2+MOD(ROWS(C$2:C824)-1,3))</f>
        <v>08.00</v>
      </c>
      <c r="D824" s="14" t="str">
        <f t="shared" ca="1" si="37"/>
        <v>—</v>
      </c>
      <c r="E824" s="25">
        <f t="shared" ca="1" si="38"/>
        <v>7</v>
      </c>
    </row>
    <row r="825" spans="1:5" x14ac:dyDescent="0.25">
      <c r="A825" s="8">
        <f t="shared" si="36"/>
        <v>73</v>
      </c>
      <c r="B825" t="str">
        <f ca="1">TEXT(DATE(YEAR(Invoer!$A$5),1,1)+INT((ROWS(B$2:B825)-1)/3),"jjjjmmdd")</f>
        <v>19461002</v>
      </c>
      <c r="C825" s="20" t="str">
        <f>INDEX(Data,2,2+MOD(ROWS(C$2:C825)-1,3))</f>
        <v>12.00</v>
      </c>
      <c r="D825" s="14" t="str">
        <f t="shared" ca="1" si="37"/>
        <v>—</v>
      </c>
      <c r="E825" s="25">
        <f t="shared" ca="1" si="38"/>
        <v>7</v>
      </c>
    </row>
    <row r="826" spans="1:5" x14ac:dyDescent="0.25">
      <c r="A826" s="8">
        <f t="shared" si="36"/>
        <v>73</v>
      </c>
      <c r="B826" t="str">
        <f ca="1">TEXT(DATE(YEAR(Invoer!$A$5),1,1)+INT((ROWS(B$2:B826)-1)/3),"jjjjmmdd")</f>
        <v>19461002</v>
      </c>
      <c r="C826" s="20" t="str">
        <f>INDEX(Data,2,2+MOD(ROWS(C$2:C826)-1,3))</f>
        <v>16.00</v>
      </c>
      <c r="D826" s="14" t="str">
        <f t="shared" ca="1" si="37"/>
        <v>—</v>
      </c>
      <c r="E826" s="25">
        <f t="shared" ca="1" si="38"/>
        <v>7</v>
      </c>
    </row>
    <row r="827" spans="1:5" x14ac:dyDescent="0.25">
      <c r="A827" s="8">
        <f t="shared" si="36"/>
        <v>73</v>
      </c>
      <c r="B827" t="str">
        <f ca="1">TEXT(DATE(YEAR(Invoer!$A$5),1,1)+INT((ROWS(B$2:B827)-1)/3),"jjjjmmdd")</f>
        <v>19461003</v>
      </c>
      <c r="C827" s="20" t="str">
        <f>INDEX(Data,2,2+MOD(ROWS(C$2:C827)-1,3))</f>
        <v>08.00</v>
      </c>
      <c r="D827" s="14" t="str">
        <f t="shared" ca="1" si="37"/>
        <v>—</v>
      </c>
      <c r="E827" s="25">
        <f t="shared" ca="1" si="38"/>
        <v>7</v>
      </c>
    </row>
    <row r="828" spans="1:5" x14ac:dyDescent="0.25">
      <c r="A828" s="8">
        <f t="shared" si="36"/>
        <v>73</v>
      </c>
      <c r="B828" t="str">
        <f ca="1">TEXT(DATE(YEAR(Invoer!$A$5),1,1)+INT((ROWS(B$2:B828)-1)/3),"jjjjmmdd")</f>
        <v>19461003</v>
      </c>
      <c r="C828" s="20" t="str">
        <f>INDEX(Data,2,2+MOD(ROWS(C$2:C828)-1,3))</f>
        <v>12.00</v>
      </c>
      <c r="D828" s="14" t="str">
        <f t="shared" ca="1" si="37"/>
        <v>—</v>
      </c>
      <c r="E828" s="25">
        <f t="shared" ca="1" si="38"/>
        <v>7</v>
      </c>
    </row>
    <row r="829" spans="1:5" x14ac:dyDescent="0.25">
      <c r="A829" s="8">
        <f t="shared" si="36"/>
        <v>73</v>
      </c>
      <c r="B829" t="str">
        <f ca="1">TEXT(DATE(YEAR(Invoer!$A$5),1,1)+INT((ROWS(B$2:B829)-1)/3),"jjjjmmdd")</f>
        <v>19461003</v>
      </c>
      <c r="C829" s="20" t="str">
        <f>INDEX(Data,2,2+MOD(ROWS(C$2:C829)-1,3))</f>
        <v>16.00</v>
      </c>
      <c r="D829" s="14" t="str">
        <f t="shared" ca="1" si="37"/>
        <v>—</v>
      </c>
      <c r="E829" s="25">
        <f t="shared" ca="1" si="38"/>
        <v>7</v>
      </c>
    </row>
    <row r="830" spans="1:5" x14ac:dyDescent="0.25">
      <c r="A830" s="8">
        <f t="shared" si="36"/>
        <v>73</v>
      </c>
      <c r="B830" t="str">
        <f ca="1">TEXT(DATE(YEAR(Invoer!$A$5),1,1)+INT((ROWS(B$2:B830)-1)/3),"jjjjmmdd")</f>
        <v>19461004</v>
      </c>
      <c r="C830" s="20" t="str">
        <f>INDEX(Data,2,2+MOD(ROWS(C$2:C830)-1,3))</f>
        <v>08.00</v>
      </c>
      <c r="D830" s="14" t="str">
        <f t="shared" ca="1" si="37"/>
        <v>—</v>
      </c>
      <c r="E830" s="25">
        <f t="shared" ca="1" si="38"/>
        <v>7</v>
      </c>
    </row>
    <row r="831" spans="1:5" x14ac:dyDescent="0.25">
      <c r="A831" s="8">
        <f t="shared" si="36"/>
        <v>73</v>
      </c>
      <c r="B831" t="str">
        <f ca="1">TEXT(DATE(YEAR(Invoer!$A$5),1,1)+INT((ROWS(B$2:B831)-1)/3),"jjjjmmdd")</f>
        <v>19461004</v>
      </c>
      <c r="C831" s="20" t="str">
        <f>INDEX(Data,2,2+MOD(ROWS(C$2:C831)-1,3))</f>
        <v>12.00</v>
      </c>
      <c r="D831" s="14" t="str">
        <f t="shared" ca="1" si="37"/>
        <v>—</v>
      </c>
      <c r="E831" s="25">
        <f t="shared" ca="1" si="38"/>
        <v>7</v>
      </c>
    </row>
    <row r="832" spans="1:5" x14ac:dyDescent="0.25">
      <c r="A832" s="8">
        <f t="shared" si="36"/>
        <v>73</v>
      </c>
      <c r="B832" t="str">
        <f ca="1">TEXT(DATE(YEAR(Invoer!$A$5),1,1)+INT((ROWS(B$2:B832)-1)/3),"jjjjmmdd")</f>
        <v>19461004</v>
      </c>
      <c r="C832" s="20" t="str">
        <f>INDEX(Data,2,2+MOD(ROWS(C$2:C832)-1,3))</f>
        <v>16.00</v>
      </c>
      <c r="D832" s="14" t="str">
        <f t="shared" ca="1" si="37"/>
        <v>—</v>
      </c>
      <c r="E832" s="25">
        <f t="shared" ca="1" si="38"/>
        <v>7</v>
      </c>
    </row>
    <row r="833" spans="1:5" x14ac:dyDescent="0.25">
      <c r="A833" s="8">
        <f t="shared" si="36"/>
        <v>73</v>
      </c>
      <c r="B833" t="str">
        <f ca="1">TEXT(DATE(YEAR(Invoer!$A$5),1,1)+INT((ROWS(B$2:B833)-1)/3),"jjjjmmdd")</f>
        <v>19461005</v>
      </c>
      <c r="C833" s="20" t="str">
        <f>INDEX(Data,2,2+MOD(ROWS(C$2:C833)-1,3))</f>
        <v>08.00</v>
      </c>
      <c r="D833" s="14" t="str">
        <f t="shared" ca="1" si="37"/>
        <v>—</v>
      </c>
      <c r="E833" s="25">
        <f t="shared" ca="1" si="38"/>
        <v>7</v>
      </c>
    </row>
    <row r="834" spans="1:5" x14ac:dyDescent="0.25">
      <c r="A834" s="8">
        <f t="shared" ref="A834:A897" si="39">INDEX(Stations,2,1)</f>
        <v>73</v>
      </c>
      <c r="B834" t="str">
        <f ca="1">TEXT(DATE(YEAR(Invoer!$A$5),1,1)+INT((ROWS(B$2:B834)-1)/3),"jjjjmmdd")</f>
        <v>19461005</v>
      </c>
      <c r="C834" s="20" t="str">
        <f>INDEX(Data,2,2+MOD(ROWS(C$2:C834)-1,3))</f>
        <v>12.00</v>
      </c>
      <c r="D834" s="14" t="str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25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</row>
    <row r="835" spans="1:5" x14ac:dyDescent="0.25">
      <c r="A835" s="8">
        <f t="shared" si="39"/>
        <v>73</v>
      </c>
      <c r="B835" t="str">
        <f ca="1">TEXT(DATE(YEAR(Invoer!$A$5),1,1)+INT((ROWS(B$2:B835)-1)/3),"jjjjmmdd")</f>
        <v>19461005</v>
      </c>
      <c r="C835" s="20" t="str">
        <f>INDEX(Data,2,2+MOD(ROWS(C$2:C835)-1,3))</f>
        <v>16.00</v>
      </c>
      <c r="D835" s="14" t="str">
        <f t="shared" ca="1" si="40"/>
        <v>—</v>
      </c>
      <c r="E835" s="25">
        <f t="shared" ca="1" si="41"/>
        <v>7</v>
      </c>
    </row>
    <row r="836" spans="1:5" x14ac:dyDescent="0.25">
      <c r="A836" s="8">
        <f t="shared" si="39"/>
        <v>73</v>
      </c>
      <c r="B836" t="str">
        <f ca="1">TEXT(DATE(YEAR(Invoer!$A$5),1,1)+INT((ROWS(B$2:B836)-1)/3),"jjjjmmdd")</f>
        <v>19461006</v>
      </c>
      <c r="C836" s="20" t="str">
        <f>INDEX(Data,2,2+MOD(ROWS(C$2:C836)-1,3))</f>
        <v>08.00</v>
      </c>
      <c r="D836" s="14" t="str">
        <f t="shared" ca="1" si="40"/>
        <v>—</v>
      </c>
      <c r="E836" s="25">
        <f t="shared" ca="1" si="41"/>
        <v>7</v>
      </c>
    </row>
    <row r="837" spans="1:5" x14ac:dyDescent="0.25">
      <c r="A837" s="8">
        <f t="shared" si="39"/>
        <v>73</v>
      </c>
      <c r="B837" t="str">
        <f ca="1">TEXT(DATE(YEAR(Invoer!$A$5),1,1)+INT((ROWS(B$2:B837)-1)/3),"jjjjmmdd")</f>
        <v>19461006</v>
      </c>
      <c r="C837" s="20" t="str">
        <f>INDEX(Data,2,2+MOD(ROWS(C$2:C837)-1,3))</f>
        <v>12.00</v>
      </c>
      <c r="D837" s="14" t="str">
        <f t="shared" ca="1" si="40"/>
        <v>—</v>
      </c>
      <c r="E837" s="25">
        <f t="shared" ca="1" si="41"/>
        <v>7</v>
      </c>
    </row>
    <row r="838" spans="1:5" x14ac:dyDescent="0.25">
      <c r="A838" s="8">
        <f t="shared" si="39"/>
        <v>73</v>
      </c>
      <c r="B838" t="str">
        <f ca="1">TEXT(DATE(YEAR(Invoer!$A$5),1,1)+INT((ROWS(B$2:B838)-1)/3),"jjjjmmdd")</f>
        <v>19461006</v>
      </c>
      <c r="C838" s="20" t="str">
        <f>INDEX(Data,2,2+MOD(ROWS(C$2:C838)-1,3))</f>
        <v>16.00</v>
      </c>
      <c r="D838" s="14" t="str">
        <f t="shared" ca="1" si="40"/>
        <v>—</v>
      </c>
      <c r="E838" s="25">
        <f t="shared" ca="1" si="41"/>
        <v>7</v>
      </c>
    </row>
    <row r="839" spans="1:5" x14ac:dyDescent="0.25">
      <c r="A839" s="8">
        <f t="shared" si="39"/>
        <v>73</v>
      </c>
      <c r="B839" t="str">
        <f ca="1">TEXT(DATE(YEAR(Invoer!$A$5),1,1)+INT((ROWS(B$2:B839)-1)/3),"jjjjmmdd")</f>
        <v>19461007</v>
      </c>
      <c r="C839" s="20" t="str">
        <f>INDEX(Data,2,2+MOD(ROWS(C$2:C839)-1,3))</f>
        <v>08.00</v>
      </c>
      <c r="D839" s="14" t="str">
        <f t="shared" ca="1" si="40"/>
        <v>—</v>
      </c>
      <c r="E839" s="25">
        <f t="shared" ca="1" si="41"/>
        <v>7</v>
      </c>
    </row>
    <row r="840" spans="1:5" x14ac:dyDescent="0.25">
      <c r="A840" s="8">
        <f t="shared" si="39"/>
        <v>73</v>
      </c>
      <c r="B840" t="str">
        <f ca="1">TEXT(DATE(YEAR(Invoer!$A$5),1,1)+INT((ROWS(B$2:B840)-1)/3),"jjjjmmdd")</f>
        <v>19461007</v>
      </c>
      <c r="C840" s="20" t="str">
        <f>INDEX(Data,2,2+MOD(ROWS(C$2:C840)-1,3))</f>
        <v>12.00</v>
      </c>
      <c r="D840" s="14" t="str">
        <f t="shared" ca="1" si="40"/>
        <v>—</v>
      </c>
      <c r="E840" s="25">
        <f t="shared" ca="1" si="41"/>
        <v>7</v>
      </c>
    </row>
    <row r="841" spans="1:5" x14ac:dyDescent="0.25">
      <c r="A841" s="8">
        <f t="shared" si="39"/>
        <v>73</v>
      </c>
      <c r="B841" t="str">
        <f ca="1">TEXT(DATE(YEAR(Invoer!$A$5),1,1)+INT((ROWS(B$2:B841)-1)/3),"jjjjmmdd")</f>
        <v>19461007</v>
      </c>
      <c r="C841" s="20" t="str">
        <f>INDEX(Data,2,2+MOD(ROWS(C$2:C841)-1,3))</f>
        <v>16.00</v>
      </c>
      <c r="D841" s="14" t="str">
        <f t="shared" ca="1" si="40"/>
        <v>—</v>
      </c>
      <c r="E841" s="25">
        <f t="shared" ca="1" si="41"/>
        <v>7</v>
      </c>
    </row>
    <row r="842" spans="1:5" x14ac:dyDescent="0.25">
      <c r="A842" s="8">
        <f t="shared" si="39"/>
        <v>73</v>
      </c>
      <c r="B842" t="str">
        <f ca="1">TEXT(DATE(YEAR(Invoer!$A$5),1,1)+INT((ROWS(B$2:B842)-1)/3),"jjjjmmdd")</f>
        <v>19461008</v>
      </c>
      <c r="C842" s="20" t="str">
        <f>INDEX(Data,2,2+MOD(ROWS(C$2:C842)-1,3))</f>
        <v>08.00</v>
      </c>
      <c r="D842" s="14" t="str">
        <f t="shared" ca="1" si="40"/>
        <v>—</v>
      </c>
      <c r="E842" s="25">
        <f t="shared" ca="1" si="41"/>
        <v>7</v>
      </c>
    </row>
    <row r="843" spans="1:5" x14ac:dyDescent="0.25">
      <c r="A843" s="8">
        <f t="shared" si="39"/>
        <v>73</v>
      </c>
      <c r="B843" t="str">
        <f ca="1">TEXT(DATE(YEAR(Invoer!$A$5),1,1)+INT((ROWS(B$2:B843)-1)/3),"jjjjmmdd")</f>
        <v>19461008</v>
      </c>
      <c r="C843" s="20" t="str">
        <f>INDEX(Data,2,2+MOD(ROWS(C$2:C843)-1,3))</f>
        <v>12.00</v>
      </c>
      <c r="D843" s="14" t="str">
        <f t="shared" ca="1" si="40"/>
        <v>—</v>
      </c>
      <c r="E843" s="25">
        <f t="shared" ca="1" si="41"/>
        <v>7</v>
      </c>
    </row>
    <row r="844" spans="1:5" x14ac:dyDescent="0.25">
      <c r="A844" s="8">
        <f t="shared" si="39"/>
        <v>73</v>
      </c>
      <c r="B844" t="str">
        <f ca="1">TEXT(DATE(YEAR(Invoer!$A$5),1,1)+INT((ROWS(B$2:B844)-1)/3),"jjjjmmdd")</f>
        <v>19461008</v>
      </c>
      <c r="C844" s="20" t="str">
        <f>INDEX(Data,2,2+MOD(ROWS(C$2:C844)-1,3))</f>
        <v>16.00</v>
      </c>
      <c r="D844" s="14" t="str">
        <f t="shared" ca="1" si="40"/>
        <v>—</v>
      </c>
      <c r="E844" s="25">
        <f t="shared" ca="1" si="41"/>
        <v>7</v>
      </c>
    </row>
    <row r="845" spans="1:5" x14ac:dyDescent="0.25">
      <c r="A845" s="8">
        <f t="shared" si="39"/>
        <v>73</v>
      </c>
      <c r="B845" t="str">
        <f ca="1">TEXT(DATE(YEAR(Invoer!$A$5),1,1)+INT((ROWS(B$2:B845)-1)/3),"jjjjmmdd")</f>
        <v>19461009</v>
      </c>
      <c r="C845" s="20" t="str">
        <f>INDEX(Data,2,2+MOD(ROWS(C$2:C845)-1,3))</f>
        <v>08.00</v>
      </c>
      <c r="D845" s="14" t="str">
        <f t="shared" ca="1" si="40"/>
        <v>—</v>
      </c>
      <c r="E845" s="25">
        <f t="shared" ca="1" si="41"/>
        <v>7</v>
      </c>
    </row>
    <row r="846" spans="1:5" x14ac:dyDescent="0.25">
      <c r="A846" s="8">
        <f t="shared" si="39"/>
        <v>73</v>
      </c>
      <c r="B846" t="str">
        <f ca="1">TEXT(DATE(YEAR(Invoer!$A$5),1,1)+INT((ROWS(B$2:B846)-1)/3),"jjjjmmdd")</f>
        <v>19461009</v>
      </c>
      <c r="C846" s="20" t="str">
        <f>INDEX(Data,2,2+MOD(ROWS(C$2:C846)-1,3))</f>
        <v>12.00</v>
      </c>
      <c r="D846" s="14" t="str">
        <f t="shared" ca="1" si="40"/>
        <v>—</v>
      </c>
      <c r="E846" s="25">
        <f t="shared" ca="1" si="41"/>
        <v>7</v>
      </c>
    </row>
    <row r="847" spans="1:5" x14ac:dyDescent="0.25">
      <c r="A847" s="8">
        <f t="shared" si="39"/>
        <v>73</v>
      </c>
      <c r="B847" t="str">
        <f ca="1">TEXT(DATE(YEAR(Invoer!$A$5),1,1)+INT((ROWS(B$2:B847)-1)/3),"jjjjmmdd")</f>
        <v>19461009</v>
      </c>
      <c r="C847" s="20" t="str">
        <f>INDEX(Data,2,2+MOD(ROWS(C$2:C847)-1,3))</f>
        <v>16.00</v>
      </c>
      <c r="D847" s="14" t="str">
        <f t="shared" ca="1" si="40"/>
        <v>—</v>
      </c>
      <c r="E847" s="25">
        <f t="shared" ca="1" si="41"/>
        <v>7</v>
      </c>
    </row>
    <row r="848" spans="1:5" x14ac:dyDescent="0.25">
      <c r="A848" s="8">
        <f t="shared" si="39"/>
        <v>73</v>
      </c>
      <c r="B848" t="str">
        <f ca="1">TEXT(DATE(YEAR(Invoer!$A$5),1,1)+INT((ROWS(B$2:B848)-1)/3),"jjjjmmdd")</f>
        <v>19461010</v>
      </c>
      <c r="C848" s="20" t="str">
        <f>INDEX(Data,2,2+MOD(ROWS(C$2:C848)-1,3))</f>
        <v>08.00</v>
      </c>
      <c r="D848" s="14" t="str">
        <f t="shared" ca="1" si="40"/>
        <v>—</v>
      </c>
      <c r="E848" s="25">
        <f t="shared" ca="1" si="41"/>
        <v>7</v>
      </c>
    </row>
    <row r="849" spans="1:5" x14ac:dyDescent="0.25">
      <c r="A849" s="8">
        <f t="shared" si="39"/>
        <v>73</v>
      </c>
      <c r="B849" t="str">
        <f ca="1">TEXT(DATE(YEAR(Invoer!$A$5),1,1)+INT((ROWS(B$2:B849)-1)/3),"jjjjmmdd")</f>
        <v>19461010</v>
      </c>
      <c r="C849" s="20" t="str">
        <f>INDEX(Data,2,2+MOD(ROWS(C$2:C849)-1,3))</f>
        <v>12.00</v>
      </c>
      <c r="D849" s="14" t="str">
        <f t="shared" ca="1" si="40"/>
        <v>—</v>
      </c>
      <c r="E849" s="25">
        <f t="shared" ca="1" si="41"/>
        <v>7</v>
      </c>
    </row>
    <row r="850" spans="1:5" x14ac:dyDescent="0.25">
      <c r="A850" s="8">
        <f t="shared" si="39"/>
        <v>73</v>
      </c>
      <c r="B850" t="str">
        <f ca="1">TEXT(DATE(YEAR(Invoer!$A$5),1,1)+INT((ROWS(B$2:B850)-1)/3),"jjjjmmdd")</f>
        <v>19461010</v>
      </c>
      <c r="C850" s="20" t="str">
        <f>INDEX(Data,2,2+MOD(ROWS(C$2:C850)-1,3))</f>
        <v>16.00</v>
      </c>
      <c r="D850" s="14" t="str">
        <f t="shared" ca="1" si="40"/>
        <v>—</v>
      </c>
      <c r="E850" s="25">
        <f t="shared" ca="1" si="41"/>
        <v>7</v>
      </c>
    </row>
    <row r="851" spans="1:5" x14ac:dyDescent="0.25">
      <c r="A851" s="8">
        <f t="shared" si="39"/>
        <v>73</v>
      </c>
      <c r="B851" t="str">
        <f ca="1">TEXT(DATE(YEAR(Invoer!$A$5),1,1)+INT((ROWS(B$2:B851)-1)/3),"jjjjmmdd")</f>
        <v>19461011</v>
      </c>
      <c r="C851" s="20" t="str">
        <f>INDEX(Data,2,2+MOD(ROWS(C$2:C851)-1,3))</f>
        <v>08.00</v>
      </c>
      <c r="D851" s="14" t="str">
        <f t="shared" ca="1" si="40"/>
        <v>—</v>
      </c>
      <c r="E851" s="25">
        <f t="shared" ca="1" si="41"/>
        <v>7</v>
      </c>
    </row>
    <row r="852" spans="1:5" x14ac:dyDescent="0.25">
      <c r="A852" s="8">
        <f t="shared" si="39"/>
        <v>73</v>
      </c>
      <c r="B852" t="str">
        <f ca="1">TEXT(DATE(YEAR(Invoer!$A$5),1,1)+INT((ROWS(B$2:B852)-1)/3),"jjjjmmdd")</f>
        <v>19461011</v>
      </c>
      <c r="C852" s="20" t="str">
        <f>INDEX(Data,2,2+MOD(ROWS(C$2:C852)-1,3))</f>
        <v>12.00</v>
      </c>
      <c r="D852" s="14" t="str">
        <f t="shared" ca="1" si="40"/>
        <v>—</v>
      </c>
      <c r="E852" s="25">
        <f t="shared" ca="1" si="41"/>
        <v>7</v>
      </c>
    </row>
    <row r="853" spans="1:5" x14ac:dyDescent="0.25">
      <c r="A853" s="8">
        <f t="shared" si="39"/>
        <v>73</v>
      </c>
      <c r="B853" t="str">
        <f ca="1">TEXT(DATE(YEAR(Invoer!$A$5),1,1)+INT((ROWS(B$2:B853)-1)/3),"jjjjmmdd")</f>
        <v>19461011</v>
      </c>
      <c r="C853" s="20" t="str">
        <f>INDEX(Data,2,2+MOD(ROWS(C$2:C853)-1,3))</f>
        <v>16.00</v>
      </c>
      <c r="D853" s="14" t="str">
        <f t="shared" ca="1" si="40"/>
        <v>—</v>
      </c>
      <c r="E853" s="25">
        <f t="shared" ca="1" si="41"/>
        <v>7</v>
      </c>
    </row>
    <row r="854" spans="1:5" x14ac:dyDescent="0.25">
      <c r="A854" s="8">
        <f t="shared" si="39"/>
        <v>73</v>
      </c>
      <c r="B854" t="str">
        <f ca="1">TEXT(DATE(YEAR(Invoer!$A$5),1,1)+INT((ROWS(B$2:B854)-1)/3),"jjjjmmdd")</f>
        <v>19461012</v>
      </c>
      <c r="C854" s="20" t="str">
        <f>INDEX(Data,2,2+MOD(ROWS(C$2:C854)-1,3))</f>
        <v>08.00</v>
      </c>
      <c r="D854" s="14" t="str">
        <f t="shared" ca="1" si="40"/>
        <v>—</v>
      </c>
      <c r="E854" s="25">
        <f t="shared" ca="1" si="41"/>
        <v>7</v>
      </c>
    </row>
    <row r="855" spans="1:5" x14ac:dyDescent="0.25">
      <c r="A855" s="8">
        <f t="shared" si="39"/>
        <v>73</v>
      </c>
      <c r="B855" t="str">
        <f ca="1">TEXT(DATE(YEAR(Invoer!$A$5),1,1)+INT((ROWS(B$2:B855)-1)/3),"jjjjmmdd")</f>
        <v>19461012</v>
      </c>
      <c r="C855" s="20" t="str">
        <f>INDEX(Data,2,2+MOD(ROWS(C$2:C855)-1,3))</f>
        <v>12.00</v>
      </c>
      <c r="D855" s="14" t="str">
        <f t="shared" ca="1" si="40"/>
        <v>—</v>
      </c>
      <c r="E855" s="25">
        <f t="shared" ca="1" si="41"/>
        <v>7</v>
      </c>
    </row>
    <row r="856" spans="1:5" x14ac:dyDescent="0.25">
      <c r="A856" s="8">
        <f t="shared" si="39"/>
        <v>73</v>
      </c>
      <c r="B856" t="str">
        <f ca="1">TEXT(DATE(YEAR(Invoer!$A$5),1,1)+INT((ROWS(B$2:B856)-1)/3),"jjjjmmdd")</f>
        <v>19461012</v>
      </c>
      <c r="C856" s="20" t="str">
        <f>INDEX(Data,2,2+MOD(ROWS(C$2:C856)-1,3))</f>
        <v>16.00</v>
      </c>
      <c r="D856" s="14" t="str">
        <f t="shared" ca="1" si="40"/>
        <v>—</v>
      </c>
      <c r="E856" s="25">
        <f t="shared" ca="1" si="41"/>
        <v>7</v>
      </c>
    </row>
    <row r="857" spans="1:5" x14ac:dyDescent="0.25">
      <c r="A857" s="8">
        <f t="shared" si="39"/>
        <v>73</v>
      </c>
      <c r="B857" t="str">
        <f ca="1">TEXT(DATE(YEAR(Invoer!$A$5),1,1)+INT((ROWS(B$2:B857)-1)/3),"jjjjmmdd")</f>
        <v>19461013</v>
      </c>
      <c r="C857" s="20" t="str">
        <f>INDEX(Data,2,2+MOD(ROWS(C$2:C857)-1,3))</f>
        <v>08.00</v>
      </c>
      <c r="D857" s="14" t="str">
        <f t="shared" ca="1" si="40"/>
        <v>—</v>
      </c>
      <c r="E857" s="25">
        <f t="shared" ca="1" si="41"/>
        <v>7</v>
      </c>
    </row>
    <row r="858" spans="1:5" x14ac:dyDescent="0.25">
      <c r="A858" s="8">
        <f t="shared" si="39"/>
        <v>73</v>
      </c>
      <c r="B858" t="str">
        <f ca="1">TEXT(DATE(YEAR(Invoer!$A$5),1,1)+INT((ROWS(B$2:B858)-1)/3),"jjjjmmdd")</f>
        <v>19461013</v>
      </c>
      <c r="C858" s="20" t="str">
        <f>INDEX(Data,2,2+MOD(ROWS(C$2:C858)-1,3))</f>
        <v>12.00</v>
      </c>
      <c r="D858" s="14" t="str">
        <f t="shared" ca="1" si="40"/>
        <v>—</v>
      </c>
      <c r="E858" s="25">
        <f t="shared" ca="1" si="41"/>
        <v>7</v>
      </c>
    </row>
    <row r="859" spans="1:5" x14ac:dyDescent="0.25">
      <c r="A859" s="8">
        <f t="shared" si="39"/>
        <v>73</v>
      </c>
      <c r="B859" t="str">
        <f ca="1">TEXT(DATE(YEAR(Invoer!$A$5),1,1)+INT((ROWS(B$2:B859)-1)/3),"jjjjmmdd")</f>
        <v>19461013</v>
      </c>
      <c r="C859" s="20" t="str">
        <f>INDEX(Data,2,2+MOD(ROWS(C$2:C859)-1,3))</f>
        <v>16.00</v>
      </c>
      <c r="D859" s="14" t="str">
        <f t="shared" ca="1" si="40"/>
        <v>—</v>
      </c>
      <c r="E859" s="25">
        <f t="shared" ca="1" si="41"/>
        <v>7</v>
      </c>
    </row>
    <row r="860" spans="1:5" x14ac:dyDescent="0.25">
      <c r="A860" s="8">
        <f t="shared" si="39"/>
        <v>73</v>
      </c>
      <c r="B860" t="str">
        <f ca="1">TEXT(DATE(YEAR(Invoer!$A$5),1,1)+INT((ROWS(B$2:B860)-1)/3),"jjjjmmdd")</f>
        <v>19461014</v>
      </c>
      <c r="C860" s="20" t="str">
        <f>INDEX(Data,2,2+MOD(ROWS(C$2:C860)-1,3))</f>
        <v>08.00</v>
      </c>
      <c r="D860" s="14" t="str">
        <f t="shared" ca="1" si="40"/>
        <v>—</v>
      </c>
      <c r="E860" s="25">
        <f t="shared" ca="1" si="41"/>
        <v>7</v>
      </c>
    </row>
    <row r="861" spans="1:5" x14ac:dyDescent="0.25">
      <c r="A861" s="8">
        <f t="shared" si="39"/>
        <v>73</v>
      </c>
      <c r="B861" t="str">
        <f ca="1">TEXT(DATE(YEAR(Invoer!$A$5),1,1)+INT((ROWS(B$2:B861)-1)/3),"jjjjmmdd")</f>
        <v>19461014</v>
      </c>
      <c r="C861" s="20" t="str">
        <f>INDEX(Data,2,2+MOD(ROWS(C$2:C861)-1,3))</f>
        <v>12.00</v>
      </c>
      <c r="D861" s="14" t="str">
        <f t="shared" ca="1" si="40"/>
        <v>—</v>
      </c>
      <c r="E861" s="25">
        <f t="shared" ca="1" si="41"/>
        <v>7</v>
      </c>
    </row>
    <row r="862" spans="1:5" x14ac:dyDescent="0.25">
      <c r="A862" s="8">
        <f t="shared" si="39"/>
        <v>73</v>
      </c>
      <c r="B862" t="str">
        <f ca="1">TEXT(DATE(YEAR(Invoer!$A$5),1,1)+INT((ROWS(B$2:B862)-1)/3),"jjjjmmdd")</f>
        <v>19461014</v>
      </c>
      <c r="C862" s="20" t="str">
        <f>INDEX(Data,2,2+MOD(ROWS(C$2:C862)-1,3))</f>
        <v>16.00</v>
      </c>
      <c r="D862" s="14" t="str">
        <f t="shared" ca="1" si="40"/>
        <v>—</v>
      </c>
      <c r="E862" s="25">
        <f t="shared" ca="1" si="41"/>
        <v>7</v>
      </c>
    </row>
    <row r="863" spans="1:5" x14ac:dyDescent="0.25">
      <c r="A863" s="8">
        <f t="shared" si="39"/>
        <v>73</v>
      </c>
      <c r="B863" t="str">
        <f ca="1">TEXT(DATE(YEAR(Invoer!$A$5),1,1)+INT((ROWS(B$2:B863)-1)/3),"jjjjmmdd")</f>
        <v>19461015</v>
      </c>
      <c r="C863" s="20" t="str">
        <f>INDEX(Data,2,2+MOD(ROWS(C$2:C863)-1,3))</f>
        <v>08.00</v>
      </c>
      <c r="D863" s="14" t="str">
        <f t="shared" ca="1" si="40"/>
        <v>—</v>
      </c>
      <c r="E863" s="25">
        <f t="shared" ca="1" si="41"/>
        <v>7</v>
      </c>
    </row>
    <row r="864" spans="1:5" x14ac:dyDescent="0.25">
      <c r="A864" s="8">
        <f t="shared" si="39"/>
        <v>73</v>
      </c>
      <c r="B864" t="str">
        <f ca="1">TEXT(DATE(YEAR(Invoer!$A$5),1,1)+INT((ROWS(B$2:B864)-1)/3),"jjjjmmdd")</f>
        <v>19461015</v>
      </c>
      <c r="C864" s="20" t="str">
        <f>INDEX(Data,2,2+MOD(ROWS(C$2:C864)-1,3))</f>
        <v>12.00</v>
      </c>
      <c r="D864" s="14" t="str">
        <f t="shared" ca="1" si="40"/>
        <v>—</v>
      </c>
      <c r="E864" s="25">
        <f t="shared" ca="1" si="41"/>
        <v>7</v>
      </c>
    </row>
    <row r="865" spans="1:5" x14ac:dyDescent="0.25">
      <c r="A865" s="8">
        <f t="shared" si="39"/>
        <v>73</v>
      </c>
      <c r="B865" t="str">
        <f ca="1">TEXT(DATE(YEAR(Invoer!$A$5),1,1)+INT((ROWS(B$2:B865)-1)/3),"jjjjmmdd")</f>
        <v>19461015</v>
      </c>
      <c r="C865" s="20" t="str">
        <f>INDEX(Data,2,2+MOD(ROWS(C$2:C865)-1,3))</f>
        <v>16.00</v>
      </c>
      <c r="D865" s="14" t="str">
        <f t="shared" ca="1" si="40"/>
        <v>—</v>
      </c>
      <c r="E865" s="25">
        <f t="shared" ca="1" si="41"/>
        <v>7</v>
      </c>
    </row>
    <row r="866" spans="1:5" x14ac:dyDescent="0.25">
      <c r="A866" s="8">
        <f t="shared" si="39"/>
        <v>73</v>
      </c>
      <c r="B866" t="str">
        <f ca="1">TEXT(DATE(YEAR(Invoer!$A$5),1,1)+INT((ROWS(B$2:B866)-1)/3),"jjjjmmdd")</f>
        <v>19461016</v>
      </c>
      <c r="C866" s="20" t="str">
        <f>INDEX(Data,2,2+MOD(ROWS(C$2:C866)-1,3))</f>
        <v>08.00</v>
      </c>
      <c r="D866" s="14" t="str">
        <f t="shared" ca="1" si="40"/>
        <v>—</v>
      </c>
      <c r="E866" s="25">
        <f t="shared" ca="1" si="41"/>
        <v>7</v>
      </c>
    </row>
    <row r="867" spans="1:5" x14ac:dyDescent="0.25">
      <c r="A867" s="8">
        <f t="shared" si="39"/>
        <v>73</v>
      </c>
      <c r="B867" t="str">
        <f ca="1">TEXT(DATE(YEAR(Invoer!$A$5),1,1)+INT((ROWS(B$2:B867)-1)/3),"jjjjmmdd")</f>
        <v>19461016</v>
      </c>
      <c r="C867" s="20" t="str">
        <f>INDEX(Data,2,2+MOD(ROWS(C$2:C867)-1,3))</f>
        <v>12.00</v>
      </c>
      <c r="D867" s="14" t="str">
        <f t="shared" ca="1" si="40"/>
        <v>—</v>
      </c>
      <c r="E867" s="25">
        <f t="shared" ca="1" si="41"/>
        <v>7</v>
      </c>
    </row>
    <row r="868" spans="1:5" x14ac:dyDescent="0.25">
      <c r="A868" s="8">
        <f t="shared" si="39"/>
        <v>73</v>
      </c>
      <c r="B868" t="str">
        <f ca="1">TEXT(DATE(YEAR(Invoer!$A$5),1,1)+INT((ROWS(B$2:B868)-1)/3),"jjjjmmdd")</f>
        <v>19461016</v>
      </c>
      <c r="C868" s="20" t="str">
        <f>INDEX(Data,2,2+MOD(ROWS(C$2:C868)-1,3))</f>
        <v>16.00</v>
      </c>
      <c r="D868" s="14" t="str">
        <f t="shared" ca="1" si="40"/>
        <v>—</v>
      </c>
      <c r="E868" s="25">
        <f t="shared" ca="1" si="41"/>
        <v>7</v>
      </c>
    </row>
    <row r="869" spans="1:5" x14ac:dyDescent="0.25">
      <c r="A869" s="8">
        <f t="shared" si="39"/>
        <v>73</v>
      </c>
      <c r="B869" t="str">
        <f ca="1">TEXT(DATE(YEAR(Invoer!$A$5),1,1)+INT((ROWS(B$2:B869)-1)/3),"jjjjmmdd")</f>
        <v>19461017</v>
      </c>
      <c r="C869" s="20" t="str">
        <f>INDEX(Data,2,2+MOD(ROWS(C$2:C869)-1,3))</f>
        <v>08.00</v>
      </c>
      <c r="D869" s="14" t="str">
        <f t="shared" ca="1" si="40"/>
        <v>—</v>
      </c>
      <c r="E869" s="25">
        <f t="shared" ca="1" si="41"/>
        <v>7</v>
      </c>
    </row>
    <row r="870" spans="1:5" x14ac:dyDescent="0.25">
      <c r="A870" s="8">
        <f t="shared" si="39"/>
        <v>73</v>
      </c>
      <c r="B870" t="str">
        <f ca="1">TEXT(DATE(YEAR(Invoer!$A$5),1,1)+INT((ROWS(B$2:B870)-1)/3),"jjjjmmdd")</f>
        <v>19461017</v>
      </c>
      <c r="C870" s="20" t="str">
        <f>INDEX(Data,2,2+MOD(ROWS(C$2:C870)-1,3))</f>
        <v>12.00</v>
      </c>
      <c r="D870" s="14" t="str">
        <f t="shared" ca="1" si="40"/>
        <v>—</v>
      </c>
      <c r="E870" s="25">
        <f t="shared" ca="1" si="41"/>
        <v>7</v>
      </c>
    </row>
    <row r="871" spans="1:5" x14ac:dyDescent="0.25">
      <c r="A871" s="8">
        <f t="shared" si="39"/>
        <v>73</v>
      </c>
      <c r="B871" t="str">
        <f ca="1">TEXT(DATE(YEAR(Invoer!$A$5),1,1)+INT((ROWS(B$2:B871)-1)/3),"jjjjmmdd")</f>
        <v>19461017</v>
      </c>
      <c r="C871" s="20" t="str">
        <f>INDEX(Data,2,2+MOD(ROWS(C$2:C871)-1,3))</f>
        <v>16.00</v>
      </c>
      <c r="D871" s="14" t="str">
        <f t="shared" ca="1" si="40"/>
        <v>—</v>
      </c>
      <c r="E871" s="25">
        <f t="shared" ca="1" si="41"/>
        <v>7</v>
      </c>
    </row>
    <row r="872" spans="1:5" x14ac:dyDescent="0.25">
      <c r="A872" s="8">
        <f t="shared" si="39"/>
        <v>73</v>
      </c>
      <c r="B872" t="str">
        <f ca="1">TEXT(DATE(YEAR(Invoer!$A$5),1,1)+INT((ROWS(B$2:B872)-1)/3),"jjjjmmdd")</f>
        <v>19461018</v>
      </c>
      <c r="C872" s="20" t="str">
        <f>INDEX(Data,2,2+MOD(ROWS(C$2:C872)-1,3))</f>
        <v>08.00</v>
      </c>
      <c r="D872" s="14" t="str">
        <f t="shared" ca="1" si="40"/>
        <v>—</v>
      </c>
      <c r="E872" s="25">
        <f t="shared" ca="1" si="41"/>
        <v>7</v>
      </c>
    </row>
    <row r="873" spans="1:5" x14ac:dyDescent="0.25">
      <c r="A873" s="8">
        <f t="shared" si="39"/>
        <v>73</v>
      </c>
      <c r="B873" t="str">
        <f ca="1">TEXT(DATE(YEAR(Invoer!$A$5),1,1)+INT((ROWS(B$2:B873)-1)/3),"jjjjmmdd")</f>
        <v>19461018</v>
      </c>
      <c r="C873" s="20" t="str">
        <f>INDEX(Data,2,2+MOD(ROWS(C$2:C873)-1,3))</f>
        <v>12.00</v>
      </c>
      <c r="D873" s="14" t="str">
        <f t="shared" ca="1" si="40"/>
        <v>—</v>
      </c>
      <c r="E873" s="25">
        <f t="shared" ca="1" si="41"/>
        <v>7</v>
      </c>
    </row>
    <row r="874" spans="1:5" x14ac:dyDescent="0.25">
      <c r="A874" s="8">
        <f t="shared" si="39"/>
        <v>73</v>
      </c>
      <c r="B874" t="str">
        <f ca="1">TEXT(DATE(YEAR(Invoer!$A$5),1,1)+INT((ROWS(B$2:B874)-1)/3),"jjjjmmdd")</f>
        <v>19461018</v>
      </c>
      <c r="C874" s="20" t="str">
        <f>INDEX(Data,2,2+MOD(ROWS(C$2:C874)-1,3))</f>
        <v>16.00</v>
      </c>
      <c r="D874" s="14" t="str">
        <f t="shared" ca="1" si="40"/>
        <v>—</v>
      </c>
      <c r="E874" s="25">
        <f t="shared" ca="1" si="41"/>
        <v>7</v>
      </c>
    </row>
    <row r="875" spans="1:5" x14ac:dyDescent="0.25">
      <c r="A875" s="8">
        <f t="shared" si="39"/>
        <v>73</v>
      </c>
      <c r="B875" t="str">
        <f ca="1">TEXT(DATE(YEAR(Invoer!$A$5),1,1)+INT((ROWS(B$2:B875)-1)/3),"jjjjmmdd")</f>
        <v>19461019</v>
      </c>
      <c r="C875" s="20" t="str">
        <f>INDEX(Data,2,2+MOD(ROWS(C$2:C875)-1,3))</f>
        <v>08.00</v>
      </c>
      <c r="D875" s="14" t="str">
        <f t="shared" ca="1" si="40"/>
        <v>—</v>
      </c>
      <c r="E875" s="25">
        <f t="shared" ca="1" si="41"/>
        <v>7</v>
      </c>
    </row>
    <row r="876" spans="1:5" x14ac:dyDescent="0.25">
      <c r="A876" s="8">
        <f t="shared" si="39"/>
        <v>73</v>
      </c>
      <c r="B876" t="str">
        <f ca="1">TEXT(DATE(YEAR(Invoer!$A$5),1,1)+INT((ROWS(B$2:B876)-1)/3),"jjjjmmdd")</f>
        <v>19461019</v>
      </c>
      <c r="C876" s="20" t="str">
        <f>INDEX(Data,2,2+MOD(ROWS(C$2:C876)-1,3))</f>
        <v>12.00</v>
      </c>
      <c r="D876" s="14" t="str">
        <f t="shared" ca="1" si="40"/>
        <v>—</v>
      </c>
      <c r="E876" s="25">
        <f t="shared" ca="1" si="41"/>
        <v>7</v>
      </c>
    </row>
    <row r="877" spans="1:5" x14ac:dyDescent="0.25">
      <c r="A877" s="8">
        <f t="shared" si="39"/>
        <v>73</v>
      </c>
      <c r="B877" t="str">
        <f ca="1">TEXT(DATE(YEAR(Invoer!$A$5),1,1)+INT((ROWS(B$2:B877)-1)/3),"jjjjmmdd")</f>
        <v>19461019</v>
      </c>
      <c r="C877" s="20" t="str">
        <f>INDEX(Data,2,2+MOD(ROWS(C$2:C877)-1,3))</f>
        <v>16.00</v>
      </c>
      <c r="D877" s="14" t="str">
        <f t="shared" ca="1" si="40"/>
        <v>—</v>
      </c>
      <c r="E877" s="25">
        <f t="shared" ca="1" si="41"/>
        <v>7</v>
      </c>
    </row>
    <row r="878" spans="1:5" x14ac:dyDescent="0.25">
      <c r="A878" s="8">
        <f t="shared" si="39"/>
        <v>73</v>
      </c>
      <c r="B878" t="str">
        <f ca="1">TEXT(DATE(YEAR(Invoer!$A$5),1,1)+INT((ROWS(B$2:B878)-1)/3),"jjjjmmdd")</f>
        <v>19461020</v>
      </c>
      <c r="C878" s="20" t="str">
        <f>INDEX(Data,2,2+MOD(ROWS(C$2:C878)-1,3))</f>
        <v>08.00</v>
      </c>
      <c r="D878" s="14" t="str">
        <f t="shared" ca="1" si="40"/>
        <v>—</v>
      </c>
      <c r="E878" s="25">
        <f t="shared" ca="1" si="41"/>
        <v>7</v>
      </c>
    </row>
    <row r="879" spans="1:5" x14ac:dyDescent="0.25">
      <c r="A879" s="8">
        <f t="shared" si="39"/>
        <v>73</v>
      </c>
      <c r="B879" t="str">
        <f ca="1">TEXT(DATE(YEAR(Invoer!$A$5),1,1)+INT((ROWS(B$2:B879)-1)/3),"jjjjmmdd")</f>
        <v>19461020</v>
      </c>
      <c r="C879" s="20" t="str">
        <f>INDEX(Data,2,2+MOD(ROWS(C$2:C879)-1,3))</f>
        <v>12.00</v>
      </c>
      <c r="D879" s="14" t="str">
        <f t="shared" ca="1" si="40"/>
        <v>—</v>
      </c>
      <c r="E879" s="25">
        <f t="shared" ca="1" si="41"/>
        <v>7</v>
      </c>
    </row>
    <row r="880" spans="1:5" x14ac:dyDescent="0.25">
      <c r="A880" s="8">
        <f t="shared" si="39"/>
        <v>73</v>
      </c>
      <c r="B880" t="str">
        <f ca="1">TEXT(DATE(YEAR(Invoer!$A$5),1,1)+INT((ROWS(B$2:B880)-1)/3),"jjjjmmdd")</f>
        <v>19461020</v>
      </c>
      <c r="C880" s="20" t="str">
        <f>INDEX(Data,2,2+MOD(ROWS(C$2:C880)-1,3))</f>
        <v>16.00</v>
      </c>
      <c r="D880" s="14" t="str">
        <f t="shared" ca="1" si="40"/>
        <v>—</v>
      </c>
      <c r="E880" s="25">
        <f t="shared" ca="1" si="41"/>
        <v>7</v>
      </c>
    </row>
    <row r="881" spans="1:5" x14ac:dyDescent="0.25">
      <c r="A881" s="8">
        <f t="shared" si="39"/>
        <v>73</v>
      </c>
      <c r="B881" t="str">
        <f ca="1">TEXT(DATE(YEAR(Invoer!$A$5),1,1)+INT((ROWS(B$2:B881)-1)/3),"jjjjmmdd")</f>
        <v>19461021</v>
      </c>
      <c r="C881" s="20" t="str">
        <f>INDEX(Data,2,2+MOD(ROWS(C$2:C881)-1,3))</f>
        <v>08.00</v>
      </c>
      <c r="D881" s="14" t="str">
        <f t="shared" ca="1" si="40"/>
        <v>—</v>
      </c>
      <c r="E881" s="25">
        <f t="shared" ca="1" si="41"/>
        <v>7</v>
      </c>
    </row>
    <row r="882" spans="1:5" x14ac:dyDescent="0.25">
      <c r="A882" s="8">
        <f t="shared" si="39"/>
        <v>73</v>
      </c>
      <c r="B882" t="str">
        <f ca="1">TEXT(DATE(YEAR(Invoer!$A$5),1,1)+INT((ROWS(B$2:B882)-1)/3),"jjjjmmdd")</f>
        <v>19461021</v>
      </c>
      <c r="C882" s="20" t="str">
        <f>INDEX(Data,2,2+MOD(ROWS(C$2:C882)-1,3))</f>
        <v>12.00</v>
      </c>
      <c r="D882" s="14" t="str">
        <f t="shared" ca="1" si="40"/>
        <v>—</v>
      </c>
      <c r="E882" s="25">
        <f t="shared" ca="1" si="41"/>
        <v>7</v>
      </c>
    </row>
    <row r="883" spans="1:5" x14ac:dyDescent="0.25">
      <c r="A883" s="8">
        <f t="shared" si="39"/>
        <v>73</v>
      </c>
      <c r="B883" t="str">
        <f ca="1">TEXT(DATE(YEAR(Invoer!$A$5),1,1)+INT((ROWS(B$2:B883)-1)/3),"jjjjmmdd")</f>
        <v>19461021</v>
      </c>
      <c r="C883" s="20" t="str">
        <f>INDEX(Data,2,2+MOD(ROWS(C$2:C883)-1,3))</f>
        <v>16.00</v>
      </c>
      <c r="D883" s="14" t="str">
        <f t="shared" ca="1" si="40"/>
        <v>—</v>
      </c>
      <c r="E883" s="25">
        <f t="shared" ca="1" si="41"/>
        <v>7</v>
      </c>
    </row>
    <row r="884" spans="1:5" x14ac:dyDescent="0.25">
      <c r="A884" s="8">
        <f t="shared" si="39"/>
        <v>73</v>
      </c>
      <c r="B884" t="str">
        <f ca="1">TEXT(DATE(YEAR(Invoer!$A$5),1,1)+INT((ROWS(B$2:B884)-1)/3),"jjjjmmdd")</f>
        <v>19461022</v>
      </c>
      <c r="C884" s="20" t="str">
        <f>INDEX(Data,2,2+MOD(ROWS(C$2:C884)-1,3))</f>
        <v>08.00</v>
      </c>
      <c r="D884" s="14" t="str">
        <f t="shared" ca="1" si="40"/>
        <v>—</v>
      </c>
      <c r="E884" s="25">
        <f t="shared" ca="1" si="41"/>
        <v>7</v>
      </c>
    </row>
    <row r="885" spans="1:5" x14ac:dyDescent="0.25">
      <c r="A885" s="8">
        <f t="shared" si="39"/>
        <v>73</v>
      </c>
      <c r="B885" t="str">
        <f ca="1">TEXT(DATE(YEAR(Invoer!$A$5),1,1)+INT((ROWS(B$2:B885)-1)/3),"jjjjmmdd")</f>
        <v>19461022</v>
      </c>
      <c r="C885" s="20" t="str">
        <f>INDEX(Data,2,2+MOD(ROWS(C$2:C885)-1,3))</f>
        <v>12.00</v>
      </c>
      <c r="D885" s="14" t="str">
        <f t="shared" ca="1" si="40"/>
        <v>—</v>
      </c>
      <c r="E885" s="25">
        <f t="shared" ca="1" si="41"/>
        <v>7</v>
      </c>
    </row>
    <row r="886" spans="1:5" x14ac:dyDescent="0.25">
      <c r="A886" s="8">
        <f t="shared" si="39"/>
        <v>73</v>
      </c>
      <c r="B886" t="str">
        <f ca="1">TEXT(DATE(YEAR(Invoer!$A$5),1,1)+INT((ROWS(B$2:B886)-1)/3),"jjjjmmdd")</f>
        <v>19461022</v>
      </c>
      <c r="C886" s="20" t="str">
        <f>INDEX(Data,2,2+MOD(ROWS(C$2:C886)-1,3))</f>
        <v>16.00</v>
      </c>
      <c r="D886" s="14" t="str">
        <f t="shared" ca="1" si="40"/>
        <v>—</v>
      </c>
      <c r="E886" s="25">
        <f t="shared" ca="1" si="41"/>
        <v>7</v>
      </c>
    </row>
    <row r="887" spans="1:5" x14ac:dyDescent="0.25">
      <c r="A887" s="8">
        <f t="shared" si="39"/>
        <v>73</v>
      </c>
      <c r="B887" t="str">
        <f ca="1">TEXT(DATE(YEAR(Invoer!$A$5),1,1)+INT((ROWS(B$2:B887)-1)/3),"jjjjmmdd")</f>
        <v>19461023</v>
      </c>
      <c r="C887" s="20" t="str">
        <f>INDEX(Data,2,2+MOD(ROWS(C$2:C887)-1,3))</f>
        <v>08.00</v>
      </c>
      <c r="D887" s="14" t="str">
        <f t="shared" ca="1" si="40"/>
        <v>—</v>
      </c>
      <c r="E887" s="25">
        <f t="shared" ca="1" si="41"/>
        <v>7</v>
      </c>
    </row>
    <row r="888" spans="1:5" x14ac:dyDescent="0.25">
      <c r="A888" s="8">
        <f t="shared" si="39"/>
        <v>73</v>
      </c>
      <c r="B888" t="str">
        <f ca="1">TEXT(DATE(YEAR(Invoer!$A$5),1,1)+INT((ROWS(B$2:B888)-1)/3),"jjjjmmdd")</f>
        <v>19461023</v>
      </c>
      <c r="C888" s="20" t="str">
        <f>INDEX(Data,2,2+MOD(ROWS(C$2:C888)-1,3))</f>
        <v>12.00</v>
      </c>
      <c r="D888" s="14" t="str">
        <f t="shared" ca="1" si="40"/>
        <v>—</v>
      </c>
      <c r="E888" s="25">
        <f t="shared" ca="1" si="41"/>
        <v>7</v>
      </c>
    </row>
    <row r="889" spans="1:5" x14ac:dyDescent="0.25">
      <c r="A889" s="8">
        <f t="shared" si="39"/>
        <v>73</v>
      </c>
      <c r="B889" t="str">
        <f ca="1">TEXT(DATE(YEAR(Invoer!$A$5),1,1)+INT((ROWS(B$2:B889)-1)/3),"jjjjmmdd")</f>
        <v>19461023</v>
      </c>
      <c r="C889" s="20" t="str">
        <f>INDEX(Data,2,2+MOD(ROWS(C$2:C889)-1,3))</f>
        <v>16.00</v>
      </c>
      <c r="D889" s="14" t="str">
        <f t="shared" ca="1" si="40"/>
        <v>—</v>
      </c>
      <c r="E889" s="25">
        <f t="shared" ca="1" si="41"/>
        <v>7</v>
      </c>
    </row>
    <row r="890" spans="1:5" x14ac:dyDescent="0.25">
      <c r="A890" s="8">
        <f t="shared" si="39"/>
        <v>73</v>
      </c>
      <c r="B890" t="str">
        <f ca="1">TEXT(DATE(YEAR(Invoer!$A$5),1,1)+INT((ROWS(B$2:B890)-1)/3),"jjjjmmdd")</f>
        <v>19461024</v>
      </c>
      <c r="C890" s="20" t="str">
        <f>INDEX(Data,2,2+MOD(ROWS(C$2:C890)-1,3))</f>
        <v>08.00</v>
      </c>
      <c r="D890" s="14" t="str">
        <f t="shared" ca="1" si="40"/>
        <v>—</v>
      </c>
      <c r="E890" s="25">
        <f t="shared" ca="1" si="41"/>
        <v>7</v>
      </c>
    </row>
    <row r="891" spans="1:5" x14ac:dyDescent="0.25">
      <c r="A891" s="8">
        <f t="shared" si="39"/>
        <v>73</v>
      </c>
      <c r="B891" t="str">
        <f ca="1">TEXT(DATE(YEAR(Invoer!$A$5),1,1)+INT((ROWS(B$2:B891)-1)/3),"jjjjmmdd")</f>
        <v>19461024</v>
      </c>
      <c r="C891" s="20" t="str">
        <f>INDEX(Data,2,2+MOD(ROWS(C$2:C891)-1,3))</f>
        <v>12.00</v>
      </c>
      <c r="D891" s="14" t="str">
        <f t="shared" ca="1" si="40"/>
        <v>—</v>
      </c>
      <c r="E891" s="25">
        <f t="shared" ca="1" si="41"/>
        <v>7</v>
      </c>
    </row>
    <row r="892" spans="1:5" x14ac:dyDescent="0.25">
      <c r="A892" s="8">
        <f t="shared" si="39"/>
        <v>73</v>
      </c>
      <c r="B892" t="str">
        <f ca="1">TEXT(DATE(YEAR(Invoer!$A$5),1,1)+INT((ROWS(B$2:B892)-1)/3),"jjjjmmdd")</f>
        <v>19461024</v>
      </c>
      <c r="C892" s="20" t="str">
        <f>INDEX(Data,2,2+MOD(ROWS(C$2:C892)-1,3))</f>
        <v>16.00</v>
      </c>
      <c r="D892" s="14" t="str">
        <f t="shared" ca="1" si="40"/>
        <v>—</v>
      </c>
      <c r="E892" s="25">
        <f t="shared" ca="1" si="41"/>
        <v>7</v>
      </c>
    </row>
    <row r="893" spans="1:5" x14ac:dyDescent="0.25">
      <c r="A893" s="8">
        <f t="shared" si="39"/>
        <v>73</v>
      </c>
      <c r="B893" t="str">
        <f ca="1">TEXT(DATE(YEAR(Invoer!$A$5),1,1)+INT((ROWS(B$2:B893)-1)/3),"jjjjmmdd")</f>
        <v>19461025</v>
      </c>
      <c r="C893" s="20" t="str">
        <f>INDEX(Data,2,2+MOD(ROWS(C$2:C893)-1,3))</f>
        <v>08.00</v>
      </c>
      <c r="D893" s="14" t="str">
        <f t="shared" ca="1" si="40"/>
        <v>—</v>
      </c>
      <c r="E893" s="25">
        <f t="shared" ca="1" si="41"/>
        <v>7</v>
      </c>
    </row>
    <row r="894" spans="1:5" x14ac:dyDescent="0.25">
      <c r="A894" s="8">
        <f t="shared" si="39"/>
        <v>73</v>
      </c>
      <c r="B894" t="str">
        <f ca="1">TEXT(DATE(YEAR(Invoer!$A$5),1,1)+INT((ROWS(B$2:B894)-1)/3),"jjjjmmdd")</f>
        <v>19461025</v>
      </c>
      <c r="C894" s="20" t="str">
        <f>INDEX(Data,2,2+MOD(ROWS(C$2:C894)-1,3))</f>
        <v>12.00</v>
      </c>
      <c r="D894" s="14" t="str">
        <f t="shared" ca="1" si="40"/>
        <v>—</v>
      </c>
      <c r="E894" s="25">
        <f t="shared" ca="1" si="41"/>
        <v>7</v>
      </c>
    </row>
    <row r="895" spans="1:5" x14ac:dyDescent="0.25">
      <c r="A895" s="8">
        <f t="shared" si="39"/>
        <v>73</v>
      </c>
      <c r="B895" t="str">
        <f ca="1">TEXT(DATE(YEAR(Invoer!$A$5),1,1)+INT((ROWS(B$2:B895)-1)/3),"jjjjmmdd")</f>
        <v>19461025</v>
      </c>
      <c r="C895" s="20" t="str">
        <f>INDEX(Data,2,2+MOD(ROWS(C$2:C895)-1,3))</f>
        <v>16.00</v>
      </c>
      <c r="D895" s="14" t="str">
        <f t="shared" ca="1" si="40"/>
        <v>—</v>
      </c>
      <c r="E895" s="25">
        <f t="shared" ca="1" si="41"/>
        <v>7</v>
      </c>
    </row>
    <row r="896" spans="1:5" x14ac:dyDescent="0.25">
      <c r="A896" s="8">
        <f t="shared" si="39"/>
        <v>73</v>
      </c>
      <c r="B896" t="str">
        <f ca="1">TEXT(DATE(YEAR(Invoer!$A$5),1,1)+INT((ROWS(B$2:B896)-1)/3),"jjjjmmdd")</f>
        <v>19461026</v>
      </c>
      <c r="C896" s="20" t="str">
        <f>INDEX(Data,2,2+MOD(ROWS(C$2:C896)-1,3))</f>
        <v>08.00</v>
      </c>
      <c r="D896" s="14" t="str">
        <f t="shared" ca="1" si="40"/>
        <v>—</v>
      </c>
      <c r="E896" s="25">
        <f t="shared" ca="1" si="41"/>
        <v>7</v>
      </c>
    </row>
    <row r="897" spans="1:5" x14ac:dyDescent="0.25">
      <c r="A897" s="8">
        <f t="shared" si="39"/>
        <v>73</v>
      </c>
      <c r="B897" t="str">
        <f ca="1">TEXT(DATE(YEAR(Invoer!$A$5),1,1)+INT((ROWS(B$2:B897)-1)/3),"jjjjmmdd")</f>
        <v>19461026</v>
      </c>
      <c r="C897" s="20" t="str">
        <f>INDEX(Data,2,2+MOD(ROWS(C$2:C897)-1,3))</f>
        <v>12.00</v>
      </c>
      <c r="D897" s="14" t="str">
        <f t="shared" ca="1" si="40"/>
        <v>—</v>
      </c>
      <c r="E897" s="25">
        <f t="shared" ca="1" si="41"/>
        <v>7</v>
      </c>
    </row>
    <row r="898" spans="1:5" x14ac:dyDescent="0.25">
      <c r="A898" s="8">
        <f t="shared" ref="A898:A961" si="42">INDEX(Stations,2,1)</f>
        <v>73</v>
      </c>
      <c r="B898" t="str">
        <f ca="1">TEXT(DATE(YEAR(Invoer!$A$5),1,1)+INT((ROWS(B$2:B898)-1)/3),"jjjjmmdd")</f>
        <v>19461026</v>
      </c>
      <c r="C898" s="20" t="str">
        <f>INDEX(Data,2,2+MOD(ROWS(C$2:C898)-1,3))</f>
        <v>16.00</v>
      </c>
      <c r="D898" s="14" t="str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25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</row>
    <row r="899" spans="1:5" x14ac:dyDescent="0.25">
      <c r="A899" s="8">
        <f t="shared" si="42"/>
        <v>73</v>
      </c>
      <c r="B899" t="str">
        <f ca="1">TEXT(DATE(YEAR(Invoer!$A$5),1,1)+INT((ROWS(B$2:B899)-1)/3),"jjjjmmdd")</f>
        <v>19461027</v>
      </c>
      <c r="C899" s="20" t="str">
        <f>INDEX(Data,2,2+MOD(ROWS(C$2:C899)-1,3))</f>
        <v>08.00</v>
      </c>
      <c r="D899" s="14" t="str">
        <f t="shared" ca="1" si="43"/>
        <v>—</v>
      </c>
      <c r="E899" s="25">
        <f t="shared" ca="1" si="44"/>
        <v>7</v>
      </c>
    </row>
    <row r="900" spans="1:5" x14ac:dyDescent="0.25">
      <c r="A900" s="8">
        <f t="shared" si="42"/>
        <v>73</v>
      </c>
      <c r="B900" t="str">
        <f ca="1">TEXT(DATE(YEAR(Invoer!$A$5),1,1)+INT((ROWS(B$2:B900)-1)/3),"jjjjmmdd")</f>
        <v>19461027</v>
      </c>
      <c r="C900" s="20" t="str">
        <f>INDEX(Data,2,2+MOD(ROWS(C$2:C900)-1,3))</f>
        <v>12.00</v>
      </c>
      <c r="D900" s="14" t="str">
        <f t="shared" ca="1" si="43"/>
        <v>—</v>
      </c>
      <c r="E900" s="25">
        <f t="shared" ca="1" si="44"/>
        <v>7</v>
      </c>
    </row>
    <row r="901" spans="1:5" x14ac:dyDescent="0.25">
      <c r="A901" s="8">
        <f t="shared" si="42"/>
        <v>73</v>
      </c>
      <c r="B901" t="str">
        <f ca="1">TEXT(DATE(YEAR(Invoer!$A$5),1,1)+INT((ROWS(B$2:B901)-1)/3),"jjjjmmdd")</f>
        <v>19461027</v>
      </c>
      <c r="C901" s="20" t="str">
        <f>INDEX(Data,2,2+MOD(ROWS(C$2:C901)-1,3))</f>
        <v>16.00</v>
      </c>
      <c r="D901" s="14" t="str">
        <f t="shared" ca="1" si="43"/>
        <v>—</v>
      </c>
      <c r="E901" s="25">
        <f t="shared" ca="1" si="44"/>
        <v>7</v>
      </c>
    </row>
    <row r="902" spans="1:5" x14ac:dyDescent="0.25">
      <c r="A902" s="8">
        <f t="shared" si="42"/>
        <v>73</v>
      </c>
      <c r="B902" t="str">
        <f ca="1">TEXT(DATE(YEAR(Invoer!$A$5),1,1)+INT((ROWS(B$2:B902)-1)/3),"jjjjmmdd")</f>
        <v>19461028</v>
      </c>
      <c r="C902" s="20" t="str">
        <f>INDEX(Data,2,2+MOD(ROWS(C$2:C902)-1,3))</f>
        <v>08.00</v>
      </c>
      <c r="D902" s="14" t="str">
        <f t="shared" ca="1" si="43"/>
        <v>—</v>
      </c>
      <c r="E902" s="25">
        <f t="shared" ca="1" si="44"/>
        <v>7</v>
      </c>
    </row>
    <row r="903" spans="1:5" x14ac:dyDescent="0.25">
      <c r="A903" s="8">
        <f t="shared" si="42"/>
        <v>73</v>
      </c>
      <c r="B903" t="str">
        <f ca="1">TEXT(DATE(YEAR(Invoer!$A$5),1,1)+INT((ROWS(B$2:B903)-1)/3),"jjjjmmdd")</f>
        <v>19461028</v>
      </c>
      <c r="C903" s="20" t="str">
        <f>INDEX(Data,2,2+MOD(ROWS(C$2:C903)-1,3))</f>
        <v>12.00</v>
      </c>
      <c r="D903" s="14" t="str">
        <f t="shared" ca="1" si="43"/>
        <v>—</v>
      </c>
      <c r="E903" s="25">
        <f t="shared" ca="1" si="44"/>
        <v>7</v>
      </c>
    </row>
    <row r="904" spans="1:5" x14ac:dyDescent="0.25">
      <c r="A904" s="8">
        <f t="shared" si="42"/>
        <v>73</v>
      </c>
      <c r="B904" t="str">
        <f ca="1">TEXT(DATE(YEAR(Invoer!$A$5),1,1)+INT((ROWS(B$2:B904)-1)/3),"jjjjmmdd")</f>
        <v>19461028</v>
      </c>
      <c r="C904" s="20" t="str">
        <f>INDEX(Data,2,2+MOD(ROWS(C$2:C904)-1,3))</f>
        <v>16.00</v>
      </c>
      <c r="D904" s="14" t="str">
        <f t="shared" ca="1" si="43"/>
        <v>—</v>
      </c>
      <c r="E904" s="25">
        <f t="shared" ca="1" si="44"/>
        <v>7</v>
      </c>
    </row>
    <row r="905" spans="1:5" x14ac:dyDescent="0.25">
      <c r="A905" s="8">
        <f t="shared" si="42"/>
        <v>73</v>
      </c>
      <c r="B905" t="str">
        <f ca="1">TEXT(DATE(YEAR(Invoer!$A$5),1,1)+INT((ROWS(B$2:B905)-1)/3),"jjjjmmdd")</f>
        <v>19461029</v>
      </c>
      <c r="C905" s="20" t="str">
        <f>INDEX(Data,2,2+MOD(ROWS(C$2:C905)-1,3))</f>
        <v>08.00</v>
      </c>
      <c r="D905" s="14" t="str">
        <f t="shared" ca="1" si="43"/>
        <v>—</v>
      </c>
      <c r="E905" s="25">
        <f t="shared" ca="1" si="44"/>
        <v>7</v>
      </c>
    </row>
    <row r="906" spans="1:5" x14ac:dyDescent="0.25">
      <c r="A906" s="8">
        <f t="shared" si="42"/>
        <v>73</v>
      </c>
      <c r="B906" t="str">
        <f ca="1">TEXT(DATE(YEAR(Invoer!$A$5),1,1)+INT((ROWS(B$2:B906)-1)/3),"jjjjmmdd")</f>
        <v>19461029</v>
      </c>
      <c r="C906" s="20" t="str">
        <f>INDEX(Data,2,2+MOD(ROWS(C$2:C906)-1,3))</f>
        <v>12.00</v>
      </c>
      <c r="D906" s="14" t="str">
        <f t="shared" ca="1" si="43"/>
        <v>—</v>
      </c>
      <c r="E906" s="25">
        <f t="shared" ca="1" si="44"/>
        <v>7</v>
      </c>
    </row>
    <row r="907" spans="1:5" x14ac:dyDescent="0.25">
      <c r="A907" s="8">
        <f t="shared" si="42"/>
        <v>73</v>
      </c>
      <c r="B907" t="str">
        <f ca="1">TEXT(DATE(YEAR(Invoer!$A$5),1,1)+INT((ROWS(B$2:B907)-1)/3),"jjjjmmdd")</f>
        <v>19461029</v>
      </c>
      <c r="C907" s="20" t="str">
        <f>INDEX(Data,2,2+MOD(ROWS(C$2:C907)-1,3))</f>
        <v>16.00</v>
      </c>
      <c r="D907" s="14" t="str">
        <f t="shared" ca="1" si="43"/>
        <v>—</v>
      </c>
      <c r="E907" s="25">
        <f t="shared" ca="1" si="44"/>
        <v>7</v>
      </c>
    </row>
    <row r="908" spans="1:5" x14ac:dyDescent="0.25">
      <c r="A908" s="8">
        <f t="shared" si="42"/>
        <v>73</v>
      </c>
      <c r="B908" t="str">
        <f ca="1">TEXT(DATE(YEAR(Invoer!$A$5),1,1)+INT((ROWS(B$2:B908)-1)/3),"jjjjmmdd")</f>
        <v>19461030</v>
      </c>
      <c r="C908" s="20" t="str">
        <f>INDEX(Data,2,2+MOD(ROWS(C$2:C908)-1,3))</f>
        <v>08.00</v>
      </c>
      <c r="D908" s="14" t="str">
        <f t="shared" ca="1" si="43"/>
        <v>—</v>
      </c>
      <c r="E908" s="25">
        <f t="shared" ca="1" si="44"/>
        <v>7</v>
      </c>
    </row>
    <row r="909" spans="1:5" x14ac:dyDescent="0.25">
      <c r="A909" s="8">
        <f t="shared" si="42"/>
        <v>73</v>
      </c>
      <c r="B909" t="str">
        <f ca="1">TEXT(DATE(YEAR(Invoer!$A$5),1,1)+INT((ROWS(B$2:B909)-1)/3),"jjjjmmdd")</f>
        <v>19461030</v>
      </c>
      <c r="C909" s="20" t="str">
        <f>INDEX(Data,2,2+MOD(ROWS(C$2:C909)-1,3))</f>
        <v>12.00</v>
      </c>
      <c r="D909" s="14" t="str">
        <f t="shared" ca="1" si="43"/>
        <v>—</v>
      </c>
      <c r="E909" s="25">
        <f t="shared" ca="1" si="44"/>
        <v>7</v>
      </c>
    </row>
    <row r="910" spans="1:5" x14ac:dyDescent="0.25">
      <c r="A910" s="8">
        <f t="shared" si="42"/>
        <v>73</v>
      </c>
      <c r="B910" t="str">
        <f ca="1">TEXT(DATE(YEAR(Invoer!$A$5),1,1)+INT((ROWS(B$2:B910)-1)/3),"jjjjmmdd")</f>
        <v>19461030</v>
      </c>
      <c r="C910" s="20" t="str">
        <f>INDEX(Data,2,2+MOD(ROWS(C$2:C910)-1,3))</f>
        <v>16.00</v>
      </c>
      <c r="D910" s="14" t="str">
        <f t="shared" ca="1" si="43"/>
        <v>—</v>
      </c>
      <c r="E910" s="25">
        <f t="shared" ca="1" si="44"/>
        <v>7</v>
      </c>
    </row>
    <row r="911" spans="1:5" x14ac:dyDescent="0.25">
      <c r="A911" s="8">
        <f t="shared" si="42"/>
        <v>73</v>
      </c>
      <c r="B911" t="str">
        <f ca="1">TEXT(DATE(YEAR(Invoer!$A$5),1,1)+INT((ROWS(B$2:B911)-1)/3),"jjjjmmdd")</f>
        <v>19461031</v>
      </c>
      <c r="C911" s="20" t="str">
        <f>INDEX(Data,2,2+MOD(ROWS(C$2:C911)-1,3))</f>
        <v>08.00</v>
      </c>
      <c r="D911" s="14" t="str">
        <f t="shared" ca="1" si="43"/>
        <v>—</v>
      </c>
      <c r="E911" s="25">
        <f t="shared" ca="1" si="44"/>
        <v>7</v>
      </c>
    </row>
    <row r="912" spans="1:5" x14ac:dyDescent="0.25">
      <c r="A912" s="8">
        <f t="shared" si="42"/>
        <v>73</v>
      </c>
      <c r="B912" t="str">
        <f ca="1">TEXT(DATE(YEAR(Invoer!$A$5),1,1)+INT((ROWS(B$2:B912)-1)/3),"jjjjmmdd")</f>
        <v>19461031</v>
      </c>
      <c r="C912" s="20" t="str">
        <f>INDEX(Data,2,2+MOD(ROWS(C$2:C912)-1,3))</f>
        <v>12.00</v>
      </c>
      <c r="D912" s="14" t="str">
        <f t="shared" ca="1" si="43"/>
        <v>—</v>
      </c>
      <c r="E912" s="25">
        <f t="shared" ca="1" si="44"/>
        <v>7</v>
      </c>
    </row>
    <row r="913" spans="1:5" x14ac:dyDescent="0.25">
      <c r="A913" s="8">
        <f t="shared" si="42"/>
        <v>73</v>
      </c>
      <c r="B913" t="str">
        <f ca="1">TEXT(DATE(YEAR(Invoer!$A$5),1,1)+INT((ROWS(B$2:B913)-1)/3),"jjjjmmdd")</f>
        <v>19461031</v>
      </c>
      <c r="C913" s="20" t="str">
        <f>INDEX(Data,2,2+MOD(ROWS(C$2:C913)-1,3))</f>
        <v>16.00</v>
      </c>
      <c r="D913" s="14" t="str">
        <f t="shared" ca="1" si="43"/>
        <v>—</v>
      </c>
      <c r="E913" s="25">
        <f t="shared" ca="1" si="44"/>
        <v>7</v>
      </c>
    </row>
    <row r="914" spans="1:5" x14ac:dyDescent="0.25">
      <c r="A914" s="8">
        <f t="shared" si="42"/>
        <v>73</v>
      </c>
      <c r="B914" t="str">
        <f ca="1">TEXT(DATE(YEAR(Invoer!$A$5),1,1)+INT((ROWS(B$2:B914)-1)/3),"jjjjmmdd")</f>
        <v>19461101</v>
      </c>
      <c r="C914" s="20" t="str">
        <f>INDEX(Data,2,2+MOD(ROWS(C$2:C914)-1,3))</f>
        <v>08.00</v>
      </c>
      <c r="D914" s="14" t="str">
        <f t="shared" ca="1" si="43"/>
        <v>—</v>
      </c>
      <c r="E914" s="25">
        <f t="shared" ca="1" si="44"/>
        <v>7</v>
      </c>
    </row>
    <row r="915" spans="1:5" x14ac:dyDescent="0.25">
      <c r="A915" s="8">
        <f t="shared" si="42"/>
        <v>73</v>
      </c>
      <c r="B915" t="str">
        <f ca="1">TEXT(DATE(YEAR(Invoer!$A$5),1,1)+INT((ROWS(B$2:B915)-1)/3),"jjjjmmdd")</f>
        <v>19461101</v>
      </c>
      <c r="C915" s="20" t="str">
        <f>INDEX(Data,2,2+MOD(ROWS(C$2:C915)-1,3))</f>
        <v>12.00</v>
      </c>
      <c r="D915" s="14" t="str">
        <f t="shared" ca="1" si="43"/>
        <v>—</v>
      </c>
      <c r="E915" s="25">
        <f t="shared" ca="1" si="44"/>
        <v>7</v>
      </c>
    </row>
    <row r="916" spans="1:5" x14ac:dyDescent="0.25">
      <c r="A916" s="8">
        <f t="shared" si="42"/>
        <v>73</v>
      </c>
      <c r="B916" t="str">
        <f ca="1">TEXT(DATE(YEAR(Invoer!$A$5),1,1)+INT((ROWS(B$2:B916)-1)/3),"jjjjmmdd")</f>
        <v>19461101</v>
      </c>
      <c r="C916" s="20" t="str">
        <f>INDEX(Data,2,2+MOD(ROWS(C$2:C916)-1,3))</f>
        <v>16.00</v>
      </c>
      <c r="D916" s="14" t="str">
        <f t="shared" ca="1" si="43"/>
        <v>—</v>
      </c>
      <c r="E916" s="25">
        <f t="shared" ca="1" si="44"/>
        <v>7</v>
      </c>
    </row>
    <row r="917" spans="1:5" x14ac:dyDescent="0.25">
      <c r="A917" s="8">
        <f t="shared" si="42"/>
        <v>73</v>
      </c>
      <c r="B917" t="str">
        <f ca="1">TEXT(DATE(YEAR(Invoer!$A$5),1,1)+INT((ROWS(B$2:B917)-1)/3),"jjjjmmdd")</f>
        <v>19461102</v>
      </c>
      <c r="C917" s="20" t="str">
        <f>INDEX(Data,2,2+MOD(ROWS(C$2:C917)-1,3))</f>
        <v>08.00</v>
      </c>
      <c r="D917" s="14" t="str">
        <f t="shared" ca="1" si="43"/>
        <v>—</v>
      </c>
      <c r="E917" s="25">
        <f t="shared" ca="1" si="44"/>
        <v>7</v>
      </c>
    </row>
    <row r="918" spans="1:5" x14ac:dyDescent="0.25">
      <c r="A918" s="8">
        <f t="shared" si="42"/>
        <v>73</v>
      </c>
      <c r="B918" t="str">
        <f ca="1">TEXT(DATE(YEAR(Invoer!$A$5),1,1)+INT((ROWS(B$2:B918)-1)/3),"jjjjmmdd")</f>
        <v>19461102</v>
      </c>
      <c r="C918" s="20" t="str">
        <f>INDEX(Data,2,2+MOD(ROWS(C$2:C918)-1,3))</f>
        <v>12.00</v>
      </c>
      <c r="D918" s="14" t="str">
        <f t="shared" ca="1" si="43"/>
        <v>—</v>
      </c>
      <c r="E918" s="25">
        <f t="shared" ca="1" si="44"/>
        <v>7</v>
      </c>
    </row>
    <row r="919" spans="1:5" x14ac:dyDescent="0.25">
      <c r="A919" s="8">
        <f t="shared" si="42"/>
        <v>73</v>
      </c>
      <c r="B919" t="str">
        <f ca="1">TEXT(DATE(YEAR(Invoer!$A$5),1,1)+INT((ROWS(B$2:B919)-1)/3),"jjjjmmdd")</f>
        <v>19461102</v>
      </c>
      <c r="C919" s="20" t="str">
        <f>INDEX(Data,2,2+MOD(ROWS(C$2:C919)-1,3))</f>
        <v>16.00</v>
      </c>
      <c r="D919" s="14" t="str">
        <f t="shared" ca="1" si="43"/>
        <v>—</v>
      </c>
      <c r="E919" s="25">
        <f t="shared" ca="1" si="44"/>
        <v>7</v>
      </c>
    </row>
    <row r="920" spans="1:5" x14ac:dyDescent="0.25">
      <c r="A920" s="8">
        <f t="shared" si="42"/>
        <v>73</v>
      </c>
      <c r="B920" t="str">
        <f ca="1">TEXT(DATE(YEAR(Invoer!$A$5),1,1)+INT((ROWS(B$2:B920)-1)/3),"jjjjmmdd")</f>
        <v>19461103</v>
      </c>
      <c r="C920" s="20" t="str">
        <f>INDEX(Data,2,2+MOD(ROWS(C$2:C920)-1,3))</f>
        <v>08.00</v>
      </c>
      <c r="D920" s="14" t="str">
        <f t="shared" ca="1" si="43"/>
        <v>—</v>
      </c>
      <c r="E920" s="25">
        <f t="shared" ca="1" si="44"/>
        <v>7</v>
      </c>
    </row>
    <row r="921" spans="1:5" x14ac:dyDescent="0.25">
      <c r="A921" s="8">
        <f t="shared" si="42"/>
        <v>73</v>
      </c>
      <c r="B921" t="str">
        <f ca="1">TEXT(DATE(YEAR(Invoer!$A$5),1,1)+INT((ROWS(B$2:B921)-1)/3),"jjjjmmdd")</f>
        <v>19461103</v>
      </c>
      <c r="C921" s="20" t="str">
        <f>INDEX(Data,2,2+MOD(ROWS(C$2:C921)-1,3))</f>
        <v>12.00</v>
      </c>
      <c r="D921" s="14" t="str">
        <f t="shared" ca="1" si="43"/>
        <v>—</v>
      </c>
      <c r="E921" s="25">
        <f t="shared" ca="1" si="44"/>
        <v>7</v>
      </c>
    </row>
    <row r="922" spans="1:5" x14ac:dyDescent="0.25">
      <c r="A922" s="8">
        <f t="shared" si="42"/>
        <v>73</v>
      </c>
      <c r="B922" t="str">
        <f ca="1">TEXT(DATE(YEAR(Invoer!$A$5),1,1)+INT((ROWS(B$2:B922)-1)/3),"jjjjmmdd")</f>
        <v>19461103</v>
      </c>
      <c r="C922" s="20" t="str">
        <f>INDEX(Data,2,2+MOD(ROWS(C$2:C922)-1,3))</f>
        <v>16.00</v>
      </c>
      <c r="D922" s="14" t="str">
        <f t="shared" ca="1" si="43"/>
        <v>—</v>
      </c>
      <c r="E922" s="25">
        <f t="shared" ca="1" si="44"/>
        <v>7</v>
      </c>
    </row>
    <row r="923" spans="1:5" x14ac:dyDescent="0.25">
      <c r="A923" s="8">
        <f t="shared" si="42"/>
        <v>73</v>
      </c>
      <c r="B923" t="str">
        <f ca="1">TEXT(DATE(YEAR(Invoer!$A$5),1,1)+INT((ROWS(B$2:B923)-1)/3),"jjjjmmdd")</f>
        <v>19461104</v>
      </c>
      <c r="C923" s="20" t="str">
        <f>INDEX(Data,2,2+MOD(ROWS(C$2:C923)-1,3))</f>
        <v>08.00</v>
      </c>
      <c r="D923" s="14" t="str">
        <f t="shared" ca="1" si="43"/>
        <v>—</v>
      </c>
      <c r="E923" s="25">
        <f t="shared" ca="1" si="44"/>
        <v>7</v>
      </c>
    </row>
    <row r="924" spans="1:5" x14ac:dyDescent="0.25">
      <c r="A924" s="8">
        <f t="shared" si="42"/>
        <v>73</v>
      </c>
      <c r="B924" t="str">
        <f ca="1">TEXT(DATE(YEAR(Invoer!$A$5),1,1)+INT((ROWS(B$2:B924)-1)/3),"jjjjmmdd")</f>
        <v>19461104</v>
      </c>
      <c r="C924" s="20" t="str">
        <f>INDEX(Data,2,2+MOD(ROWS(C$2:C924)-1,3))</f>
        <v>12.00</v>
      </c>
      <c r="D924" s="14" t="str">
        <f t="shared" ca="1" si="43"/>
        <v>—</v>
      </c>
      <c r="E924" s="25">
        <f t="shared" ca="1" si="44"/>
        <v>7</v>
      </c>
    </row>
    <row r="925" spans="1:5" x14ac:dyDescent="0.25">
      <c r="A925" s="8">
        <f t="shared" si="42"/>
        <v>73</v>
      </c>
      <c r="B925" t="str">
        <f ca="1">TEXT(DATE(YEAR(Invoer!$A$5),1,1)+INT((ROWS(B$2:B925)-1)/3),"jjjjmmdd")</f>
        <v>19461104</v>
      </c>
      <c r="C925" s="20" t="str">
        <f>INDEX(Data,2,2+MOD(ROWS(C$2:C925)-1,3))</f>
        <v>16.00</v>
      </c>
      <c r="D925" s="14" t="str">
        <f t="shared" ca="1" si="43"/>
        <v>—</v>
      </c>
      <c r="E925" s="25">
        <f t="shared" ca="1" si="44"/>
        <v>7</v>
      </c>
    </row>
    <row r="926" spans="1:5" x14ac:dyDescent="0.25">
      <c r="A926" s="8">
        <f t="shared" si="42"/>
        <v>73</v>
      </c>
      <c r="B926" t="str">
        <f ca="1">TEXT(DATE(YEAR(Invoer!$A$5),1,1)+INT((ROWS(B$2:B926)-1)/3),"jjjjmmdd")</f>
        <v>19461105</v>
      </c>
      <c r="C926" s="20" t="str">
        <f>INDEX(Data,2,2+MOD(ROWS(C$2:C926)-1,3))</f>
        <v>08.00</v>
      </c>
      <c r="D926" s="14" t="str">
        <f t="shared" ca="1" si="43"/>
        <v>—</v>
      </c>
      <c r="E926" s="25">
        <f t="shared" ca="1" si="44"/>
        <v>7</v>
      </c>
    </row>
    <row r="927" spans="1:5" x14ac:dyDescent="0.25">
      <c r="A927" s="8">
        <f t="shared" si="42"/>
        <v>73</v>
      </c>
      <c r="B927" t="str">
        <f ca="1">TEXT(DATE(YEAR(Invoer!$A$5),1,1)+INT((ROWS(B$2:B927)-1)/3),"jjjjmmdd")</f>
        <v>19461105</v>
      </c>
      <c r="C927" s="20" t="str">
        <f>INDEX(Data,2,2+MOD(ROWS(C$2:C927)-1,3))</f>
        <v>12.00</v>
      </c>
      <c r="D927" s="14" t="str">
        <f t="shared" ca="1" si="43"/>
        <v>—</v>
      </c>
      <c r="E927" s="25">
        <f t="shared" ca="1" si="44"/>
        <v>7</v>
      </c>
    </row>
    <row r="928" spans="1:5" x14ac:dyDescent="0.25">
      <c r="A928" s="8">
        <f t="shared" si="42"/>
        <v>73</v>
      </c>
      <c r="B928" t="str">
        <f ca="1">TEXT(DATE(YEAR(Invoer!$A$5),1,1)+INT((ROWS(B$2:B928)-1)/3),"jjjjmmdd")</f>
        <v>19461105</v>
      </c>
      <c r="C928" s="20" t="str">
        <f>INDEX(Data,2,2+MOD(ROWS(C$2:C928)-1,3))</f>
        <v>16.00</v>
      </c>
      <c r="D928" s="14" t="str">
        <f t="shared" ca="1" si="43"/>
        <v>—</v>
      </c>
      <c r="E928" s="25">
        <f t="shared" ca="1" si="44"/>
        <v>7</v>
      </c>
    </row>
    <row r="929" spans="1:5" x14ac:dyDescent="0.25">
      <c r="A929" s="8">
        <f t="shared" si="42"/>
        <v>73</v>
      </c>
      <c r="B929" t="str">
        <f ca="1">TEXT(DATE(YEAR(Invoer!$A$5),1,1)+INT((ROWS(B$2:B929)-1)/3),"jjjjmmdd")</f>
        <v>19461106</v>
      </c>
      <c r="C929" s="20" t="str">
        <f>INDEX(Data,2,2+MOD(ROWS(C$2:C929)-1,3))</f>
        <v>08.00</v>
      </c>
      <c r="D929" s="14" t="str">
        <f t="shared" ca="1" si="43"/>
        <v>—</v>
      </c>
      <c r="E929" s="25">
        <f t="shared" ca="1" si="44"/>
        <v>7</v>
      </c>
    </row>
    <row r="930" spans="1:5" x14ac:dyDescent="0.25">
      <c r="A930" s="8">
        <f t="shared" si="42"/>
        <v>73</v>
      </c>
      <c r="B930" t="str">
        <f ca="1">TEXT(DATE(YEAR(Invoer!$A$5),1,1)+INT((ROWS(B$2:B930)-1)/3),"jjjjmmdd")</f>
        <v>19461106</v>
      </c>
      <c r="C930" s="20" t="str">
        <f>INDEX(Data,2,2+MOD(ROWS(C$2:C930)-1,3))</f>
        <v>12.00</v>
      </c>
      <c r="D930" s="14" t="str">
        <f t="shared" ca="1" si="43"/>
        <v>—</v>
      </c>
      <c r="E930" s="25">
        <f t="shared" ca="1" si="44"/>
        <v>7</v>
      </c>
    </row>
    <row r="931" spans="1:5" x14ac:dyDescent="0.25">
      <c r="A931" s="8">
        <f t="shared" si="42"/>
        <v>73</v>
      </c>
      <c r="B931" t="str">
        <f ca="1">TEXT(DATE(YEAR(Invoer!$A$5),1,1)+INT((ROWS(B$2:B931)-1)/3),"jjjjmmdd")</f>
        <v>19461106</v>
      </c>
      <c r="C931" s="20" t="str">
        <f>INDEX(Data,2,2+MOD(ROWS(C$2:C931)-1,3))</f>
        <v>16.00</v>
      </c>
      <c r="D931" s="14" t="str">
        <f t="shared" ca="1" si="43"/>
        <v>—</v>
      </c>
      <c r="E931" s="25">
        <f t="shared" ca="1" si="44"/>
        <v>7</v>
      </c>
    </row>
    <row r="932" spans="1:5" x14ac:dyDescent="0.25">
      <c r="A932" s="8">
        <f t="shared" si="42"/>
        <v>73</v>
      </c>
      <c r="B932" t="str">
        <f ca="1">TEXT(DATE(YEAR(Invoer!$A$5),1,1)+INT((ROWS(B$2:B932)-1)/3),"jjjjmmdd")</f>
        <v>19461107</v>
      </c>
      <c r="C932" s="20" t="str">
        <f>INDEX(Data,2,2+MOD(ROWS(C$2:C932)-1,3))</f>
        <v>08.00</v>
      </c>
      <c r="D932" s="14" t="str">
        <f t="shared" ca="1" si="43"/>
        <v>—</v>
      </c>
      <c r="E932" s="25">
        <f t="shared" ca="1" si="44"/>
        <v>7</v>
      </c>
    </row>
    <row r="933" spans="1:5" x14ac:dyDescent="0.25">
      <c r="A933" s="8">
        <f t="shared" si="42"/>
        <v>73</v>
      </c>
      <c r="B933" t="str">
        <f ca="1">TEXT(DATE(YEAR(Invoer!$A$5),1,1)+INT((ROWS(B$2:B933)-1)/3),"jjjjmmdd")</f>
        <v>19461107</v>
      </c>
      <c r="C933" s="20" t="str">
        <f>INDEX(Data,2,2+MOD(ROWS(C$2:C933)-1,3))</f>
        <v>12.00</v>
      </c>
      <c r="D933" s="14" t="str">
        <f t="shared" ca="1" si="43"/>
        <v>—</v>
      </c>
      <c r="E933" s="25">
        <f t="shared" ca="1" si="44"/>
        <v>7</v>
      </c>
    </row>
    <row r="934" spans="1:5" x14ac:dyDescent="0.25">
      <c r="A934" s="8">
        <f t="shared" si="42"/>
        <v>73</v>
      </c>
      <c r="B934" t="str">
        <f ca="1">TEXT(DATE(YEAR(Invoer!$A$5),1,1)+INT((ROWS(B$2:B934)-1)/3),"jjjjmmdd")</f>
        <v>19461107</v>
      </c>
      <c r="C934" s="20" t="str">
        <f>INDEX(Data,2,2+MOD(ROWS(C$2:C934)-1,3))</f>
        <v>16.00</v>
      </c>
      <c r="D934" s="14" t="str">
        <f t="shared" ca="1" si="43"/>
        <v>—</v>
      </c>
      <c r="E934" s="25">
        <f t="shared" ca="1" si="44"/>
        <v>7</v>
      </c>
    </row>
    <row r="935" spans="1:5" x14ac:dyDescent="0.25">
      <c r="A935" s="8">
        <f t="shared" si="42"/>
        <v>73</v>
      </c>
      <c r="B935" t="str">
        <f ca="1">TEXT(DATE(YEAR(Invoer!$A$5),1,1)+INT((ROWS(B$2:B935)-1)/3),"jjjjmmdd")</f>
        <v>19461108</v>
      </c>
      <c r="C935" s="20" t="str">
        <f>INDEX(Data,2,2+MOD(ROWS(C$2:C935)-1,3))</f>
        <v>08.00</v>
      </c>
      <c r="D935" s="14" t="str">
        <f t="shared" ca="1" si="43"/>
        <v>—</v>
      </c>
      <c r="E935" s="25">
        <f t="shared" ca="1" si="44"/>
        <v>7</v>
      </c>
    </row>
    <row r="936" spans="1:5" x14ac:dyDescent="0.25">
      <c r="A936" s="8">
        <f t="shared" si="42"/>
        <v>73</v>
      </c>
      <c r="B936" t="str">
        <f ca="1">TEXT(DATE(YEAR(Invoer!$A$5),1,1)+INT((ROWS(B$2:B936)-1)/3),"jjjjmmdd")</f>
        <v>19461108</v>
      </c>
      <c r="C936" s="20" t="str">
        <f>INDEX(Data,2,2+MOD(ROWS(C$2:C936)-1,3))</f>
        <v>12.00</v>
      </c>
      <c r="D936" s="14" t="str">
        <f t="shared" ca="1" si="43"/>
        <v>—</v>
      </c>
      <c r="E936" s="25">
        <f t="shared" ca="1" si="44"/>
        <v>7</v>
      </c>
    </row>
    <row r="937" spans="1:5" x14ac:dyDescent="0.25">
      <c r="A937" s="8">
        <f t="shared" si="42"/>
        <v>73</v>
      </c>
      <c r="B937" t="str">
        <f ca="1">TEXT(DATE(YEAR(Invoer!$A$5),1,1)+INT((ROWS(B$2:B937)-1)/3),"jjjjmmdd")</f>
        <v>19461108</v>
      </c>
      <c r="C937" s="20" t="str">
        <f>INDEX(Data,2,2+MOD(ROWS(C$2:C937)-1,3))</f>
        <v>16.00</v>
      </c>
      <c r="D937" s="14" t="str">
        <f t="shared" ca="1" si="43"/>
        <v>—</v>
      </c>
      <c r="E937" s="25">
        <f t="shared" ca="1" si="44"/>
        <v>7</v>
      </c>
    </row>
    <row r="938" spans="1:5" x14ac:dyDescent="0.25">
      <c r="A938" s="8">
        <f t="shared" si="42"/>
        <v>73</v>
      </c>
      <c r="B938" t="str">
        <f ca="1">TEXT(DATE(YEAR(Invoer!$A$5),1,1)+INT((ROWS(B$2:B938)-1)/3),"jjjjmmdd")</f>
        <v>19461109</v>
      </c>
      <c r="C938" s="20" t="str">
        <f>INDEX(Data,2,2+MOD(ROWS(C$2:C938)-1,3))</f>
        <v>08.00</v>
      </c>
      <c r="D938" s="14" t="str">
        <f t="shared" ca="1" si="43"/>
        <v>—</v>
      </c>
      <c r="E938" s="25">
        <f t="shared" ca="1" si="44"/>
        <v>7</v>
      </c>
    </row>
    <row r="939" spans="1:5" x14ac:dyDescent="0.25">
      <c r="A939" s="8">
        <f t="shared" si="42"/>
        <v>73</v>
      </c>
      <c r="B939" t="str">
        <f ca="1">TEXT(DATE(YEAR(Invoer!$A$5),1,1)+INT((ROWS(B$2:B939)-1)/3),"jjjjmmdd")</f>
        <v>19461109</v>
      </c>
      <c r="C939" s="20" t="str">
        <f>INDEX(Data,2,2+MOD(ROWS(C$2:C939)-1,3))</f>
        <v>12.00</v>
      </c>
      <c r="D939" s="14" t="str">
        <f t="shared" ca="1" si="43"/>
        <v>—</v>
      </c>
      <c r="E939" s="25">
        <f t="shared" ca="1" si="44"/>
        <v>7</v>
      </c>
    </row>
    <row r="940" spans="1:5" x14ac:dyDescent="0.25">
      <c r="A940" s="8">
        <f t="shared" si="42"/>
        <v>73</v>
      </c>
      <c r="B940" t="str">
        <f ca="1">TEXT(DATE(YEAR(Invoer!$A$5),1,1)+INT((ROWS(B$2:B940)-1)/3),"jjjjmmdd")</f>
        <v>19461109</v>
      </c>
      <c r="C940" s="20" t="str">
        <f>INDEX(Data,2,2+MOD(ROWS(C$2:C940)-1,3))</f>
        <v>16.00</v>
      </c>
      <c r="D940" s="14" t="str">
        <f t="shared" ca="1" si="43"/>
        <v>—</v>
      </c>
      <c r="E940" s="25">
        <f t="shared" ca="1" si="44"/>
        <v>7</v>
      </c>
    </row>
    <row r="941" spans="1:5" x14ac:dyDescent="0.25">
      <c r="A941" s="8">
        <f t="shared" si="42"/>
        <v>73</v>
      </c>
      <c r="B941" t="str">
        <f ca="1">TEXT(DATE(YEAR(Invoer!$A$5),1,1)+INT((ROWS(B$2:B941)-1)/3),"jjjjmmdd")</f>
        <v>19461110</v>
      </c>
      <c r="C941" s="20" t="str">
        <f>INDEX(Data,2,2+MOD(ROWS(C$2:C941)-1,3))</f>
        <v>08.00</v>
      </c>
      <c r="D941" s="14" t="str">
        <f t="shared" ca="1" si="43"/>
        <v>—</v>
      </c>
      <c r="E941" s="25">
        <f t="shared" ca="1" si="44"/>
        <v>7</v>
      </c>
    </row>
    <row r="942" spans="1:5" x14ac:dyDescent="0.25">
      <c r="A942" s="8">
        <f t="shared" si="42"/>
        <v>73</v>
      </c>
      <c r="B942" t="str">
        <f ca="1">TEXT(DATE(YEAR(Invoer!$A$5),1,1)+INT((ROWS(B$2:B942)-1)/3),"jjjjmmdd")</f>
        <v>19461110</v>
      </c>
      <c r="C942" s="20" t="str">
        <f>INDEX(Data,2,2+MOD(ROWS(C$2:C942)-1,3))</f>
        <v>12.00</v>
      </c>
      <c r="D942" s="14" t="str">
        <f t="shared" ca="1" si="43"/>
        <v>—</v>
      </c>
      <c r="E942" s="25">
        <f t="shared" ca="1" si="44"/>
        <v>7</v>
      </c>
    </row>
    <row r="943" spans="1:5" x14ac:dyDescent="0.25">
      <c r="A943" s="8">
        <f t="shared" si="42"/>
        <v>73</v>
      </c>
      <c r="B943" t="str">
        <f ca="1">TEXT(DATE(YEAR(Invoer!$A$5),1,1)+INT((ROWS(B$2:B943)-1)/3),"jjjjmmdd")</f>
        <v>19461110</v>
      </c>
      <c r="C943" s="20" t="str">
        <f>INDEX(Data,2,2+MOD(ROWS(C$2:C943)-1,3))</f>
        <v>16.00</v>
      </c>
      <c r="D943" s="14" t="str">
        <f t="shared" ca="1" si="43"/>
        <v>—</v>
      </c>
      <c r="E943" s="25">
        <f t="shared" ca="1" si="44"/>
        <v>7</v>
      </c>
    </row>
    <row r="944" spans="1:5" x14ac:dyDescent="0.25">
      <c r="A944" s="8">
        <f t="shared" si="42"/>
        <v>73</v>
      </c>
      <c r="B944" t="str">
        <f ca="1">TEXT(DATE(YEAR(Invoer!$A$5),1,1)+INT((ROWS(B$2:B944)-1)/3),"jjjjmmdd")</f>
        <v>19461111</v>
      </c>
      <c r="C944" s="20" t="str">
        <f>INDEX(Data,2,2+MOD(ROWS(C$2:C944)-1,3))</f>
        <v>08.00</v>
      </c>
      <c r="D944" s="14" t="str">
        <f t="shared" ca="1" si="43"/>
        <v>—</v>
      </c>
      <c r="E944" s="25">
        <f t="shared" ca="1" si="44"/>
        <v>7</v>
      </c>
    </row>
    <row r="945" spans="1:5" x14ac:dyDescent="0.25">
      <c r="A945" s="8">
        <f t="shared" si="42"/>
        <v>73</v>
      </c>
      <c r="B945" t="str">
        <f ca="1">TEXT(DATE(YEAR(Invoer!$A$5),1,1)+INT((ROWS(B$2:B945)-1)/3),"jjjjmmdd")</f>
        <v>19461111</v>
      </c>
      <c r="C945" s="20" t="str">
        <f>INDEX(Data,2,2+MOD(ROWS(C$2:C945)-1,3))</f>
        <v>12.00</v>
      </c>
      <c r="D945" s="14" t="str">
        <f t="shared" ca="1" si="43"/>
        <v>—</v>
      </c>
      <c r="E945" s="25">
        <f t="shared" ca="1" si="44"/>
        <v>7</v>
      </c>
    </row>
    <row r="946" spans="1:5" x14ac:dyDescent="0.25">
      <c r="A946" s="8">
        <f t="shared" si="42"/>
        <v>73</v>
      </c>
      <c r="B946" t="str">
        <f ca="1">TEXT(DATE(YEAR(Invoer!$A$5),1,1)+INT((ROWS(B$2:B946)-1)/3),"jjjjmmdd")</f>
        <v>19461111</v>
      </c>
      <c r="C946" s="20" t="str">
        <f>INDEX(Data,2,2+MOD(ROWS(C$2:C946)-1,3))</f>
        <v>16.00</v>
      </c>
      <c r="D946" s="14" t="str">
        <f t="shared" ca="1" si="43"/>
        <v>—</v>
      </c>
      <c r="E946" s="25">
        <f t="shared" ca="1" si="44"/>
        <v>7</v>
      </c>
    </row>
    <row r="947" spans="1:5" x14ac:dyDescent="0.25">
      <c r="A947" s="8">
        <f t="shared" si="42"/>
        <v>73</v>
      </c>
      <c r="B947" t="str">
        <f ca="1">TEXT(DATE(YEAR(Invoer!$A$5),1,1)+INT((ROWS(B$2:B947)-1)/3),"jjjjmmdd")</f>
        <v>19461112</v>
      </c>
      <c r="C947" s="20" t="str">
        <f>INDEX(Data,2,2+MOD(ROWS(C$2:C947)-1,3))</f>
        <v>08.00</v>
      </c>
      <c r="D947" s="14" t="str">
        <f t="shared" ca="1" si="43"/>
        <v>—</v>
      </c>
      <c r="E947" s="25">
        <f t="shared" ca="1" si="44"/>
        <v>7</v>
      </c>
    </row>
    <row r="948" spans="1:5" x14ac:dyDescent="0.25">
      <c r="A948" s="8">
        <f t="shared" si="42"/>
        <v>73</v>
      </c>
      <c r="B948" t="str">
        <f ca="1">TEXT(DATE(YEAR(Invoer!$A$5),1,1)+INT((ROWS(B$2:B948)-1)/3),"jjjjmmdd")</f>
        <v>19461112</v>
      </c>
      <c r="C948" s="20" t="str">
        <f>INDEX(Data,2,2+MOD(ROWS(C$2:C948)-1,3))</f>
        <v>12.00</v>
      </c>
      <c r="D948" s="14" t="str">
        <f t="shared" ca="1" si="43"/>
        <v>—</v>
      </c>
      <c r="E948" s="25">
        <f t="shared" ca="1" si="44"/>
        <v>7</v>
      </c>
    </row>
    <row r="949" spans="1:5" x14ac:dyDescent="0.25">
      <c r="A949" s="8">
        <f t="shared" si="42"/>
        <v>73</v>
      </c>
      <c r="B949" t="str">
        <f ca="1">TEXT(DATE(YEAR(Invoer!$A$5),1,1)+INT((ROWS(B$2:B949)-1)/3),"jjjjmmdd")</f>
        <v>19461112</v>
      </c>
      <c r="C949" s="20" t="str">
        <f>INDEX(Data,2,2+MOD(ROWS(C$2:C949)-1,3))</f>
        <v>16.00</v>
      </c>
      <c r="D949" s="14" t="str">
        <f t="shared" ca="1" si="43"/>
        <v>—</v>
      </c>
      <c r="E949" s="25">
        <f t="shared" ca="1" si="44"/>
        <v>7</v>
      </c>
    </row>
    <row r="950" spans="1:5" x14ac:dyDescent="0.25">
      <c r="A950" s="8">
        <f t="shared" si="42"/>
        <v>73</v>
      </c>
      <c r="B950" t="str">
        <f ca="1">TEXT(DATE(YEAR(Invoer!$A$5),1,1)+INT((ROWS(B$2:B950)-1)/3),"jjjjmmdd")</f>
        <v>19461113</v>
      </c>
      <c r="C950" s="20" t="str">
        <f>INDEX(Data,2,2+MOD(ROWS(C$2:C950)-1,3))</f>
        <v>08.00</v>
      </c>
      <c r="D950" s="14" t="str">
        <f t="shared" ca="1" si="43"/>
        <v>—</v>
      </c>
      <c r="E950" s="25">
        <f t="shared" ca="1" si="44"/>
        <v>7</v>
      </c>
    </row>
    <row r="951" spans="1:5" x14ac:dyDescent="0.25">
      <c r="A951" s="8">
        <f t="shared" si="42"/>
        <v>73</v>
      </c>
      <c r="B951" t="str">
        <f ca="1">TEXT(DATE(YEAR(Invoer!$A$5),1,1)+INT((ROWS(B$2:B951)-1)/3),"jjjjmmdd")</f>
        <v>19461113</v>
      </c>
      <c r="C951" s="20" t="str">
        <f>INDEX(Data,2,2+MOD(ROWS(C$2:C951)-1,3))</f>
        <v>12.00</v>
      </c>
      <c r="D951" s="14" t="str">
        <f t="shared" ca="1" si="43"/>
        <v>—</v>
      </c>
      <c r="E951" s="25">
        <f t="shared" ca="1" si="44"/>
        <v>7</v>
      </c>
    </row>
    <row r="952" spans="1:5" x14ac:dyDescent="0.25">
      <c r="A952" s="8">
        <f t="shared" si="42"/>
        <v>73</v>
      </c>
      <c r="B952" t="str">
        <f ca="1">TEXT(DATE(YEAR(Invoer!$A$5),1,1)+INT((ROWS(B$2:B952)-1)/3),"jjjjmmdd")</f>
        <v>19461113</v>
      </c>
      <c r="C952" s="20" t="str">
        <f>INDEX(Data,2,2+MOD(ROWS(C$2:C952)-1,3))</f>
        <v>16.00</v>
      </c>
      <c r="D952" s="14" t="str">
        <f t="shared" ca="1" si="43"/>
        <v>—</v>
      </c>
      <c r="E952" s="25">
        <f t="shared" ca="1" si="44"/>
        <v>7</v>
      </c>
    </row>
    <row r="953" spans="1:5" x14ac:dyDescent="0.25">
      <c r="A953" s="8">
        <f t="shared" si="42"/>
        <v>73</v>
      </c>
      <c r="B953" t="str">
        <f ca="1">TEXT(DATE(YEAR(Invoer!$A$5),1,1)+INT((ROWS(B$2:B953)-1)/3),"jjjjmmdd")</f>
        <v>19461114</v>
      </c>
      <c r="C953" s="20" t="str">
        <f>INDEX(Data,2,2+MOD(ROWS(C$2:C953)-1,3))</f>
        <v>08.00</v>
      </c>
      <c r="D953" s="14" t="str">
        <f t="shared" ca="1" si="43"/>
        <v>—</v>
      </c>
      <c r="E953" s="25">
        <f t="shared" ca="1" si="44"/>
        <v>7</v>
      </c>
    </row>
    <row r="954" spans="1:5" x14ac:dyDescent="0.25">
      <c r="A954" s="8">
        <f t="shared" si="42"/>
        <v>73</v>
      </c>
      <c r="B954" t="str">
        <f ca="1">TEXT(DATE(YEAR(Invoer!$A$5),1,1)+INT((ROWS(B$2:B954)-1)/3),"jjjjmmdd")</f>
        <v>19461114</v>
      </c>
      <c r="C954" s="20" t="str">
        <f>INDEX(Data,2,2+MOD(ROWS(C$2:C954)-1,3))</f>
        <v>12.00</v>
      </c>
      <c r="D954" s="14" t="str">
        <f t="shared" ca="1" si="43"/>
        <v>—</v>
      </c>
      <c r="E954" s="25">
        <f t="shared" ca="1" si="44"/>
        <v>7</v>
      </c>
    </row>
    <row r="955" spans="1:5" x14ac:dyDescent="0.25">
      <c r="A955" s="8">
        <f t="shared" si="42"/>
        <v>73</v>
      </c>
      <c r="B955" t="str">
        <f ca="1">TEXT(DATE(YEAR(Invoer!$A$5),1,1)+INT((ROWS(B$2:B955)-1)/3),"jjjjmmdd")</f>
        <v>19461114</v>
      </c>
      <c r="C955" s="20" t="str">
        <f>INDEX(Data,2,2+MOD(ROWS(C$2:C955)-1,3))</f>
        <v>16.00</v>
      </c>
      <c r="D955" s="14" t="str">
        <f t="shared" ca="1" si="43"/>
        <v>—</v>
      </c>
      <c r="E955" s="25">
        <f t="shared" ca="1" si="44"/>
        <v>7</v>
      </c>
    </row>
    <row r="956" spans="1:5" x14ac:dyDescent="0.25">
      <c r="A956" s="8">
        <f t="shared" si="42"/>
        <v>73</v>
      </c>
      <c r="B956" t="str">
        <f ca="1">TEXT(DATE(YEAR(Invoer!$A$5),1,1)+INT((ROWS(B$2:B956)-1)/3),"jjjjmmdd")</f>
        <v>19461115</v>
      </c>
      <c r="C956" s="20" t="str">
        <f>INDEX(Data,2,2+MOD(ROWS(C$2:C956)-1,3))</f>
        <v>08.00</v>
      </c>
      <c r="D956" s="14" t="str">
        <f t="shared" ca="1" si="43"/>
        <v>—</v>
      </c>
      <c r="E956" s="25">
        <f t="shared" ca="1" si="44"/>
        <v>7</v>
      </c>
    </row>
    <row r="957" spans="1:5" x14ac:dyDescent="0.25">
      <c r="A957" s="8">
        <f t="shared" si="42"/>
        <v>73</v>
      </c>
      <c r="B957" t="str">
        <f ca="1">TEXT(DATE(YEAR(Invoer!$A$5),1,1)+INT((ROWS(B$2:B957)-1)/3),"jjjjmmdd")</f>
        <v>19461115</v>
      </c>
      <c r="C957" s="20" t="str">
        <f>INDEX(Data,2,2+MOD(ROWS(C$2:C957)-1,3))</f>
        <v>12.00</v>
      </c>
      <c r="D957" s="14" t="str">
        <f t="shared" ca="1" si="43"/>
        <v>—</v>
      </c>
      <c r="E957" s="25">
        <f t="shared" ca="1" si="44"/>
        <v>7</v>
      </c>
    </row>
    <row r="958" spans="1:5" x14ac:dyDescent="0.25">
      <c r="A958" s="8">
        <f t="shared" si="42"/>
        <v>73</v>
      </c>
      <c r="B958" t="str">
        <f ca="1">TEXT(DATE(YEAR(Invoer!$A$5),1,1)+INT((ROWS(B$2:B958)-1)/3),"jjjjmmdd")</f>
        <v>19461115</v>
      </c>
      <c r="C958" s="20" t="str">
        <f>INDEX(Data,2,2+MOD(ROWS(C$2:C958)-1,3))</f>
        <v>16.00</v>
      </c>
      <c r="D958" s="14" t="str">
        <f t="shared" ca="1" si="43"/>
        <v>—</v>
      </c>
      <c r="E958" s="25">
        <f t="shared" ca="1" si="44"/>
        <v>7</v>
      </c>
    </row>
    <row r="959" spans="1:5" x14ac:dyDescent="0.25">
      <c r="A959" s="8">
        <f t="shared" si="42"/>
        <v>73</v>
      </c>
      <c r="B959" t="str">
        <f ca="1">TEXT(DATE(YEAR(Invoer!$A$5),1,1)+INT((ROWS(B$2:B959)-1)/3),"jjjjmmdd")</f>
        <v>19461116</v>
      </c>
      <c r="C959" s="20" t="str">
        <f>INDEX(Data,2,2+MOD(ROWS(C$2:C959)-1,3))</f>
        <v>08.00</v>
      </c>
      <c r="D959" s="14" t="str">
        <f t="shared" ca="1" si="43"/>
        <v>—</v>
      </c>
      <c r="E959" s="25">
        <f t="shared" ca="1" si="44"/>
        <v>7</v>
      </c>
    </row>
    <row r="960" spans="1:5" x14ac:dyDescent="0.25">
      <c r="A960" s="8">
        <f t="shared" si="42"/>
        <v>73</v>
      </c>
      <c r="B960" t="str">
        <f ca="1">TEXT(DATE(YEAR(Invoer!$A$5),1,1)+INT((ROWS(B$2:B960)-1)/3),"jjjjmmdd")</f>
        <v>19461116</v>
      </c>
      <c r="C960" s="20" t="str">
        <f>INDEX(Data,2,2+MOD(ROWS(C$2:C960)-1,3))</f>
        <v>12.00</v>
      </c>
      <c r="D960" s="14" t="str">
        <f t="shared" ca="1" si="43"/>
        <v>—</v>
      </c>
      <c r="E960" s="25">
        <f t="shared" ca="1" si="44"/>
        <v>7</v>
      </c>
    </row>
    <row r="961" spans="1:5" x14ac:dyDescent="0.25">
      <c r="A961" s="8">
        <f t="shared" si="42"/>
        <v>73</v>
      </c>
      <c r="B961" t="str">
        <f ca="1">TEXT(DATE(YEAR(Invoer!$A$5),1,1)+INT((ROWS(B$2:B961)-1)/3),"jjjjmmdd")</f>
        <v>19461116</v>
      </c>
      <c r="C961" s="20" t="str">
        <f>INDEX(Data,2,2+MOD(ROWS(C$2:C961)-1,3))</f>
        <v>16.00</v>
      </c>
      <c r="D961" s="14" t="str">
        <f t="shared" ca="1" si="43"/>
        <v>—</v>
      </c>
      <c r="E961" s="25">
        <f t="shared" ca="1" si="44"/>
        <v>7</v>
      </c>
    </row>
    <row r="962" spans="1:5" x14ac:dyDescent="0.25">
      <c r="A962" s="8">
        <f t="shared" ref="A962:A1025" si="45">INDEX(Stations,2,1)</f>
        <v>73</v>
      </c>
      <c r="B962" t="str">
        <f ca="1">TEXT(DATE(YEAR(Invoer!$A$5),1,1)+INT((ROWS(B$2:B962)-1)/3),"jjjjmmdd")</f>
        <v>19461117</v>
      </c>
      <c r="C962" s="20" t="str">
        <f>INDEX(Data,2,2+MOD(ROWS(C$2:C962)-1,3))</f>
        <v>08.00</v>
      </c>
      <c r="D962" s="14" t="str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25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</row>
    <row r="963" spans="1:5" x14ac:dyDescent="0.25">
      <c r="A963" s="8">
        <f t="shared" si="45"/>
        <v>73</v>
      </c>
      <c r="B963" t="str">
        <f ca="1">TEXT(DATE(YEAR(Invoer!$A$5),1,1)+INT((ROWS(B$2:B963)-1)/3),"jjjjmmdd")</f>
        <v>19461117</v>
      </c>
      <c r="C963" s="20" t="str">
        <f>INDEX(Data,2,2+MOD(ROWS(C$2:C963)-1,3))</f>
        <v>12.00</v>
      </c>
      <c r="D963" s="14" t="str">
        <f t="shared" ca="1" si="46"/>
        <v>—</v>
      </c>
      <c r="E963" s="25">
        <f t="shared" ca="1" si="47"/>
        <v>7</v>
      </c>
    </row>
    <row r="964" spans="1:5" x14ac:dyDescent="0.25">
      <c r="A964" s="8">
        <f t="shared" si="45"/>
        <v>73</v>
      </c>
      <c r="B964" t="str">
        <f ca="1">TEXT(DATE(YEAR(Invoer!$A$5),1,1)+INT((ROWS(B$2:B964)-1)/3),"jjjjmmdd")</f>
        <v>19461117</v>
      </c>
      <c r="C964" s="20" t="str">
        <f>INDEX(Data,2,2+MOD(ROWS(C$2:C964)-1,3))</f>
        <v>16.00</v>
      </c>
      <c r="D964" s="14" t="str">
        <f t="shared" ca="1" si="46"/>
        <v>—</v>
      </c>
      <c r="E964" s="25">
        <f t="shared" ca="1" si="47"/>
        <v>7</v>
      </c>
    </row>
    <row r="965" spans="1:5" x14ac:dyDescent="0.25">
      <c r="A965" s="8">
        <f t="shared" si="45"/>
        <v>73</v>
      </c>
      <c r="B965" t="str">
        <f ca="1">TEXT(DATE(YEAR(Invoer!$A$5),1,1)+INT((ROWS(B$2:B965)-1)/3),"jjjjmmdd")</f>
        <v>19461118</v>
      </c>
      <c r="C965" s="20" t="str">
        <f>INDEX(Data,2,2+MOD(ROWS(C$2:C965)-1,3))</f>
        <v>08.00</v>
      </c>
      <c r="D965" s="14" t="str">
        <f t="shared" ca="1" si="46"/>
        <v>—</v>
      </c>
      <c r="E965" s="25">
        <f t="shared" ca="1" si="47"/>
        <v>7</v>
      </c>
    </row>
    <row r="966" spans="1:5" x14ac:dyDescent="0.25">
      <c r="A966" s="8">
        <f t="shared" si="45"/>
        <v>73</v>
      </c>
      <c r="B966" t="str">
        <f ca="1">TEXT(DATE(YEAR(Invoer!$A$5),1,1)+INT((ROWS(B$2:B966)-1)/3),"jjjjmmdd")</f>
        <v>19461118</v>
      </c>
      <c r="C966" s="20" t="str">
        <f>INDEX(Data,2,2+MOD(ROWS(C$2:C966)-1,3))</f>
        <v>12.00</v>
      </c>
      <c r="D966" s="14" t="str">
        <f t="shared" ca="1" si="46"/>
        <v>—</v>
      </c>
      <c r="E966" s="25">
        <f t="shared" ca="1" si="47"/>
        <v>7</v>
      </c>
    </row>
    <row r="967" spans="1:5" x14ac:dyDescent="0.25">
      <c r="A967" s="8">
        <f t="shared" si="45"/>
        <v>73</v>
      </c>
      <c r="B967" t="str">
        <f ca="1">TEXT(DATE(YEAR(Invoer!$A$5),1,1)+INT((ROWS(B$2:B967)-1)/3),"jjjjmmdd")</f>
        <v>19461118</v>
      </c>
      <c r="C967" s="20" t="str">
        <f>INDEX(Data,2,2+MOD(ROWS(C$2:C967)-1,3))</f>
        <v>16.00</v>
      </c>
      <c r="D967" s="14" t="str">
        <f t="shared" ca="1" si="46"/>
        <v>—</v>
      </c>
      <c r="E967" s="25">
        <f t="shared" ca="1" si="47"/>
        <v>7</v>
      </c>
    </row>
    <row r="968" spans="1:5" x14ac:dyDescent="0.25">
      <c r="A968" s="8">
        <f t="shared" si="45"/>
        <v>73</v>
      </c>
      <c r="B968" t="str">
        <f ca="1">TEXT(DATE(YEAR(Invoer!$A$5),1,1)+INT((ROWS(B$2:B968)-1)/3),"jjjjmmdd")</f>
        <v>19461119</v>
      </c>
      <c r="C968" s="20" t="str">
        <f>INDEX(Data,2,2+MOD(ROWS(C$2:C968)-1,3))</f>
        <v>08.00</v>
      </c>
      <c r="D968" s="14" t="str">
        <f t="shared" ca="1" si="46"/>
        <v>—</v>
      </c>
      <c r="E968" s="25">
        <f t="shared" ca="1" si="47"/>
        <v>7</v>
      </c>
    </row>
    <row r="969" spans="1:5" x14ac:dyDescent="0.25">
      <c r="A969" s="8">
        <f t="shared" si="45"/>
        <v>73</v>
      </c>
      <c r="B969" t="str">
        <f ca="1">TEXT(DATE(YEAR(Invoer!$A$5),1,1)+INT((ROWS(B$2:B969)-1)/3),"jjjjmmdd")</f>
        <v>19461119</v>
      </c>
      <c r="C969" s="20" t="str">
        <f>INDEX(Data,2,2+MOD(ROWS(C$2:C969)-1,3))</f>
        <v>12.00</v>
      </c>
      <c r="D969" s="14" t="str">
        <f t="shared" ca="1" si="46"/>
        <v>—</v>
      </c>
      <c r="E969" s="25">
        <f t="shared" ca="1" si="47"/>
        <v>7</v>
      </c>
    </row>
    <row r="970" spans="1:5" x14ac:dyDescent="0.25">
      <c r="A970" s="8">
        <f t="shared" si="45"/>
        <v>73</v>
      </c>
      <c r="B970" t="str">
        <f ca="1">TEXT(DATE(YEAR(Invoer!$A$5),1,1)+INT((ROWS(B$2:B970)-1)/3),"jjjjmmdd")</f>
        <v>19461119</v>
      </c>
      <c r="C970" s="20" t="str">
        <f>INDEX(Data,2,2+MOD(ROWS(C$2:C970)-1,3))</f>
        <v>16.00</v>
      </c>
      <c r="D970" s="14" t="str">
        <f t="shared" ca="1" si="46"/>
        <v>—</v>
      </c>
      <c r="E970" s="25">
        <f t="shared" ca="1" si="47"/>
        <v>7</v>
      </c>
    </row>
    <row r="971" spans="1:5" x14ac:dyDescent="0.25">
      <c r="A971" s="8">
        <f t="shared" si="45"/>
        <v>73</v>
      </c>
      <c r="B971" t="str">
        <f ca="1">TEXT(DATE(YEAR(Invoer!$A$5),1,1)+INT((ROWS(B$2:B971)-1)/3),"jjjjmmdd")</f>
        <v>19461120</v>
      </c>
      <c r="C971" s="20" t="str">
        <f>INDEX(Data,2,2+MOD(ROWS(C$2:C971)-1,3))</f>
        <v>08.00</v>
      </c>
      <c r="D971" s="14" t="str">
        <f t="shared" ca="1" si="46"/>
        <v>—</v>
      </c>
      <c r="E971" s="25">
        <f t="shared" ca="1" si="47"/>
        <v>7</v>
      </c>
    </row>
    <row r="972" spans="1:5" x14ac:dyDescent="0.25">
      <c r="A972" s="8">
        <f t="shared" si="45"/>
        <v>73</v>
      </c>
      <c r="B972" t="str">
        <f ca="1">TEXT(DATE(YEAR(Invoer!$A$5),1,1)+INT((ROWS(B$2:B972)-1)/3),"jjjjmmdd")</f>
        <v>19461120</v>
      </c>
      <c r="C972" s="20" t="str">
        <f>INDEX(Data,2,2+MOD(ROWS(C$2:C972)-1,3))</f>
        <v>12.00</v>
      </c>
      <c r="D972" s="14" t="str">
        <f t="shared" ca="1" si="46"/>
        <v>—</v>
      </c>
      <c r="E972" s="25">
        <f t="shared" ca="1" si="47"/>
        <v>7</v>
      </c>
    </row>
    <row r="973" spans="1:5" x14ac:dyDescent="0.25">
      <c r="A973" s="8">
        <f t="shared" si="45"/>
        <v>73</v>
      </c>
      <c r="B973" t="str">
        <f ca="1">TEXT(DATE(YEAR(Invoer!$A$5),1,1)+INT((ROWS(B$2:B973)-1)/3),"jjjjmmdd")</f>
        <v>19461120</v>
      </c>
      <c r="C973" s="20" t="str">
        <f>INDEX(Data,2,2+MOD(ROWS(C$2:C973)-1,3))</f>
        <v>16.00</v>
      </c>
      <c r="D973" s="14" t="str">
        <f t="shared" ca="1" si="46"/>
        <v>—</v>
      </c>
      <c r="E973" s="25">
        <f t="shared" ca="1" si="47"/>
        <v>7</v>
      </c>
    </row>
    <row r="974" spans="1:5" x14ac:dyDescent="0.25">
      <c r="A974" s="8">
        <f t="shared" si="45"/>
        <v>73</v>
      </c>
      <c r="B974" t="str">
        <f ca="1">TEXT(DATE(YEAR(Invoer!$A$5),1,1)+INT((ROWS(B$2:B974)-1)/3),"jjjjmmdd")</f>
        <v>19461121</v>
      </c>
      <c r="C974" s="20" t="str">
        <f>INDEX(Data,2,2+MOD(ROWS(C$2:C974)-1,3))</f>
        <v>08.00</v>
      </c>
      <c r="D974" s="14" t="str">
        <f t="shared" ca="1" si="46"/>
        <v>—</v>
      </c>
      <c r="E974" s="25">
        <f t="shared" ca="1" si="47"/>
        <v>7</v>
      </c>
    </row>
    <row r="975" spans="1:5" x14ac:dyDescent="0.25">
      <c r="A975" s="8">
        <f t="shared" si="45"/>
        <v>73</v>
      </c>
      <c r="B975" t="str">
        <f ca="1">TEXT(DATE(YEAR(Invoer!$A$5),1,1)+INT((ROWS(B$2:B975)-1)/3),"jjjjmmdd")</f>
        <v>19461121</v>
      </c>
      <c r="C975" s="20" t="str">
        <f>INDEX(Data,2,2+MOD(ROWS(C$2:C975)-1,3))</f>
        <v>12.00</v>
      </c>
      <c r="D975" s="14" t="str">
        <f t="shared" ca="1" si="46"/>
        <v>—</v>
      </c>
      <c r="E975" s="25">
        <f t="shared" ca="1" si="47"/>
        <v>7</v>
      </c>
    </row>
    <row r="976" spans="1:5" x14ac:dyDescent="0.25">
      <c r="A976" s="8">
        <f t="shared" si="45"/>
        <v>73</v>
      </c>
      <c r="B976" t="str">
        <f ca="1">TEXT(DATE(YEAR(Invoer!$A$5),1,1)+INT((ROWS(B$2:B976)-1)/3),"jjjjmmdd")</f>
        <v>19461121</v>
      </c>
      <c r="C976" s="20" t="str">
        <f>INDEX(Data,2,2+MOD(ROWS(C$2:C976)-1,3))</f>
        <v>16.00</v>
      </c>
      <c r="D976" s="14" t="str">
        <f t="shared" ca="1" si="46"/>
        <v>—</v>
      </c>
      <c r="E976" s="25">
        <f t="shared" ca="1" si="47"/>
        <v>7</v>
      </c>
    </row>
    <row r="977" spans="1:5" x14ac:dyDescent="0.25">
      <c r="A977" s="8">
        <f t="shared" si="45"/>
        <v>73</v>
      </c>
      <c r="B977" t="str">
        <f ca="1">TEXT(DATE(YEAR(Invoer!$A$5),1,1)+INT((ROWS(B$2:B977)-1)/3),"jjjjmmdd")</f>
        <v>19461122</v>
      </c>
      <c r="C977" s="20" t="str">
        <f>INDEX(Data,2,2+MOD(ROWS(C$2:C977)-1,3))</f>
        <v>08.00</v>
      </c>
      <c r="D977" s="14" t="str">
        <f t="shared" ca="1" si="46"/>
        <v>—</v>
      </c>
      <c r="E977" s="25">
        <f t="shared" ca="1" si="47"/>
        <v>7</v>
      </c>
    </row>
    <row r="978" spans="1:5" x14ac:dyDescent="0.25">
      <c r="A978" s="8">
        <f t="shared" si="45"/>
        <v>73</v>
      </c>
      <c r="B978" t="str">
        <f ca="1">TEXT(DATE(YEAR(Invoer!$A$5),1,1)+INT((ROWS(B$2:B978)-1)/3),"jjjjmmdd")</f>
        <v>19461122</v>
      </c>
      <c r="C978" s="20" t="str">
        <f>INDEX(Data,2,2+MOD(ROWS(C$2:C978)-1,3))</f>
        <v>12.00</v>
      </c>
      <c r="D978" s="14" t="str">
        <f t="shared" ca="1" si="46"/>
        <v>—</v>
      </c>
      <c r="E978" s="25">
        <f t="shared" ca="1" si="47"/>
        <v>7</v>
      </c>
    </row>
    <row r="979" spans="1:5" x14ac:dyDescent="0.25">
      <c r="A979" s="8">
        <f t="shared" si="45"/>
        <v>73</v>
      </c>
      <c r="B979" t="str">
        <f ca="1">TEXT(DATE(YEAR(Invoer!$A$5),1,1)+INT((ROWS(B$2:B979)-1)/3),"jjjjmmdd")</f>
        <v>19461122</v>
      </c>
      <c r="C979" s="20" t="str">
        <f>INDEX(Data,2,2+MOD(ROWS(C$2:C979)-1,3))</f>
        <v>16.00</v>
      </c>
      <c r="D979" s="14" t="str">
        <f t="shared" ca="1" si="46"/>
        <v>—</v>
      </c>
      <c r="E979" s="25">
        <f t="shared" ca="1" si="47"/>
        <v>7</v>
      </c>
    </row>
    <row r="980" spans="1:5" x14ac:dyDescent="0.25">
      <c r="A980" s="8">
        <f t="shared" si="45"/>
        <v>73</v>
      </c>
      <c r="B980" t="str">
        <f ca="1">TEXT(DATE(YEAR(Invoer!$A$5),1,1)+INT((ROWS(B$2:B980)-1)/3),"jjjjmmdd")</f>
        <v>19461123</v>
      </c>
      <c r="C980" s="20" t="str">
        <f>INDEX(Data,2,2+MOD(ROWS(C$2:C980)-1,3))</f>
        <v>08.00</v>
      </c>
      <c r="D980" s="14" t="str">
        <f t="shared" ca="1" si="46"/>
        <v>—</v>
      </c>
      <c r="E980" s="25">
        <f t="shared" ca="1" si="47"/>
        <v>7</v>
      </c>
    </row>
    <row r="981" spans="1:5" x14ac:dyDescent="0.25">
      <c r="A981" s="8">
        <f t="shared" si="45"/>
        <v>73</v>
      </c>
      <c r="B981" t="str">
        <f ca="1">TEXT(DATE(YEAR(Invoer!$A$5),1,1)+INT((ROWS(B$2:B981)-1)/3),"jjjjmmdd")</f>
        <v>19461123</v>
      </c>
      <c r="C981" s="20" t="str">
        <f>INDEX(Data,2,2+MOD(ROWS(C$2:C981)-1,3))</f>
        <v>12.00</v>
      </c>
      <c r="D981" s="14" t="str">
        <f t="shared" ca="1" si="46"/>
        <v>—</v>
      </c>
      <c r="E981" s="25">
        <f t="shared" ca="1" si="47"/>
        <v>7</v>
      </c>
    </row>
    <row r="982" spans="1:5" x14ac:dyDescent="0.25">
      <c r="A982" s="8">
        <f t="shared" si="45"/>
        <v>73</v>
      </c>
      <c r="B982" t="str">
        <f ca="1">TEXT(DATE(YEAR(Invoer!$A$5),1,1)+INT((ROWS(B$2:B982)-1)/3),"jjjjmmdd")</f>
        <v>19461123</v>
      </c>
      <c r="C982" s="20" t="str">
        <f>INDEX(Data,2,2+MOD(ROWS(C$2:C982)-1,3))</f>
        <v>16.00</v>
      </c>
      <c r="D982" s="14" t="str">
        <f t="shared" ca="1" si="46"/>
        <v>—</v>
      </c>
      <c r="E982" s="25">
        <f t="shared" ca="1" si="47"/>
        <v>7</v>
      </c>
    </row>
    <row r="983" spans="1:5" x14ac:dyDescent="0.25">
      <c r="A983" s="8">
        <f t="shared" si="45"/>
        <v>73</v>
      </c>
      <c r="B983" t="str">
        <f ca="1">TEXT(DATE(YEAR(Invoer!$A$5),1,1)+INT((ROWS(B$2:B983)-1)/3),"jjjjmmdd")</f>
        <v>19461124</v>
      </c>
      <c r="C983" s="20" t="str">
        <f>INDEX(Data,2,2+MOD(ROWS(C$2:C983)-1,3))</f>
        <v>08.00</v>
      </c>
      <c r="D983" s="14" t="str">
        <f t="shared" ca="1" si="46"/>
        <v>—</v>
      </c>
      <c r="E983" s="25">
        <f t="shared" ca="1" si="47"/>
        <v>7</v>
      </c>
    </row>
    <row r="984" spans="1:5" x14ac:dyDescent="0.25">
      <c r="A984" s="8">
        <f t="shared" si="45"/>
        <v>73</v>
      </c>
      <c r="B984" t="str">
        <f ca="1">TEXT(DATE(YEAR(Invoer!$A$5),1,1)+INT((ROWS(B$2:B984)-1)/3),"jjjjmmdd")</f>
        <v>19461124</v>
      </c>
      <c r="C984" s="20" t="str">
        <f>INDEX(Data,2,2+MOD(ROWS(C$2:C984)-1,3))</f>
        <v>12.00</v>
      </c>
      <c r="D984" s="14" t="str">
        <f t="shared" ca="1" si="46"/>
        <v>—</v>
      </c>
      <c r="E984" s="25">
        <f t="shared" ca="1" si="47"/>
        <v>7</v>
      </c>
    </row>
    <row r="985" spans="1:5" x14ac:dyDescent="0.25">
      <c r="A985" s="8">
        <f t="shared" si="45"/>
        <v>73</v>
      </c>
      <c r="B985" t="str">
        <f ca="1">TEXT(DATE(YEAR(Invoer!$A$5),1,1)+INT((ROWS(B$2:B985)-1)/3),"jjjjmmdd")</f>
        <v>19461124</v>
      </c>
      <c r="C985" s="20" t="str">
        <f>INDEX(Data,2,2+MOD(ROWS(C$2:C985)-1,3))</f>
        <v>16.00</v>
      </c>
      <c r="D985" s="14" t="str">
        <f t="shared" ca="1" si="46"/>
        <v>—</v>
      </c>
      <c r="E985" s="25">
        <f t="shared" ca="1" si="47"/>
        <v>7</v>
      </c>
    </row>
    <row r="986" spans="1:5" x14ac:dyDescent="0.25">
      <c r="A986" s="8">
        <f t="shared" si="45"/>
        <v>73</v>
      </c>
      <c r="B986" t="str">
        <f ca="1">TEXT(DATE(YEAR(Invoer!$A$5),1,1)+INT((ROWS(B$2:B986)-1)/3),"jjjjmmdd")</f>
        <v>19461125</v>
      </c>
      <c r="C986" s="20" t="str">
        <f>INDEX(Data,2,2+MOD(ROWS(C$2:C986)-1,3))</f>
        <v>08.00</v>
      </c>
      <c r="D986" s="14" t="str">
        <f t="shared" ca="1" si="46"/>
        <v>—</v>
      </c>
      <c r="E986" s="25">
        <f t="shared" ca="1" si="47"/>
        <v>7</v>
      </c>
    </row>
    <row r="987" spans="1:5" x14ac:dyDescent="0.25">
      <c r="A987" s="8">
        <f t="shared" si="45"/>
        <v>73</v>
      </c>
      <c r="B987" t="str">
        <f ca="1">TEXT(DATE(YEAR(Invoer!$A$5),1,1)+INT((ROWS(B$2:B987)-1)/3),"jjjjmmdd")</f>
        <v>19461125</v>
      </c>
      <c r="C987" s="20" t="str">
        <f>INDEX(Data,2,2+MOD(ROWS(C$2:C987)-1,3))</f>
        <v>12.00</v>
      </c>
      <c r="D987" s="14" t="str">
        <f t="shared" ca="1" si="46"/>
        <v>—</v>
      </c>
      <c r="E987" s="25">
        <f t="shared" ca="1" si="47"/>
        <v>7</v>
      </c>
    </row>
    <row r="988" spans="1:5" x14ac:dyDescent="0.25">
      <c r="A988" s="8">
        <f t="shared" si="45"/>
        <v>73</v>
      </c>
      <c r="B988" t="str">
        <f ca="1">TEXT(DATE(YEAR(Invoer!$A$5),1,1)+INT((ROWS(B$2:B988)-1)/3),"jjjjmmdd")</f>
        <v>19461125</v>
      </c>
      <c r="C988" s="20" t="str">
        <f>INDEX(Data,2,2+MOD(ROWS(C$2:C988)-1,3))</f>
        <v>16.00</v>
      </c>
      <c r="D988" s="14" t="str">
        <f t="shared" ca="1" si="46"/>
        <v>—</v>
      </c>
      <c r="E988" s="25">
        <f t="shared" ca="1" si="47"/>
        <v>7</v>
      </c>
    </row>
    <row r="989" spans="1:5" x14ac:dyDescent="0.25">
      <c r="A989" s="8">
        <f t="shared" si="45"/>
        <v>73</v>
      </c>
      <c r="B989" t="str">
        <f ca="1">TEXT(DATE(YEAR(Invoer!$A$5),1,1)+INT((ROWS(B$2:B989)-1)/3),"jjjjmmdd")</f>
        <v>19461126</v>
      </c>
      <c r="C989" s="20" t="str">
        <f>INDEX(Data,2,2+MOD(ROWS(C$2:C989)-1,3))</f>
        <v>08.00</v>
      </c>
      <c r="D989" s="14" t="str">
        <f t="shared" ca="1" si="46"/>
        <v>—</v>
      </c>
      <c r="E989" s="25">
        <f t="shared" ca="1" si="47"/>
        <v>7</v>
      </c>
    </row>
    <row r="990" spans="1:5" x14ac:dyDescent="0.25">
      <c r="A990" s="8">
        <f t="shared" si="45"/>
        <v>73</v>
      </c>
      <c r="B990" t="str">
        <f ca="1">TEXT(DATE(YEAR(Invoer!$A$5),1,1)+INT((ROWS(B$2:B990)-1)/3),"jjjjmmdd")</f>
        <v>19461126</v>
      </c>
      <c r="C990" s="20" t="str">
        <f>INDEX(Data,2,2+MOD(ROWS(C$2:C990)-1,3))</f>
        <v>12.00</v>
      </c>
      <c r="D990" s="14" t="str">
        <f t="shared" ca="1" si="46"/>
        <v>—</v>
      </c>
      <c r="E990" s="25">
        <f t="shared" ca="1" si="47"/>
        <v>7</v>
      </c>
    </row>
    <row r="991" spans="1:5" x14ac:dyDescent="0.25">
      <c r="A991" s="8">
        <f t="shared" si="45"/>
        <v>73</v>
      </c>
      <c r="B991" t="str">
        <f ca="1">TEXT(DATE(YEAR(Invoer!$A$5),1,1)+INT((ROWS(B$2:B991)-1)/3),"jjjjmmdd")</f>
        <v>19461126</v>
      </c>
      <c r="C991" s="20" t="str">
        <f>INDEX(Data,2,2+MOD(ROWS(C$2:C991)-1,3))</f>
        <v>16.00</v>
      </c>
      <c r="D991" s="14" t="str">
        <f t="shared" ca="1" si="46"/>
        <v>—</v>
      </c>
      <c r="E991" s="25">
        <f t="shared" ca="1" si="47"/>
        <v>7</v>
      </c>
    </row>
    <row r="992" spans="1:5" x14ac:dyDescent="0.25">
      <c r="A992" s="8">
        <f t="shared" si="45"/>
        <v>73</v>
      </c>
      <c r="B992" t="str">
        <f ca="1">TEXT(DATE(YEAR(Invoer!$A$5),1,1)+INT((ROWS(B$2:B992)-1)/3),"jjjjmmdd")</f>
        <v>19461127</v>
      </c>
      <c r="C992" s="20" t="str">
        <f>INDEX(Data,2,2+MOD(ROWS(C$2:C992)-1,3))</f>
        <v>08.00</v>
      </c>
      <c r="D992" s="14" t="str">
        <f t="shared" ca="1" si="46"/>
        <v>—</v>
      </c>
      <c r="E992" s="25">
        <f t="shared" ca="1" si="47"/>
        <v>7</v>
      </c>
    </row>
    <row r="993" spans="1:5" x14ac:dyDescent="0.25">
      <c r="A993" s="8">
        <f t="shared" si="45"/>
        <v>73</v>
      </c>
      <c r="B993" t="str">
        <f ca="1">TEXT(DATE(YEAR(Invoer!$A$5),1,1)+INT((ROWS(B$2:B993)-1)/3),"jjjjmmdd")</f>
        <v>19461127</v>
      </c>
      <c r="C993" s="20" t="str">
        <f>INDEX(Data,2,2+MOD(ROWS(C$2:C993)-1,3))</f>
        <v>12.00</v>
      </c>
      <c r="D993" s="14" t="str">
        <f t="shared" ca="1" si="46"/>
        <v>—</v>
      </c>
      <c r="E993" s="25">
        <f t="shared" ca="1" si="47"/>
        <v>7</v>
      </c>
    </row>
    <row r="994" spans="1:5" x14ac:dyDescent="0.25">
      <c r="A994" s="8">
        <f t="shared" si="45"/>
        <v>73</v>
      </c>
      <c r="B994" t="str">
        <f ca="1">TEXT(DATE(YEAR(Invoer!$A$5),1,1)+INT((ROWS(B$2:B994)-1)/3),"jjjjmmdd")</f>
        <v>19461127</v>
      </c>
      <c r="C994" s="20" t="str">
        <f>INDEX(Data,2,2+MOD(ROWS(C$2:C994)-1,3))</f>
        <v>16.00</v>
      </c>
      <c r="D994" s="14" t="str">
        <f t="shared" ca="1" si="46"/>
        <v>—</v>
      </c>
      <c r="E994" s="25">
        <f t="shared" ca="1" si="47"/>
        <v>7</v>
      </c>
    </row>
    <row r="995" spans="1:5" x14ac:dyDescent="0.25">
      <c r="A995" s="8">
        <f t="shared" si="45"/>
        <v>73</v>
      </c>
      <c r="B995" t="str">
        <f ca="1">TEXT(DATE(YEAR(Invoer!$A$5),1,1)+INT((ROWS(B$2:B995)-1)/3),"jjjjmmdd")</f>
        <v>19461128</v>
      </c>
      <c r="C995" s="20" t="str">
        <f>INDEX(Data,2,2+MOD(ROWS(C$2:C995)-1,3))</f>
        <v>08.00</v>
      </c>
      <c r="D995" s="14" t="str">
        <f t="shared" ca="1" si="46"/>
        <v>—</v>
      </c>
      <c r="E995" s="25">
        <f t="shared" ca="1" si="47"/>
        <v>7</v>
      </c>
    </row>
    <row r="996" spans="1:5" x14ac:dyDescent="0.25">
      <c r="A996" s="8">
        <f t="shared" si="45"/>
        <v>73</v>
      </c>
      <c r="B996" t="str">
        <f ca="1">TEXT(DATE(YEAR(Invoer!$A$5),1,1)+INT((ROWS(B$2:B996)-1)/3),"jjjjmmdd")</f>
        <v>19461128</v>
      </c>
      <c r="C996" s="20" t="str">
        <f>INDEX(Data,2,2+MOD(ROWS(C$2:C996)-1,3))</f>
        <v>12.00</v>
      </c>
      <c r="D996" s="14" t="str">
        <f t="shared" ca="1" si="46"/>
        <v>—</v>
      </c>
      <c r="E996" s="25">
        <f t="shared" ca="1" si="47"/>
        <v>7</v>
      </c>
    </row>
    <row r="997" spans="1:5" x14ac:dyDescent="0.25">
      <c r="A997" s="8">
        <f t="shared" si="45"/>
        <v>73</v>
      </c>
      <c r="B997" t="str">
        <f ca="1">TEXT(DATE(YEAR(Invoer!$A$5),1,1)+INT((ROWS(B$2:B997)-1)/3),"jjjjmmdd")</f>
        <v>19461128</v>
      </c>
      <c r="C997" s="20" t="str">
        <f>INDEX(Data,2,2+MOD(ROWS(C$2:C997)-1,3))</f>
        <v>16.00</v>
      </c>
      <c r="D997" s="14" t="str">
        <f t="shared" ca="1" si="46"/>
        <v>—</v>
      </c>
      <c r="E997" s="25">
        <f t="shared" ca="1" si="47"/>
        <v>7</v>
      </c>
    </row>
    <row r="998" spans="1:5" x14ac:dyDescent="0.25">
      <c r="A998" s="8">
        <f t="shared" si="45"/>
        <v>73</v>
      </c>
      <c r="B998" t="str">
        <f ca="1">TEXT(DATE(YEAR(Invoer!$A$5),1,1)+INT((ROWS(B$2:B998)-1)/3),"jjjjmmdd")</f>
        <v>19461129</v>
      </c>
      <c r="C998" s="20" t="str">
        <f>INDEX(Data,2,2+MOD(ROWS(C$2:C998)-1,3))</f>
        <v>08.00</v>
      </c>
      <c r="D998" s="14" t="str">
        <f t="shared" ca="1" si="46"/>
        <v>—</v>
      </c>
      <c r="E998" s="25">
        <f t="shared" ca="1" si="47"/>
        <v>7</v>
      </c>
    </row>
    <row r="999" spans="1:5" x14ac:dyDescent="0.25">
      <c r="A999" s="8">
        <f t="shared" si="45"/>
        <v>73</v>
      </c>
      <c r="B999" t="str">
        <f ca="1">TEXT(DATE(YEAR(Invoer!$A$5),1,1)+INT((ROWS(B$2:B999)-1)/3),"jjjjmmdd")</f>
        <v>19461129</v>
      </c>
      <c r="C999" s="20" t="str">
        <f>INDEX(Data,2,2+MOD(ROWS(C$2:C999)-1,3))</f>
        <v>12.00</v>
      </c>
      <c r="D999" s="14" t="str">
        <f t="shared" ca="1" si="46"/>
        <v>—</v>
      </c>
      <c r="E999" s="25">
        <f t="shared" ca="1" si="47"/>
        <v>7</v>
      </c>
    </row>
    <row r="1000" spans="1:5" x14ac:dyDescent="0.25">
      <c r="A1000" s="8">
        <f t="shared" si="45"/>
        <v>73</v>
      </c>
      <c r="B1000" t="str">
        <f ca="1">TEXT(DATE(YEAR(Invoer!$A$5),1,1)+INT((ROWS(B$2:B1000)-1)/3),"jjjjmmdd")</f>
        <v>19461129</v>
      </c>
      <c r="C1000" s="20" t="str">
        <f>INDEX(Data,2,2+MOD(ROWS(C$2:C1000)-1,3))</f>
        <v>16.00</v>
      </c>
      <c r="D1000" s="14" t="str">
        <f t="shared" ca="1" si="46"/>
        <v>—</v>
      </c>
      <c r="E1000" s="25">
        <f t="shared" ca="1" si="47"/>
        <v>7</v>
      </c>
    </row>
    <row r="1001" spans="1:5" x14ac:dyDescent="0.25">
      <c r="A1001" s="8">
        <f t="shared" si="45"/>
        <v>73</v>
      </c>
      <c r="B1001" t="str">
        <f ca="1">TEXT(DATE(YEAR(Invoer!$A$5),1,1)+INT((ROWS(B$2:B1001)-1)/3),"jjjjmmdd")</f>
        <v>19461130</v>
      </c>
      <c r="C1001" s="20" t="str">
        <f>INDEX(Data,2,2+MOD(ROWS(C$2:C1001)-1,3))</f>
        <v>08.00</v>
      </c>
      <c r="D1001" s="14" t="str">
        <f t="shared" ca="1" si="46"/>
        <v>—</v>
      </c>
      <c r="E1001" s="25">
        <f t="shared" ca="1" si="47"/>
        <v>7</v>
      </c>
    </row>
    <row r="1002" spans="1:5" x14ac:dyDescent="0.25">
      <c r="A1002" s="8">
        <f t="shared" si="45"/>
        <v>73</v>
      </c>
      <c r="B1002" t="str">
        <f ca="1">TEXT(DATE(YEAR(Invoer!$A$5),1,1)+INT((ROWS(B$2:B1002)-1)/3),"jjjjmmdd")</f>
        <v>19461130</v>
      </c>
      <c r="C1002" s="20" t="str">
        <f>INDEX(Data,2,2+MOD(ROWS(C$2:C1002)-1,3))</f>
        <v>12.00</v>
      </c>
      <c r="D1002" s="14" t="str">
        <f t="shared" ca="1" si="46"/>
        <v>—</v>
      </c>
      <c r="E1002" s="25">
        <f t="shared" ca="1" si="47"/>
        <v>7</v>
      </c>
    </row>
    <row r="1003" spans="1:5" x14ac:dyDescent="0.25">
      <c r="A1003" s="8">
        <f t="shared" si="45"/>
        <v>73</v>
      </c>
      <c r="B1003" t="str">
        <f ca="1">TEXT(DATE(YEAR(Invoer!$A$5),1,1)+INT((ROWS(B$2:B1003)-1)/3),"jjjjmmdd")</f>
        <v>19461130</v>
      </c>
      <c r="C1003" s="20" t="str">
        <f>INDEX(Data,2,2+MOD(ROWS(C$2:C1003)-1,3))</f>
        <v>16.00</v>
      </c>
      <c r="D1003" s="14" t="str">
        <f t="shared" ca="1" si="46"/>
        <v>—</v>
      </c>
      <c r="E1003" s="25">
        <f t="shared" ca="1" si="47"/>
        <v>7</v>
      </c>
    </row>
    <row r="1004" spans="1:5" x14ac:dyDescent="0.25">
      <c r="A1004" s="8">
        <f t="shared" si="45"/>
        <v>73</v>
      </c>
      <c r="B1004" t="str">
        <f ca="1">TEXT(DATE(YEAR(Invoer!$A$5),1,1)+INT((ROWS(B$2:B1004)-1)/3),"jjjjmmdd")</f>
        <v>19461201</v>
      </c>
      <c r="C1004" s="20" t="str">
        <f>INDEX(Data,2,2+MOD(ROWS(C$2:C1004)-1,3))</f>
        <v>08.00</v>
      </c>
      <c r="D1004" s="14" t="str">
        <f t="shared" ca="1" si="46"/>
        <v>—</v>
      </c>
      <c r="E1004" s="25">
        <f t="shared" ca="1" si="47"/>
        <v>7</v>
      </c>
    </row>
    <row r="1005" spans="1:5" x14ac:dyDescent="0.25">
      <c r="A1005" s="8">
        <f t="shared" si="45"/>
        <v>73</v>
      </c>
      <c r="B1005" t="str">
        <f ca="1">TEXT(DATE(YEAR(Invoer!$A$5),1,1)+INT((ROWS(B$2:B1005)-1)/3),"jjjjmmdd")</f>
        <v>19461201</v>
      </c>
      <c r="C1005" s="20" t="str">
        <f>INDEX(Data,2,2+MOD(ROWS(C$2:C1005)-1,3))</f>
        <v>12.00</v>
      </c>
      <c r="D1005" s="14" t="str">
        <f t="shared" ca="1" si="46"/>
        <v>—</v>
      </c>
      <c r="E1005" s="25">
        <f t="shared" ca="1" si="47"/>
        <v>7</v>
      </c>
    </row>
    <row r="1006" spans="1:5" x14ac:dyDescent="0.25">
      <c r="A1006" s="8">
        <f t="shared" si="45"/>
        <v>73</v>
      </c>
      <c r="B1006" t="str">
        <f ca="1">TEXT(DATE(YEAR(Invoer!$A$5),1,1)+INT((ROWS(B$2:B1006)-1)/3),"jjjjmmdd")</f>
        <v>19461201</v>
      </c>
      <c r="C1006" s="20" t="str">
        <f>INDEX(Data,2,2+MOD(ROWS(C$2:C1006)-1,3))</f>
        <v>16.00</v>
      </c>
      <c r="D1006" s="14" t="str">
        <f t="shared" ca="1" si="46"/>
        <v>—</v>
      </c>
      <c r="E1006" s="25">
        <f t="shared" ca="1" si="47"/>
        <v>7</v>
      </c>
    </row>
    <row r="1007" spans="1:5" x14ac:dyDescent="0.25">
      <c r="A1007" s="8">
        <f t="shared" si="45"/>
        <v>73</v>
      </c>
      <c r="B1007" t="str">
        <f ca="1">TEXT(DATE(YEAR(Invoer!$A$5),1,1)+INT((ROWS(B$2:B1007)-1)/3),"jjjjmmdd")</f>
        <v>19461202</v>
      </c>
      <c r="C1007" s="20" t="str">
        <f>INDEX(Data,2,2+MOD(ROWS(C$2:C1007)-1,3))</f>
        <v>08.00</v>
      </c>
      <c r="D1007" s="14" t="str">
        <f t="shared" ca="1" si="46"/>
        <v>—</v>
      </c>
      <c r="E1007" s="25">
        <f t="shared" ca="1" si="47"/>
        <v>7</v>
      </c>
    </row>
    <row r="1008" spans="1:5" x14ac:dyDescent="0.25">
      <c r="A1008" s="8">
        <f t="shared" si="45"/>
        <v>73</v>
      </c>
      <c r="B1008" t="str">
        <f ca="1">TEXT(DATE(YEAR(Invoer!$A$5),1,1)+INT((ROWS(B$2:B1008)-1)/3),"jjjjmmdd")</f>
        <v>19461202</v>
      </c>
      <c r="C1008" s="20" t="str">
        <f>INDEX(Data,2,2+MOD(ROWS(C$2:C1008)-1,3))</f>
        <v>12.00</v>
      </c>
      <c r="D1008" s="14" t="str">
        <f t="shared" ca="1" si="46"/>
        <v>—</v>
      </c>
      <c r="E1008" s="25">
        <f t="shared" ca="1" si="47"/>
        <v>7</v>
      </c>
    </row>
    <row r="1009" spans="1:5" x14ac:dyDescent="0.25">
      <c r="A1009" s="8">
        <f t="shared" si="45"/>
        <v>73</v>
      </c>
      <c r="B1009" t="str">
        <f ca="1">TEXT(DATE(YEAR(Invoer!$A$5),1,1)+INT((ROWS(B$2:B1009)-1)/3),"jjjjmmdd")</f>
        <v>19461202</v>
      </c>
      <c r="C1009" s="20" t="str">
        <f>INDEX(Data,2,2+MOD(ROWS(C$2:C1009)-1,3))</f>
        <v>16.00</v>
      </c>
      <c r="D1009" s="14" t="str">
        <f t="shared" ca="1" si="46"/>
        <v>—</v>
      </c>
      <c r="E1009" s="25">
        <f t="shared" ca="1" si="47"/>
        <v>7</v>
      </c>
    </row>
    <row r="1010" spans="1:5" x14ac:dyDescent="0.25">
      <c r="A1010" s="8">
        <f t="shared" si="45"/>
        <v>73</v>
      </c>
      <c r="B1010" t="str">
        <f ca="1">TEXT(DATE(YEAR(Invoer!$A$5),1,1)+INT((ROWS(B$2:B1010)-1)/3),"jjjjmmdd")</f>
        <v>19461203</v>
      </c>
      <c r="C1010" s="20" t="str">
        <f>INDEX(Data,2,2+MOD(ROWS(C$2:C1010)-1,3))</f>
        <v>08.00</v>
      </c>
      <c r="D1010" s="14" t="str">
        <f t="shared" ca="1" si="46"/>
        <v>—</v>
      </c>
      <c r="E1010" s="25">
        <f t="shared" ca="1" si="47"/>
        <v>7</v>
      </c>
    </row>
    <row r="1011" spans="1:5" x14ac:dyDescent="0.25">
      <c r="A1011" s="8">
        <f t="shared" si="45"/>
        <v>73</v>
      </c>
      <c r="B1011" t="str">
        <f ca="1">TEXT(DATE(YEAR(Invoer!$A$5),1,1)+INT((ROWS(B$2:B1011)-1)/3),"jjjjmmdd")</f>
        <v>19461203</v>
      </c>
      <c r="C1011" s="20" t="str">
        <f>INDEX(Data,2,2+MOD(ROWS(C$2:C1011)-1,3))</f>
        <v>12.00</v>
      </c>
      <c r="D1011" s="14" t="str">
        <f t="shared" ca="1" si="46"/>
        <v>—</v>
      </c>
      <c r="E1011" s="25">
        <f t="shared" ca="1" si="47"/>
        <v>7</v>
      </c>
    </row>
    <row r="1012" spans="1:5" x14ac:dyDescent="0.25">
      <c r="A1012" s="8">
        <f t="shared" si="45"/>
        <v>73</v>
      </c>
      <c r="B1012" t="str">
        <f ca="1">TEXT(DATE(YEAR(Invoer!$A$5),1,1)+INT((ROWS(B$2:B1012)-1)/3),"jjjjmmdd")</f>
        <v>19461203</v>
      </c>
      <c r="C1012" s="20" t="str">
        <f>INDEX(Data,2,2+MOD(ROWS(C$2:C1012)-1,3))</f>
        <v>16.00</v>
      </c>
      <c r="D1012" s="14" t="str">
        <f t="shared" ca="1" si="46"/>
        <v>—</v>
      </c>
      <c r="E1012" s="25">
        <f t="shared" ca="1" si="47"/>
        <v>7</v>
      </c>
    </row>
    <row r="1013" spans="1:5" x14ac:dyDescent="0.25">
      <c r="A1013" s="8">
        <f t="shared" si="45"/>
        <v>73</v>
      </c>
      <c r="B1013" t="str">
        <f ca="1">TEXT(DATE(YEAR(Invoer!$A$5),1,1)+INT((ROWS(B$2:B1013)-1)/3),"jjjjmmdd")</f>
        <v>19461204</v>
      </c>
      <c r="C1013" s="20" t="str">
        <f>INDEX(Data,2,2+MOD(ROWS(C$2:C1013)-1,3))</f>
        <v>08.00</v>
      </c>
      <c r="D1013" s="14" t="str">
        <f t="shared" ca="1" si="46"/>
        <v>—</v>
      </c>
      <c r="E1013" s="25">
        <f t="shared" ca="1" si="47"/>
        <v>7</v>
      </c>
    </row>
    <row r="1014" spans="1:5" x14ac:dyDescent="0.25">
      <c r="A1014" s="8">
        <f t="shared" si="45"/>
        <v>73</v>
      </c>
      <c r="B1014" t="str">
        <f ca="1">TEXT(DATE(YEAR(Invoer!$A$5),1,1)+INT((ROWS(B$2:B1014)-1)/3),"jjjjmmdd")</f>
        <v>19461204</v>
      </c>
      <c r="C1014" s="20" t="str">
        <f>INDEX(Data,2,2+MOD(ROWS(C$2:C1014)-1,3))</f>
        <v>12.00</v>
      </c>
      <c r="D1014" s="14" t="str">
        <f t="shared" ca="1" si="46"/>
        <v>—</v>
      </c>
      <c r="E1014" s="25">
        <f t="shared" ca="1" si="47"/>
        <v>7</v>
      </c>
    </row>
    <row r="1015" spans="1:5" x14ac:dyDescent="0.25">
      <c r="A1015" s="8">
        <f t="shared" si="45"/>
        <v>73</v>
      </c>
      <c r="B1015" t="str">
        <f ca="1">TEXT(DATE(YEAR(Invoer!$A$5),1,1)+INT((ROWS(B$2:B1015)-1)/3),"jjjjmmdd")</f>
        <v>19461204</v>
      </c>
      <c r="C1015" s="20" t="str">
        <f>INDEX(Data,2,2+MOD(ROWS(C$2:C1015)-1,3))</f>
        <v>16.00</v>
      </c>
      <c r="D1015" s="14" t="str">
        <f t="shared" ca="1" si="46"/>
        <v>—</v>
      </c>
      <c r="E1015" s="25">
        <f t="shared" ca="1" si="47"/>
        <v>7</v>
      </c>
    </row>
    <row r="1016" spans="1:5" x14ac:dyDescent="0.25">
      <c r="A1016" s="8">
        <f t="shared" si="45"/>
        <v>73</v>
      </c>
      <c r="B1016" t="str">
        <f ca="1">TEXT(DATE(YEAR(Invoer!$A$5),1,1)+INT((ROWS(B$2:B1016)-1)/3),"jjjjmmdd")</f>
        <v>19461205</v>
      </c>
      <c r="C1016" s="20" t="str">
        <f>INDEX(Data,2,2+MOD(ROWS(C$2:C1016)-1,3))</f>
        <v>08.00</v>
      </c>
      <c r="D1016" s="14" t="str">
        <f t="shared" ca="1" si="46"/>
        <v>—</v>
      </c>
      <c r="E1016" s="25">
        <f t="shared" ca="1" si="47"/>
        <v>7</v>
      </c>
    </row>
    <row r="1017" spans="1:5" x14ac:dyDescent="0.25">
      <c r="A1017" s="8">
        <f t="shared" si="45"/>
        <v>73</v>
      </c>
      <c r="B1017" t="str">
        <f ca="1">TEXT(DATE(YEAR(Invoer!$A$5),1,1)+INT((ROWS(B$2:B1017)-1)/3),"jjjjmmdd")</f>
        <v>19461205</v>
      </c>
      <c r="C1017" s="20" t="str">
        <f>INDEX(Data,2,2+MOD(ROWS(C$2:C1017)-1,3))</f>
        <v>12.00</v>
      </c>
      <c r="D1017" s="14" t="str">
        <f t="shared" ca="1" si="46"/>
        <v>—</v>
      </c>
      <c r="E1017" s="25">
        <f t="shared" ca="1" si="47"/>
        <v>7</v>
      </c>
    </row>
    <row r="1018" spans="1:5" x14ac:dyDescent="0.25">
      <c r="A1018" s="8">
        <f t="shared" si="45"/>
        <v>73</v>
      </c>
      <c r="B1018" t="str">
        <f ca="1">TEXT(DATE(YEAR(Invoer!$A$5),1,1)+INT((ROWS(B$2:B1018)-1)/3),"jjjjmmdd")</f>
        <v>19461205</v>
      </c>
      <c r="C1018" s="20" t="str">
        <f>INDEX(Data,2,2+MOD(ROWS(C$2:C1018)-1,3))</f>
        <v>16.00</v>
      </c>
      <c r="D1018" s="14" t="str">
        <f t="shared" ca="1" si="46"/>
        <v>—</v>
      </c>
      <c r="E1018" s="25">
        <f t="shared" ca="1" si="47"/>
        <v>7</v>
      </c>
    </row>
    <row r="1019" spans="1:5" x14ac:dyDescent="0.25">
      <c r="A1019" s="8">
        <f t="shared" si="45"/>
        <v>73</v>
      </c>
      <c r="B1019" t="str">
        <f ca="1">TEXT(DATE(YEAR(Invoer!$A$5),1,1)+INT((ROWS(B$2:B1019)-1)/3),"jjjjmmdd")</f>
        <v>19461206</v>
      </c>
      <c r="C1019" s="20" t="str">
        <f>INDEX(Data,2,2+MOD(ROWS(C$2:C1019)-1,3))</f>
        <v>08.00</v>
      </c>
      <c r="D1019" s="14" t="str">
        <f t="shared" ca="1" si="46"/>
        <v>—</v>
      </c>
      <c r="E1019" s="25">
        <f t="shared" ca="1" si="47"/>
        <v>7</v>
      </c>
    </row>
    <row r="1020" spans="1:5" x14ac:dyDescent="0.25">
      <c r="A1020" s="8">
        <f t="shared" si="45"/>
        <v>73</v>
      </c>
      <c r="B1020" t="str">
        <f ca="1">TEXT(DATE(YEAR(Invoer!$A$5),1,1)+INT((ROWS(B$2:B1020)-1)/3),"jjjjmmdd")</f>
        <v>19461206</v>
      </c>
      <c r="C1020" s="20" t="str">
        <f>INDEX(Data,2,2+MOD(ROWS(C$2:C1020)-1,3))</f>
        <v>12.00</v>
      </c>
      <c r="D1020" s="14" t="str">
        <f t="shared" ca="1" si="46"/>
        <v>—</v>
      </c>
      <c r="E1020" s="25">
        <f t="shared" ca="1" si="47"/>
        <v>7</v>
      </c>
    </row>
    <row r="1021" spans="1:5" x14ac:dyDescent="0.25">
      <c r="A1021" s="8">
        <f t="shared" si="45"/>
        <v>73</v>
      </c>
      <c r="B1021" t="str">
        <f ca="1">TEXT(DATE(YEAR(Invoer!$A$5),1,1)+INT((ROWS(B$2:B1021)-1)/3),"jjjjmmdd")</f>
        <v>19461206</v>
      </c>
      <c r="C1021" s="20" t="str">
        <f>INDEX(Data,2,2+MOD(ROWS(C$2:C1021)-1,3))</f>
        <v>16.00</v>
      </c>
      <c r="D1021" s="14" t="str">
        <f t="shared" ca="1" si="46"/>
        <v>—</v>
      </c>
      <c r="E1021" s="25">
        <f t="shared" ca="1" si="47"/>
        <v>7</v>
      </c>
    </row>
    <row r="1022" spans="1:5" x14ac:dyDescent="0.25">
      <c r="A1022" s="8">
        <f t="shared" si="45"/>
        <v>73</v>
      </c>
      <c r="B1022" t="str">
        <f ca="1">TEXT(DATE(YEAR(Invoer!$A$5),1,1)+INT((ROWS(B$2:B1022)-1)/3),"jjjjmmdd")</f>
        <v>19461207</v>
      </c>
      <c r="C1022" s="20" t="str">
        <f>INDEX(Data,2,2+MOD(ROWS(C$2:C1022)-1,3))</f>
        <v>08.00</v>
      </c>
      <c r="D1022" s="14" t="str">
        <f t="shared" ca="1" si="46"/>
        <v>—</v>
      </c>
      <c r="E1022" s="25">
        <f t="shared" ca="1" si="47"/>
        <v>7</v>
      </c>
    </row>
    <row r="1023" spans="1:5" x14ac:dyDescent="0.25">
      <c r="A1023" s="8">
        <f t="shared" si="45"/>
        <v>73</v>
      </c>
      <c r="B1023" t="str">
        <f ca="1">TEXT(DATE(YEAR(Invoer!$A$5),1,1)+INT((ROWS(B$2:B1023)-1)/3),"jjjjmmdd")</f>
        <v>19461207</v>
      </c>
      <c r="C1023" s="20" t="str">
        <f>INDEX(Data,2,2+MOD(ROWS(C$2:C1023)-1,3))</f>
        <v>12.00</v>
      </c>
      <c r="D1023" s="14" t="str">
        <f t="shared" ca="1" si="46"/>
        <v>—</v>
      </c>
      <c r="E1023" s="25">
        <f t="shared" ca="1" si="47"/>
        <v>7</v>
      </c>
    </row>
    <row r="1024" spans="1:5" x14ac:dyDescent="0.25">
      <c r="A1024" s="8">
        <f t="shared" si="45"/>
        <v>73</v>
      </c>
      <c r="B1024" t="str">
        <f ca="1">TEXT(DATE(YEAR(Invoer!$A$5),1,1)+INT((ROWS(B$2:B1024)-1)/3),"jjjjmmdd")</f>
        <v>19461207</v>
      </c>
      <c r="C1024" s="20" t="str">
        <f>INDEX(Data,2,2+MOD(ROWS(C$2:C1024)-1,3))</f>
        <v>16.00</v>
      </c>
      <c r="D1024" s="14" t="str">
        <f t="shared" ca="1" si="46"/>
        <v>—</v>
      </c>
      <c r="E1024" s="25">
        <f t="shared" ca="1" si="47"/>
        <v>7</v>
      </c>
    </row>
    <row r="1025" spans="1:5" x14ac:dyDescent="0.25">
      <c r="A1025" s="8">
        <f t="shared" si="45"/>
        <v>73</v>
      </c>
      <c r="B1025" t="str">
        <f ca="1">TEXT(DATE(YEAR(Invoer!$A$5),1,1)+INT((ROWS(B$2:B1025)-1)/3),"jjjjmmdd")</f>
        <v>19461208</v>
      </c>
      <c r="C1025" s="20" t="str">
        <f>INDEX(Data,2,2+MOD(ROWS(C$2:C1025)-1,3))</f>
        <v>08.00</v>
      </c>
      <c r="D1025" s="14" t="str">
        <f t="shared" ca="1" si="46"/>
        <v>—</v>
      </c>
      <c r="E1025" s="25">
        <f t="shared" ca="1" si="47"/>
        <v>7</v>
      </c>
    </row>
    <row r="1026" spans="1:5" x14ac:dyDescent="0.25">
      <c r="A1026" s="8">
        <f t="shared" ref="A1026:A1089" si="48">INDEX(Stations,2,1)</f>
        <v>73</v>
      </c>
      <c r="B1026" t="str">
        <f ca="1">TEXT(DATE(YEAR(Invoer!$A$5),1,1)+INT((ROWS(B$2:B1026)-1)/3),"jjjjmmdd")</f>
        <v>19461208</v>
      </c>
      <c r="C1026" s="20" t="str">
        <f>INDEX(Data,2,2+MOD(ROWS(C$2:C1026)-1,3))</f>
        <v>12.00</v>
      </c>
      <c r="D1026" s="14" t="str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25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</row>
    <row r="1027" spans="1:5" x14ac:dyDescent="0.25">
      <c r="A1027" s="8">
        <f t="shared" si="48"/>
        <v>73</v>
      </c>
      <c r="B1027" t="str">
        <f ca="1">TEXT(DATE(YEAR(Invoer!$A$5),1,1)+INT((ROWS(B$2:B1027)-1)/3),"jjjjmmdd")</f>
        <v>19461208</v>
      </c>
      <c r="C1027" s="20" t="str">
        <f>INDEX(Data,2,2+MOD(ROWS(C$2:C1027)-1,3))</f>
        <v>16.00</v>
      </c>
      <c r="D1027" s="14" t="str">
        <f t="shared" ca="1" si="49"/>
        <v>—</v>
      </c>
      <c r="E1027" s="25">
        <f t="shared" ca="1" si="50"/>
        <v>7</v>
      </c>
    </row>
    <row r="1028" spans="1:5" x14ac:dyDescent="0.25">
      <c r="A1028" s="8">
        <f t="shared" si="48"/>
        <v>73</v>
      </c>
      <c r="B1028" t="str">
        <f ca="1">TEXT(DATE(YEAR(Invoer!$A$5),1,1)+INT((ROWS(B$2:B1028)-1)/3),"jjjjmmdd")</f>
        <v>19461209</v>
      </c>
      <c r="C1028" s="20" t="str">
        <f>INDEX(Data,2,2+MOD(ROWS(C$2:C1028)-1,3))</f>
        <v>08.00</v>
      </c>
      <c r="D1028" s="14" t="str">
        <f t="shared" ca="1" si="49"/>
        <v>—</v>
      </c>
      <c r="E1028" s="25">
        <f t="shared" ca="1" si="50"/>
        <v>7</v>
      </c>
    </row>
    <row r="1029" spans="1:5" x14ac:dyDescent="0.25">
      <c r="A1029" s="8">
        <f t="shared" si="48"/>
        <v>73</v>
      </c>
      <c r="B1029" t="str">
        <f ca="1">TEXT(DATE(YEAR(Invoer!$A$5),1,1)+INT((ROWS(B$2:B1029)-1)/3),"jjjjmmdd")</f>
        <v>19461209</v>
      </c>
      <c r="C1029" s="20" t="str">
        <f>INDEX(Data,2,2+MOD(ROWS(C$2:C1029)-1,3))</f>
        <v>12.00</v>
      </c>
      <c r="D1029" s="14" t="str">
        <f t="shared" ca="1" si="49"/>
        <v>—</v>
      </c>
      <c r="E1029" s="25">
        <f t="shared" ca="1" si="50"/>
        <v>7</v>
      </c>
    </row>
    <row r="1030" spans="1:5" x14ac:dyDescent="0.25">
      <c r="A1030" s="8">
        <f t="shared" si="48"/>
        <v>73</v>
      </c>
      <c r="B1030" t="str">
        <f ca="1">TEXT(DATE(YEAR(Invoer!$A$5),1,1)+INT((ROWS(B$2:B1030)-1)/3),"jjjjmmdd")</f>
        <v>19461209</v>
      </c>
      <c r="C1030" s="20" t="str">
        <f>INDEX(Data,2,2+MOD(ROWS(C$2:C1030)-1,3))</f>
        <v>16.00</v>
      </c>
      <c r="D1030" s="14" t="str">
        <f t="shared" ca="1" si="49"/>
        <v>—</v>
      </c>
      <c r="E1030" s="25">
        <f t="shared" ca="1" si="50"/>
        <v>7</v>
      </c>
    </row>
    <row r="1031" spans="1:5" x14ac:dyDescent="0.25">
      <c r="A1031" s="8">
        <f t="shared" si="48"/>
        <v>73</v>
      </c>
      <c r="B1031" t="str">
        <f ca="1">TEXT(DATE(YEAR(Invoer!$A$5),1,1)+INT((ROWS(B$2:B1031)-1)/3),"jjjjmmdd")</f>
        <v>19461210</v>
      </c>
      <c r="C1031" s="20" t="str">
        <f>INDEX(Data,2,2+MOD(ROWS(C$2:C1031)-1,3))</f>
        <v>08.00</v>
      </c>
      <c r="D1031" s="14" t="str">
        <f t="shared" ca="1" si="49"/>
        <v>—</v>
      </c>
      <c r="E1031" s="25">
        <f t="shared" ca="1" si="50"/>
        <v>7</v>
      </c>
    </row>
    <row r="1032" spans="1:5" x14ac:dyDescent="0.25">
      <c r="A1032" s="8">
        <f t="shared" si="48"/>
        <v>73</v>
      </c>
      <c r="B1032" t="str">
        <f ca="1">TEXT(DATE(YEAR(Invoer!$A$5),1,1)+INT((ROWS(B$2:B1032)-1)/3),"jjjjmmdd")</f>
        <v>19461210</v>
      </c>
      <c r="C1032" s="20" t="str">
        <f>INDEX(Data,2,2+MOD(ROWS(C$2:C1032)-1,3))</f>
        <v>12.00</v>
      </c>
      <c r="D1032" s="14" t="str">
        <f t="shared" ca="1" si="49"/>
        <v>—</v>
      </c>
      <c r="E1032" s="25">
        <f t="shared" ca="1" si="50"/>
        <v>7</v>
      </c>
    </row>
    <row r="1033" spans="1:5" x14ac:dyDescent="0.25">
      <c r="A1033" s="8">
        <f t="shared" si="48"/>
        <v>73</v>
      </c>
      <c r="B1033" t="str">
        <f ca="1">TEXT(DATE(YEAR(Invoer!$A$5),1,1)+INT((ROWS(B$2:B1033)-1)/3),"jjjjmmdd")</f>
        <v>19461210</v>
      </c>
      <c r="C1033" s="20" t="str">
        <f>INDEX(Data,2,2+MOD(ROWS(C$2:C1033)-1,3))</f>
        <v>16.00</v>
      </c>
      <c r="D1033" s="14" t="str">
        <f t="shared" ca="1" si="49"/>
        <v>—</v>
      </c>
      <c r="E1033" s="25">
        <f t="shared" ca="1" si="50"/>
        <v>7</v>
      </c>
    </row>
    <row r="1034" spans="1:5" x14ac:dyDescent="0.25">
      <c r="A1034" s="8">
        <f t="shared" si="48"/>
        <v>73</v>
      </c>
      <c r="B1034" t="str">
        <f ca="1">TEXT(DATE(YEAR(Invoer!$A$5),1,1)+INT((ROWS(B$2:B1034)-1)/3),"jjjjmmdd")</f>
        <v>19461211</v>
      </c>
      <c r="C1034" s="20" t="str">
        <f>INDEX(Data,2,2+MOD(ROWS(C$2:C1034)-1,3))</f>
        <v>08.00</v>
      </c>
      <c r="D1034" s="14" t="str">
        <f t="shared" ca="1" si="49"/>
        <v>—</v>
      </c>
      <c r="E1034" s="25">
        <f t="shared" ca="1" si="50"/>
        <v>7</v>
      </c>
    </row>
    <row r="1035" spans="1:5" x14ac:dyDescent="0.25">
      <c r="A1035" s="8">
        <f t="shared" si="48"/>
        <v>73</v>
      </c>
      <c r="B1035" t="str">
        <f ca="1">TEXT(DATE(YEAR(Invoer!$A$5),1,1)+INT((ROWS(B$2:B1035)-1)/3),"jjjjmmdd")</f>
        <v>19461211</v>
      </c>
      <c r="C1035" s="20" t="str">
        <f>INDEX(Data,2,2+MOD(ROWS(C$2:C1035)-1,3))</f>
        <v>12.00</v>
      </c>
      <c r="D1035" s="14" t="str">
        <f t="shared" ca="1" si="49"/>
        <v>—</v>
      </c>
      <c r="E1035" s="25">
        <f t="shared" ca="1" si="50"/>
        <v>7</v>
      </c>
    </row>
    <row r="1036" spans="1:5" x14ac:dyDescent="0.25">
      <c r="A1036" s="8">
        <f t="shared" si="48"/>
        <v>73</v>
      </c>
      <c r="B1036" t="str">
        <f ca="1">TEXT(DATE(YEAR(Invoer!$A$5),1,1)+INT((ROWS(B$2:B1036)-1)/3),"jjjjmmdd")</f>
        <v>19461211</v>
      </c>
      <c r="C1036" s="20" t="str">
        <f>INDEX(Data,2,2+MOD(ROWS(C$2:C1036)-1,3))</f>
        <v>16.00</v>
      </c>
      <c r="D1036" s="14" t="str">
        <f t="shared" ca="1" si="49"/>
        <v>—</v>
      </c>
      <c r="E1036" s="25">
        <f t="shared" ca="1" si="50"/>
        <v>7</v>
      </c>
    </row>
    <row r="1037" spans="1:5" x14ac:dyDescent="0.25">
      <c r="A1037" s="8">
        <f t="shared" si="48"/>
        <v>73</v>
      </c>
      <c r="B1037" t="str">
        <f ca="1">TEXT(DATE(YEAR(Invoer!$A$5),1,1)+INT((ROWS(B$2:B1037)-1)/3),"jjjjmmdd")</f>
        <v>19461212</v>
      </c>
      <c r="C1037" s="20" t="str">
        <f>INDEX(Data,2,2+MOD(ROWS(C$2:C1037)-1,3))</f>
        <v>08.00</v>
      </c>
      <c r="D1037" s="14" t="str">
        <f t="shared" ca="1" si="49"/>
        <v>—</v>
      </c>
      <c r="E1037" s="25">
        <f t="shared" ca="1" si="50"/>
        <v>7</v>
      </c>
    </row>
    <row r="1038" spans="1:5" x14ac:dyDescent="0.25">
      <c r="A1038" s="8">
        <f t="shared" si="48"/>
        <v>73</v>
      </c>
      <c r="B1038" t="str">
        <f ca="1">TEXT(DATE(YEAR(Invoer!$A$5),1,1)+INT((ROWS(B$2:B1038)-1)/3),"jjjjmmdd")</f>
        <v>19461212</v>
      </c>
      <c r="C1038" s="20" t="str">
        <f>INDEX(Data,2,2+MOD(ROWS(C$2:C1038)-1,3))</f>
        <v>12.00</v>
      </c>
      <c r="D1038" s="14" t="str">
        <f t="shared" ca="1" si="49"/>
        <v>—</v>
      </c>
      <c r="E1038" s="25">
        <f t="shared" ca="1" si="50"/>
        <v>7</v>
      </c>
    </row>
    <row r="1039" spans="1:5" x14ac:dyDescent="0.25">
      <c r="A1039" s="8">
        <f t="shared" si="48"/>
        <v>73</v>
      </c>
      <c r="B1039" t="str">
        <f ca="1">TEXT(DATE(YEAR(Invoer!$A$5),1,1)+INT((ROWS(B$2:B1039)-1)/3),"jjjjmmdd")</f>
        <v>19461212</v>
      </c>
      <c r="C1039" s="20" t="str">
        <f>INDEX(Data,2,2+MOD(ROWS(C$2:C1039)-1,3))</f>
        <v>16.00</v>
      </c>
      <c r="D1039" s="14" t="str">
        <f t="shared" ca="1" si="49"/>
        <v>—</v>
      </c>
      <c r="E1039" s="25">
        <f t="shared" ca="1" si="50"/>
        <v>7</v>
      </c>
    </row>
    <row r="1040" spans="1:5" x14ac:dyDescent="0.25">
      <c r="A1040" s="8">
        <f t="shared" si="48"/>
        <v>73</v>
      </c>
      <c r="B1040" t="str">
        <f ca="1">TEXT(DATE(YEAR(Invoer!$A$5),1,1)+INT((ROWS(B$2:B1040)-1)/3),"jjjjmmdd")</f>
        <v>19461213</v>
      </c>
      <c r="C1040" s="20" t="str">
        <f>INDEX(Data,2,2+MOD(ROWS(C$2:C1040)-1,3))</f>
        <v>08.00</v>
      </c>
      <c r="D1040" s="14" t="str">
        <f t="shared" ca="1" si="49"/>
        <v>—</v>
      </c>
      <c r="E1040" s="25">
        <f t="shared" ca="1" si="50"/>
        <v>7</v>
      </c>
    </row>
    <row r="1041" spans="1:5" x14ac:dyDescent="0.25">
      <c r="A1041" s="8">
        <f t="shared" si="48"/>
        <v>73</v>
      </c>
      <c r="B1041" t="str">
        <f ca="1">TEXT(DATE(YEAR(Invoer!$A$5),1,1)+INT((ROWS(B$2:B1041)-1)/3),"jjjjmmdd")</f>
        <v>19461213</v>
      </c>
      <c r="C1041" s="20" t="str">
        <f>INDEX(Data,2,2+MOD(ROWS(C$2:C1041)-1,3))</f>
        <v>12.00</v>
      </c>
      <c r="D1041" s="14" t="str">
        <f t="shared" ca="1" si="49"/>
        <v>—</v>
      </c>
      <c r="E1041" s="25">
        <f t="shared" ca="1" si="50"/>
        <v>7</v>
      </c>
    </row>
    <row r="1042" spans="1:5" x14ac:dyDescent="0.25">
      <c r="A1042" s="8">
        <f t="shared" si="48"/>
        <v>73</v>
      </c>
      <c r="B1042" t="str">
        <f ca="1">TEXT(DATE(YEAR(Invoer!$A$5),1,1)+INT((ROWS(B$2:B1042)-1)/3),"jjjjmmdd")</f>
        <v>19461213</v>
      </c>
      <c r="C1042" s="20" t="str">
        <f>INDEX(Data,2,2+MOD(ROWS(C$2:C1042)-1,3))</f>
        <v>16.00</v>
      </c>
      <c r="D1042" s="14" t="str">
        <f t="shared" ca="1" si="49"/>
        <v>—</v>
      </c>
      <c r="E1042" s="25">
        <f t="shared" ca="1" si="50"/>
        <v>7</v>
      </c>
    </row>
    <row r="1043" spans="1:5" x14ac:dyDescent="0.25">
      <c r="A1043" s="8">
        <f t="shared" si="48"/>
        <v>73</v>
      </c>
      <c r="B1043" t="str">
        <f ca="1">TEXT(DATE(YEAR(Invoer!$A$5),1,1)+INT((ROWS(B$2:B1043)-1)/3),"jjjjmmdd")</f>
        <v>19461214</v>
      </c>
      <c r="C1043" s="20" t="str">
        <f>INDEX(Data,2,2+MOD(ROWS(C$2:C1043)-1,3))</f>
        <v>08.00</v>
      </c>
      <c r="D1043" s="14" t="str">
        <f t="shared" ca="1" si="49"/>
        <v>—</v>
      </c>
      <c r="E1043" s="25">
        <f t="shared" ca="1" si="50"/>
        <v>7</v>
      </c>
    </row>
    <row r="1044" spans="1:5" x14ac:dyDescent="0.25">
      <c r="A1044" s="8">
        <f t="shared" si="48"/>
        <v>73</v>
      </c>
      <c r="B1044" t="str">
        <f ca="1">TEXT(DATE(YEAR(Invoer!$A$5),1,1)+INT((ROWS(B$2:B1044)-1)/3),"jjjjmmdd")</f>
        <v>19461214</v>
      </c>
      <c r="C1044" s="20" t="str">
        <f>INDEX(Data,2,2+MOD(ROWS(C$2:C1044)-1,3))</f>
        <v>12.00</v>
      </c>
      <c r="D1044" s="14" t="str">
        <f t="shared" ca="1" si="49"/>
        <v>—</v>
      </c>
      <c r="E1044" s="25">
        <f t="shared" ca="1" si="50"/>
        <v>7</v>
      </c>
    </row>
    <row r="1045" spans="1:5" x14ac:dyDescent="0.25">
      <c r="A1045" s="8">
        <f t="shared" si="48"/>
        <v>73</v>
      </c>
      <c r="B1045" t="str">
        <f ca="1">TEXT(DATE(YEAR(Invoer!$A$5),1,1)+INT((ROWS(B$2:B1045)-1)/3),"jjjjmmdd")</f>
        <v>19461214</v>
      </c>
      <c r="C1045" s="20" t="str">
        <f>INDEX(Data,2,2+MOD(ROWS(C$2:C1045)-1,3))</f>
        <v>16.00</v>
      </c>
      <c r="D1045" s="14" t="str">
        <f t="shared" ca="1" si="49"/>
        <v>—</v>
      </c>
      <c r="E1045" s="25">
        <f t="shared" ca="1" si="50"/>
        <v>7</v>
      </c>
    </row>
    <row r="1046" spans="1:5" x14ac:dyDescent="0.25">
      <c r="A1046" s="8">
        <f t="shared" si="48"/>
        <v>73</v>
      </c>
      <c r="B1046" t="str">
        <f ca="1">TEXT(DATE(YEAR(Invoer!$A$5),1,1)+INT((ROWS(B$2:B1046)-1)/3),"jjjjmmdd")</f>
        <v>19461215</v>
      </c>
      <c r="C1046" s="20" t="str">
        <f>INDEX(Data,2,2+MOD(ROWS(C$2:C1046)-1,3))</f>
        <v>08.00</v>
      </c>
      <c r="D1046" s="14" t="str">
        <f t="shared" ca="1" si="49"/>
        <v>—</v>
      </c>
      <c r="E1046" s="25">
        <f t="shared" ca="1" si="50"/>
        <v>7</v>
      </c>
    </row>
    <row r="1047" spans="1:5" x14ac:dyDescent="0.25">
      <c r="A1047" s="8">
        <f t="shared" si="48"/>
        <v>73</v>
      </c>
      <c r="B1047" t="str">
        <f ca="1">TEXT(DATE(YEAR(Invoer!$A$5),1,1)+INT((ROWS(B$2:B1047)-1)/3),"jjjjmmdd")</f>
        <v>19461215</v>
      </c>
      <c r="C1047" s="20" t="str">
        <f>INDEX(Data,2,2+MOD(ROWS(C$2:C1047)-1,3))</f>
        <v>12.00</v>
      </c>
      <c r="D1047" s="14" t="str">
        <f t="shared" ca="1" si="49"/>
        <v>—</v>
      </c>
      <c r="E1047" s="25">
        <f t="shared" ca="1" si="50"/>
        <v>7</v>
      </c>
    </row>
    <row r="1048" spans="1:5" x14ac:dyDescent="0.25">
      <c r="A1048" s="8">
        <f t="shared" si="48"/>
        <v>73</v>
      </c>
      <c r="B1048" t="str">
        <f ca="1">TEXT(DATE(YEAR(Invoer!$A$5),1,1)+INT((ROWS(B$2:B1048)-1)/3),"jjjjmmdd")</f>
        <v>19461215</v>
      </c>
      <c r="C1048" s="20" t="str">
        <f>INDEX(Data,2,2+MOD(ROWS(C$2:C1048)-1,3))</f>
        <v>16.00</v>
      </c>
      <c r="D1048" s="14" t="str">
        <f t="shared" ca="1" si="49"/>
        <v>—</v>
      </c>
      <c r="E1048" s="25">
        <f t="shared" ca="1" si="50"/>
        <v>7</v>
      </c>
    </row>
    <row r="1049" spans="1:5" x14ac:dyDescent="0.25">
      <c r="A1049" s="8">
        <f t="shared" si="48"/>
        <v>73</v>
      </c>
      <c r="B1049" t="str">
        <f ca="1">TEXT(DATE(YEAR(Invoer!$A$5),1,1)+INT((ROWS(B$2:B1049)-1)/3),"jjjjmmdd")</f>
        <v>19461216</v>
      </c>
      <c r="C1049" s="20" t="str">
        <f>INDEX(Data,2,2+MOD(ROWS(C$2:C1049)-1,3))</f>
        <v>08.00</v>
      </c>
      <c r="D1049" s="14" t="str">
        <f t="shared" ca="1" si="49"/>
        <v>—</v>
      </c>
      <c r="E1049" s="25">
        <f t="shared" ca="1" si="50"/>
        <v>7</v>
      </c>
    </row>
    <row r="1050" spans="1:5" x14ac:dyDescent="0.25">
      <c r="A1050" s="8">
        <f t="shared" si="48"/>
        <v>73</v>
      </c>
      <c r="B1050" t="str">
        <f ca="1">TEXT(DATE(YEAR(Invoer!$A$5),1,1)+INT((ROWS(B$2:B1050)-1)/3),"jjjjmmdd")</f>
        <v>19461216</v>
      </c>
      <c r="C1050" s="20" t="str">
        <f>INDEX(Data,2,2+MOD(ROWS(C$2:C1050)-1,3))</f>
        <v>12.00</v>
      </c>
      <c r="D1050" s="14" t="str">
        <f t="shared" ca="1" si="49"/>
        <v>—</v>
      </c>
      <c r="E1050" s="25">
        <f t="shared" ca="1" si="50"/>
        <v>7</v>
      </c>
    </row>
    <row r="1051" spans="1:5" x14ac:dyDescent="0.25">
      <c r="A1051" s="8">
        <f t="shared" si="48"/>
        <v>73</v>
      </c>
      <c r="B1051" t="str">
        <f ca="1">TEXT(DATE(YEAR(Invoer!$A$5),1,1)+INT((ROWS(B$2:B1051)-1)/3),"jjjjmmdd")</f>
        <v>19461216</v>
      </c>
      <c r="C1051" s="20" t="str">
        <f>INDEX(Data,2,2+MOD(ROWS(C$2:C1051)-1,3))</f>
        <v>16.00</v>
      </c>
      <c r="D1051" s="14" t="str">
        <f t="shared" ca="1" si="49"/>
        <v>—</v>
      </c>
      <c r="E1051" s="25">
        <f t="shared" ca="1" si="50"/>
        <v>7</v>
      </c>
    </row>
    <row r="1052" spans="1:5" x14ac:dyDescent="0.25">
      <c r="A1052" s="8">
        <f t="shared" si="48"/>
        <v>73</v>
      </c>
      <c r="B1052" t="str">
        <f ca="1">TEXT(DATE(YEAR(Invoer!$A$5),1,1)+INT((ROWS(B$2:B1052)-1)/3),"jjjjmmdd")</f>
        <v>19461217</v>
      </c>
      <c r="C1052" s="20" t="str">
        <f>INDEX(Data,2,2+MOD(ROWS(C$2:C1052)-1,3))</f>
        <v>08.00</v>
      </c>
      <c r="D1052" s="14" t="str">
        <f t="shared" ca="1" si="49"/>
        <v>—</v>
      </c>
      <c r="E1052" s="25">
        <f t="shared" ca="1" si="50"/>
        <v>7</v>
      </c>
    </row>
    <row r="1053" spans="1:5" x14ac:dyDescent="0.25">
      <c r="A1053" s="8">
        <f t="shared" si="48"/>
        <v>73</v>
      </c>
      <c r="B1053" t="str">
        <f ca="1">TEXT(DATE(YEAR(Invoer!$A$5),1,1)+INT((ROWS(B$2:B1053)-1)/3),"jjjjmmdd")</f>
        <v>19461217</v>
      </c>
      <c r="C1053" s="20" t="str">
        <f>INDEX(Data,2,2+MOD(ROWS(C$2:C1053)-1,3))</f>
        <v>12.00</v>
      </c>
      <c r="D1053" s="14" t="str">
        <f t="shared" ca="1" si="49"/>
        <v>—</v>
      </c>
      <c r="E1053" s="25">
        <f t="shared" ca="1" si="50"/>
        <v>7</v>
      </c>
    </row>
    <row r="1054" spans="1:5" x14ac:dyDescent="0.25">
      <c r="A1054" s="8">
        <f t="shared" si="48"/>
        <v>73</v>
      </c>
      <c r="B1054" t="str">
        <f ca="1">TEXT(DATE(YEAR(Invoer!$A$5),1,1)+INT((ROWS(B$2:B1054)-1)/3),"jjjjmmdd")</f>
        <v>19461217</v>
      </c>
      <c r="C1054" s="20" t="str">
        <f>INDEX(Data,2,2+MOD(ROWS(C$2:C1054)-1,3))</f>
        <v>16.00</v>
      </c>
      <c r="D1054" s="14" t="str">
        <f t="shared" ca="1" si="49"/>
        <v>—</v>
      </c>
      <c r="E1054" s="25">
        <f t="shared" ca="1" si="50"/>
        <v>7</v>
      </c>
    </row>
    <row r="1055" spans="1:5" x14ac:dyDescent="0.25">
      <c r="A1055" s="8">
        <f t="shared" si="48"/>
        <v>73</v>
      </c>
      <c r="B1055" t="str">
        <f ca="1">TEXT(DATE(YEAR(Invoer!$A$5),1,1)+INT((ROWS(B$2:B1055)-1)/3),"jjjjmmdd")</f>
        <v>19461218</v>
      </c>
      <c r="C1055" s="20" t="str">
        <f>INDEX(Data,2,2+MOD(ROWS(C$2:C1055)-1,3))</f>
        <v>08.00</v>
      </c>
      <c r="D1055" s="14" t="str">
        <f t="shared" ca="1" si="49"/>
        <v>—</v>
      </c>
      <c r="E1055" s="25">
        <f t="shared" ca="1" si="50"/>
        <v>7</v>
      </c>
    </row>
    <row r="1056" spans="1:5" x14ac:dyDescent="0.25">
      <c r="A1056" s="8">
        <f t="shared" si="48"/>
        <v>73</v>
      </c>
      <c r="B1056" t="str">
        <f ca="1">TEXT(DATE(YEAR(Invoer!$A$5),1,1)+INT((ROWS(B$2:B1056)-1)/3),"jjjjmmdd")</f>
        <v>19461218</v>
      </c>
      <c r="C1056" s="20" t="str">
        <f>INDEX(Data,2,2+MOD(ROWS(C$2:C1056)-1,3))</f>
        <v>12.00</v>
      </c>
      <c r="D1056" s="14" t="str">
        <f t="shared" ca="1" si="49"/>
        <v>—</v>
      </c>
      <c r="E1056" s="25">
        <f t="shared" ca="1" si="50"/>
        <v>7</v>
      </c>
    </row>
    <row r="1057" spans="1:5" x14ac:dyDescent="0.25">
      <c r="A1057" s="8">
        <f t="shared" si="48"/>
        <v>73</v>
      </c>
      <c r="B1057" t="str">
        <f ca="1">TEXT(DATE(YEAR(Invoer!$A$5),1,1)+INT((ROWS(B$2:B1057)-1)/3),"jjjjmmdd")</f>
        <v>19461218</v>
      </c>
      <c r="C1057" s="20" t="str">
        <f>INDEX(Data,2,2+MOD(ROWS(C$2:C1057)-1,3))</f>
        <v>16.00</v>
      </c>
      <c r="D1057" s="14" t="str">
        <f t="shared" ca="1" si="49"/>
        <v>—</v>
      </c>
      <c r="E1057" s="25">
        <f t="shared" ca="1" si="50"/>
        <v>7</v>
      </c>
    </row>
    <row r="1058" spans="1:5" x14ac:dyDescent="0.25">
      <c r="A1058" s="8">
        <f t="shared" si="48"/>
        <v>73</v>
      </c>
      <c r="B1058" t="str">
        <f ca="1">TEXT(DATE(YEAR(Invoer!$A$5),1,1)+INT((ROWS(B$2:B1058)-1)/3),"jjjjmmdd")</f>
        <v>19461219</v>
      </c>
      <c r="C1058" s="20" t="str">
        <f>INDEX(Data,2,2+MOD(ROWS(C$2:C1058)-1,3))</f>
        <v>08.00</v>
      </c>
      <c r="D1058" s="14" t="str">
        <f t="shared" ca="1" si="49"/>
        <v>—</v>
      </c>
      <c r="E1058" s="25">
        <f t="shared" ca="1" si="50"/>
        <v>7</v>
      </c>
    </row>
    <row r="1059" spans="1:5" x14ac:dyDescent="0.25">
      <c r="A1059" s="8">
        <f t="shared" si="48"/>
        <v>73</v>
      </c>
      <c r="B1059" t="str">
        <f ca="1">TEXT(DATE(YEAR(Invoer!$A$5),1,1)+INT((ROWS(B$2:B1059)-1)/3),"jjjjmmdd")</f>
        <v>19461219</v>
      </c>
      <c r="C1059" s="20" t="str">
        <f>INDEX(Data,2,2+MOD(ROWS(C$2:C1059)-1,3))</f>
        <v>12.00</v>
      </c>
      <c r="D1059" s="14" t="str">
        <f t="shared" ca="1" si="49"/>
        <v>—</v>
      </c>
      <c r="E1059" s="25">
        <f t="shared" ca="1" si="50"/>
        <v>7</v>
      </c>
    </row>
    <row r="1060" spans="1:5" x14ac:dyDescent="0.25">
      <c r="A1060" s="8">
        <f t="shared" si="48"/>
        <v>73</v>
      </c>
      <c r="B1060" t="str">
        <f ca="1">TEXT(DATE(YEAR(Invoer!$A$5),1,1)+INT((ROWS(B$2:B1060)-1)/3),"jjjjmmdd")</f>
        <v>19461219</v>
      </c>
      <c r="C1060" s="20" t="str">
        <f>INDEX(Data,2,2+MOD(ROWS(C$2:C1060)-1,3))</f>
        <v>16.00</v>
      </c>
      <c r="D1060" s="14" t="str">
        <f t="shared" ca="1" si="49"/>
        <v>—</v>
      </c>
      <c r="E1060" s="25">
        <f t="shared" ca="1" si="50"/>
        <v>7</v>
      </c>
    </row>
    <row r="1061" spans="1:5" x14ac:dyDescent="0.25">
      <c r="A1061" s="8">
        <f t="shared" si="48"/>
        <v>73</v>
      </c>
      <c r="B1061" t="str">
        <f ca="1">TEXT(DATE(YEAR(Invoer!$A$5),1,1)+INT((ROWS(B$2:B1061)-1)/3),"jjjjmmdd")</f>
        <v>19461220</v>
      </c>
      <c r="C1061" s="20" t="str">
        <f>INDEX(Data,2,2+MOD(ROWS(C$2:C1061)-1,3))</f>
        <v>08.00</v>
      </c>
      <c r="D1061" s="14" t="str">
        <f t="shared" ca="1" si="49"/>
        <v>—</v>
      </c>
      <c r="E1061" s="25">
        <f t="shared" ca="1" si="50"/>
        <v>7</v>
      </c>
    </row>
    <row r="1062" spans="1:5" x14ac:dyDescent="0.25">
      <c r="A1062" s="8">
        <f t="shared" si="48"/>
        <v>73</v>
      </c>
      <c r="B1062" t="str">
        <f ca="1">TEXT(DATE(YEAR(Invoer!$A$5),1,1)+INT((ROWS(B$2:B1062)-1)/3),"jjjjmmdd")</f>
        <v>19461220</v>
      </c>
      <c r="C1062" s="20" t="str">
        <f>INDEX(Data,2,2+MOD(ROWS(C$2:C1062)-1,3))</f>
        <v>12.00</v>
      </c>
      <c r="D1062" s="14" t="str">
        <f t="shared" ca="1" si="49"/>
        <v>—</v>
      </c>
      <c r="E1062" s="25">
        <f t="shared" ca="1" si="50"/>
        <v>7</v>
      </c>
    </row>
    <row r="1063" spans="1:5" x14ac:dyDescent="0.25">
      <c r="A1063" s="8">
        <f t="shared" si="48"/>
        <v>73</v>
      </c>
      <c r="B1063" t="str">
        <f ca="1">TEXT(DATE(YEAR(Invoer!$A$5),1,1)+INT((ROWS(B$2:B1063)-1)/3),"jjjjmmdd")</f>
        <v>19461220</v>
      </c>
      <c r="C1063" s="20" t="str">
        <f>INDEX(Data,2,2+MOD(ROWS(C$2:C1063)-1,3))</f>
        <v>16.00</v>
      </c>
      <c r="D1063" s="14" t="str">
        <f t="shared" ca="1" si="49"/>
        <v>—</v>
      </c>
      <c r="E1063" s="25">
        <f t="shared" ca="1" si="50"/>
        <v>7</v>
      </c>
    </row>
    <row r="1064" spans="1:5" x14ac:dyDescent="0.25">
      <c r="A1064" s="8">
        <f t="shared" si="48"/>
        <v>73</v>
      </c>
      <c r="B1064" t="str">
        <f ca="1">TEXT(DATE(YEAR(Invoer!$A$5),1,1)+INT((ROWS(B$2:B1064)-1)/3),"jjjjmmdd")</f>
        <v>19461221</v>
      </c>
      <c r="C1064" s="20" t="str">
        <f>INDEX(Data,2,2+MOD(ROWS(C$2:C1064)-1,3))</f>
        <v>08.00</v>
      </c>
      <c r="D1064" s="14" t="str">
        <f t="shared" ca="1" si="49"/>
        <v>—</v>
      </c>
      <c r="E1064" s="25">
        <f t="shared" ca="1" si="50"/>
        <v>7</v>
      </c>
    </row>
    <row r="1065" spans="1:5" x14ac:dyDescent="0.25">
      <c r="A1065" s="8">
        <f t="shared" si="48"/>
        <v>73</v>
      </c>
      <c r="B1065" t="str">
        <f ca="1">TEXT(DATE(YEAR(Invoer!$A$5),1,1)+INT((ROWS(B$2:B1065)-1)/3),"jjjjmmdd")</f>
        <v>19461221</v>
      </c>
      <c r="C1065" s="20" t="str">
        <f>INDEX(Data,2,2+MOD(ROWS(C$2:C1065)-1,3))</f>
        <v>12.00</v>
      </c>
      <c r="D1065" s="14" t="str">
        <f t="shared" ca="1" si="49"/>
        <v>—</v>
      </c>
      <c r="E1065" s="25">
        <f t="shared" ca="1" si="50"/>
        <v>7</v>
      </c>
    </row>
    <row r="1066" spans="1:5" x14ac:dyDescent="0.25">
      <c r="A1066" s="8">
        <f t="shared" si="48"/>
        <v>73</v>
      </c>
      <c r="B1066" t="str">
        <f ca="1">TEXT(DATE(YEAR(Invoer!$A$5),1,1)+INT((ROWS(B$2:B1066)-1)/3),"jjjjmmdd")</f>
        <v>19461221</v>
      </c>
      <c r="C1066" s="20" t="str">
        <f>INDEX(Data,2,2+MOD(ROWS(C$2:C1066)-1,3))</f>
        <v>16.00</v>
      </c>
      <c r="D1066" s="14" t="str">
        <f t="shared" ca="1" si="49"/>
        <v>—</v>
      </c>
      <c r="E1066" s="25">
        <f t="shared" ca="1" si="50"/>
        <v>7</v>
      </c>
    </row>
    <row r="1067" spans="1:5" x14ac:dyDescent="0.25">
      <c r="A1067" s="8">
        <f t="shared" si="48"/>
        <v>73</v>
      </c>
      <c r="B1067" t="str">
        <f ca="1">TEXT(DATE(YEAR(Invoer!$A$5),1,1)+INT((ROWS(B$2:B1067)-1)/3),"jjjjmmdd")</f>
        <v>19461222</v>
      </c>
      <c r="C1067" s="20" t="str">
        <f>INDEX(Data,2,2+MOD(ROWS(C$2:C1067)-1,3))</f>
        <v>08.00</v>
      </c>
      <c r="D1067" s="14" t="str">
        <f t="shared" ca="1" si="49"/>
        <v>—</v>
      </c>
      <c r="E1067" s="25">
        <f t="shared" ca="1" si="50"/>
        <v>7</v>
      </c>
    </row>
    <row r="1068" spans="1:5" x14ac:dyDescent="0.25">
      <c r="A1068" s="8">
        <f t="shared" si="48"/>
        <v>73</v>
      </c>
      <c r="B1068" t="str">
        <f ca="1">TEXT(DATE(YEAR(Invoer!$A$5),1,1)+INT((ROWS(B$2:B1068)-1)/3),"jjjjmmdd")</f>
        <v>19461222</v>
      </c>
      <c r="C1068" s="20" t="str">
        <f>INDEX(Data,2,2+MOD(ROWS(C$2:C1068)-1,3))</f>
        <v>12.00</v>
      </c>
      <c r="D1068" s="14" t="str">
        <f t="shared" ca="1" si="49"/>
        <v>—</v>
      </c>
      <c r="E1068" s="25">
        <f t="shared" ca="1" si="50"/>
        <v>7</v>
      </c>
    </row>
    <row r="1069" spans="1:5" x14ac:dyDescent="0.25">
      <c r="A1069" s="8">
        <f t="shared" si="48"/>
        <v>73</v>
      </c>
      <c r="B1069" t="str">
        <f ca="1">TEXT(DATE(YEAR(Invoer!$A$5),1,1)+INT((ROWS(B$2:B1069)-1)/3),"jjjjmmdd")</f>
        <v>19461222</v>
      </c>
      <c r="C1069" s="20" t="str">
        <f>INDEX(Data,2,2+MOD(ROWS(C$2:C1069)-1,3))</f>
        <v>16.00</v>
      </c>
      <c r="D1069" s="14" t="str">
        <f t="shared" ca="1" si="49"/>
        <v>—</v>
      </c>
      <c r="E1069" s="25">
        <f t="shared" ca="1" si="50"/>
        <v>7</v>
      </c>
    </row>
    <row r="1070" spans="1:5" x14ac:dyDescent="0.25">
      <c r="A1070" s="8">
        <f t="shared" si="48"/>
        <v>73</v>
      </c>
      <c r="B1070" t="str">
        <f ca="1">TEXT(DATE(YEAR(Invoer!$A$5),1,1)+INT((ROWS(B$2:B1070)-1)/3),"jjjjmmdd")</f>
        <v>19461223</v>
      </c>
      <c r="C1070" s="20" t="str">
        <f>INDEX(Data,2,2+MOD(ROWS(C$2:C1070)-1,3))</f>
        <v>08.00</v>
      </c>
      <c r="D1070" s="14" t="str">
        <f t="shared" ca="1" si="49"/>
        <v>—</v>
      </c>
      <c r="E1070" s="25">
        <f t="shared" ca="1" si="50"/>
        <v>7</v>
      </c>
    </row>
    <row r="1071" spans="1:5" x14ac:dyDescent="0.25">
      <c r="A1071" s="8">
        <f t="shared" si="48"/>
        <v>73</v>
      </c>
      <c r="B1071" t="str">
        <f ca="1">TEXT(DATE(YEAR(Invoer!$A$5),1,1)+INT((ROWS(B$2:B1071)-1)/3),"jjjjmmdd")</f>
        <v>19461223</v>
      </c>
      <c r="C1071" s="20" t="str">
        <f>INDEX(Data,2,2+MOD(ROWS(C$2:C1071)-1,3))</f>
        <v>12.00</v>
      </c>
      <c r="D1071" s="14" t="str">
        <f t="shared" ca="1" si="49"/>
        <v>—</v>
      </c>
      <c r="E1071" s="25">
        <f t="shared" ca="1" si="50"/>
        <v>7</v>
      </c>
    </row>
    <row r="1072" spans="1:5" x14ac:dyDescent="0.25">
      <c r="A1072" s="8">
        <f t="shared" si="48"/>
        <v>73</v>
      </c>
      <c r="B1072" t="str">
        <f ca="1">TEXT(DATE(YEAR(Invoer!$A$5),1,1)+INT((ROWS(B$2:B1072)-1)/3),"jjjjmmdd")</f>
        <v>19461223</v>
      </c>
      <c r="C1072" s="20" t="str">
        <f>INDEX(Data,2,2+MOD(ROWS(C$2:C1072)-1,3))</f>
        <v>16.00</v>
      </c>
      <c r="D1072" s="14" t="str">
        <f t="shared" ca="1" si="49"/>
        <v>—</v>
      </c>
      <c r="E1072" s="25">
        <f t="shared" ca="1" si="50"/>
        <v>7</v>
      </c>
    </row>
    <row r="1073" spans="1:5" x14ac:dyDescent="0.25">
      <c r="A1073" s="8">
        <f t="shared" si="48"/>
        <v>73</v>
      </c>
      <c r="B1073" t="str">
        <f ca="1">TEXT(DATE(YEAR(Invoer!$A$5),1,1)+INT((ROWS(B$2:B1073)-1)/3),"jjjjmmdd")</f>
        <v>19461224</v>
      </c>
      <c r="C1073" s="20" t="str">
        <f>INDEX(Data,2,2+MOD(ROWS(C$2:C1073)-1,3))</f>
        <v>08.00</v>
      </c>
      <c r="D1073" s="14" t="str">
        <f t="shared" ca="1" si="49"/>
        <v>—</v>
      </c>
      <c r="E1073" s="25">
        <f t="shared" ca="1" si="50"/>
        <v>7</v>
      </c>
    </row>
    <row r="1074" spans="1:5" x14ac:dyDescent="0.25">
      <c r="A1074" s="8">
        <f t="shared" si="48"/>
        <v>73</v>
      </c>
      <c r="B1074" t="str">
        <f ca="1">TEXT(DATE(YEAR(Invoer!$A$5),1,1)+INT((ROWS(B$2:B1074)-1)/3),"jjjjmmdd")</f>
        <v>19461224</v>
      </c>
      <c r="C1074" s="20" t="str">
        <f>INDEX(Data,2,2+MOD(ROWS(C$2:C1074)-1,3))</f>
        <v>12.00</v>
      </c>
      <c r="D1074" s="14" t="str">
        <f t="shared" ca="1" si="49"/>
        <v>—</v>
      </c>
      <c r="E1074" s="25">
        <f t="shared" ca="1" si="50"/>
        <v>7</v>
      </c>
    </row>
    <row r="1075" spans="1:5" x14ac:dyDescent="0.25">
      <c r="A1075" s="8">
        <f t="shared" si="48"/>
        <v>73</v>
      </c>
      <c r="B1075" t="str">
        <f ca="1">TEXT(DATE(YEAR(Invoer!$A$5),1,1)+INT((ROWS(B$2:B1075)-1)/3),"jjjjmmdd")</f>
        <v>19461224</v>
      </c>
      <c r="C1075" s="20" t="str">
        <f>INDEX(Data,2,2+MOD(ROWS(C$2:C1075)-1,3))</f>
        <v>16.00</v>
      </c>
      <c r="D1075" s="14" t="str">
        <f t="shared" ca="1" si="49"/>
        <v>—</v>
      </c>
      <c r="E1075" s="25">
        <f t="shared" ca="1" si="50"/>
        <v>7</v>
      </c>
    </row>
    <row r="1076" spans="1:5" x14ac:dyDescent="0.25">
      <c r="A1076" s="8">
        <f t="shared" si="48"/>
        <v>73</v>
      </c>
      <c r="B1076" t="str">
        <f ca="1">TEXT(DATE(YEAR(Invoer!$A$5),1,1)+INT((ROWS(B$2:B1076)-1)/3),"jjjjmmdd")</f>
        <v>19461225</v>
      </c>
      <c r="C1076" s="20" t="str">
        <f>INDEX(Data,2,2+MOD(ROWS(C$2:C1076)-1,3))</f>
        <v>08.00</v>
      </c>
      <c r="D1076" s="14" t="str">
        <f t="shared" ca="1" si="49"/>
        <v>—</v>
      </c>
      <c r="E1076" s="25">
        <f t="shared" ca="1" si="50"/>
        <v>7</v>
      </c>
    </row>
    <row r="1077" spans="1:5" x14ac:dyDescent="0.25">
      <c r="A1077" s="8">
        <f t="shared" si="48"/>
        <v>73</v>
      </c>
      <c r="B1077" t="str">
        <f ca="1">TEXT(DATE(YEAR(Invoer!$A$5),1,1)+INT((ROWS(B$2:B1077)-1)/3),"jjjjmmdd")</f>
        <v>19461225</v>
      </c>
      <c r="C1077" s="20" t="str">
        <f>INDEX(Data,2,2+MOD(ROWS(C$2:C1077)-1,3))</f>
        <v>12.00</v>
      </c>
      <c r="D1077" s="14" t="str">
        <f t="shared" ca="1" si="49"/>
        <v>—</v>
      </c>
      <c r="E1077" s="25">
        <f t="shared" ca="1" si="50"/>
        <v>7</v>
      </c>
    </row>
    <row r="1078" spans="1:5" x14ac:dyDescent="0.25">
      <c r="A1078" s="8">
        <f t="shared" si="48"/>
        <v>73</v>
      </c>
      <c r="B1078" t="str">
        <f ca="1">TEXT(DATE(YEAR(Invoer!$A$5),1,1)+INT((ROWS(B$2:B1078)-1)/3),"jjjjmmdd")</f>
        <v>19461225</v>
      </c>
      <c r="C1078" s="20" t="str">
        <f>INDEX(Data,2,2+MOD(ROWS(C$2:C1078)-1,3))</f>
        <v>16.00</v>
      </c>
      <c r="D1078" s="14" t="str">
        <f t="shared" ca="1" si="49"/>
        <v>—</v>
      </c>
      <c r="E1078" s="25">
        <f t="shared" ca="1" si="50"/>
        <v>7</v>
      </c>
    </row>
    <row r="1079" spans="1:5" x14ac:dyDescent="0.25">
      <c r="A1079" s="8">
        <f t="shared" si="48"/>
        <v>73</v>
      </c>
      <c r="B1079" t="str">
        <f ca="1">TEXT(DATE(YEAR(Invoer!$A$5),1,1)+INT((ROWS(B$2:B1079)-1)/3),"jjjjmmdd")</f>
        <v>19461226</v>
      </c>
      <c r="C1079" s="20" t="str">
        <f>INDEX(Data,2,2+MOD(ROWS(C$2:C1079)-1,3))</f>
        <v>08.00</v>
      </c>
      <c r="D1079" s="14" t="str">
        <f t="shared" ca="1" si="49"/>
        <v>—</v>
      </c>
      <c r="E1079" s="25">
        <f t="shared" ca="1" si="50"/>
        <v>7</v>
      </c>
    </row>
    <row r="1080" spans="1:5" x14ac:dyDescent="0.25">
      <c r="A1080" s="8">
        <f t="shared" si="48"/>
        <v>73</v>
      </c>
      <c r="B1080" t="str">
        <f ca="1">TEXT(DATE(YEAR(Invoer!$A$5),1,1)+INT((ROWS(B$2:B1080)-1)/3),"jjjjmmdd")</f>
        <v>19461226</v>
      </c>
      <c r="C1080" s="20" t="str">
        <f>INDEX(Data,2,2+MOD(ROWS(C$2:C1080)-1,3))</f>
        <v>12.00</v>
      </c>
      <c r="D1080" s="14" t="str">
        <f t="shared" ca="1" si="49"/>
        <v>—</v>
      </c>
      <c r="E1080" s="25">
        <f t="shared" ca="1" si="50"/>
        <v>7</v>
      </c>
    </row>
    <row r="1081" spans="1:5" x14ac:dyDescent="0.25">
      <c r="A1081" s="8">
        <f t="shared" si="48"/>
        <v>73</v>
      </c>
      <c r="B1081" t="str">
        <f ca="1">TEXT(DATE(YEAR(Invoer!$A$5),1,1)+INT((ROWS(B$2:B1081)-1)/3),"jjjjmmdd")</f>
        <v>19461226</v>
      </c>
      <c r="C1081" s="20" t="str">
        <f>INDEX(Data,2,2+MOD(ROWS(C$2:C1081)-1,3))</f>
        <v>16.00</v>
      </c>
      <c r="D1081" s="14" t="str">
        <f t="shared" ca="1" si="49"/>
        <v>—</v>
      </c>
      <c r="E1081" s="25">
        <f t="shared" ca="1" si="50"/>
        <v>7</v>
      </c>
    </row>
    <row r="1082" spans="1:5" x14ac:dyDescent="0.25">
      <c r="A1082" s="8">
        <f t="shared" si="48"/>
        <v>73</v>
      </c>
      <c r="B1082" t="str">
        <f ca="1">TEXT(DATE(YEAR(Invoer!$A$5),1,1)+INT((ROWS(B$2:B1082)-1)/3),"jjjjmmdd")</f>
        <v>19461227</v>
      </c>
      <c r="C1082" s="20" t="str">
        <f>INDEX(Data,2,2+MOD(ROWS(C$2:C1082)-1,3))</f>
        <v>08.00</v>
      </c>
      <c r="D1082" s="14" t="str">
        <f t="shared" ca="1" si="49"/>
        <v>—</v>
      </c>
      <c r="E1082" s="25">
        <f t="shared" ca="1" si="50"/>
        <v>7</v>
      </c>
    </row>
    <row r="1083" spans="1:5" x14ac:dyDescent="0.25">
      <c r="A1083" s="8">
        <f t="shared" si="48"/>
        <v>73</v>
      </c>
      <c r="B1083" t="str">
        <f ca="1">TEXT(DATE(YEAR(Invoer!$A$5),1,1)+INT((ROWS(B$2:B1083)-1)/3),"jjjjmmdd")</f>
        <v>19461227</v>
      </c>
      <c r="C1083" s="20" t="str">
        <f>INDEX(Data,2,2+MOD(ROWS(C$2:C1083)-1,3))</f>
        <v>12.00</v>
      </c>
      <c r="D1083" s="14" t="str">
        <f t="shared" ca="1" si="49"/>
        <v>—</v>
      </c>
      <c r="E1083" s="25">
        <f t="shared" ca="1" si="50"/>
        <v>7</v>
      </c>
    </row>
    <row r="1084" spans="1:5" x14ac:dyDescent="0.25">
      <c r="A1084" s="8">
        <f t="shared" si="48"/>
        <v>73</v>
      </c>
      <c r="B1084" t="str">
        <f ca="1">TEXT(DATE(YEAR(Invoer!$A$5),1,1)+INT((ROWS(B$2:B1084)-1)/3),"jjjjmmdd")</f>
        <v>19461227</v>
      </c>
      <c r="C1084" s="20" t="str">
        <f>INDEX(Data,2,2+MOD(ROWS(C$2:C1084)-1,3))</f>
        <v>16.00</v>
      </c>
      <c r="D1084" s="14" t="str">
        <f t="shared" ca="1" si="49"/>
        <v>—</v>
      </c>
      <c r="E1084" s="25">
        <f t="shared" ca="1" si="50"/>
        <v>7</v>
      </c>
    </row>
    <row r="1085" spans="1:5" x14ac:dyDescent="0.25">
      <c r="A1085" s="8">
        <f t="shared" si="48"/>
        <v>73</v>
      </c>
      <c r="B1085" t="str">
        <f ca="1">TEXT(DATE(YEAR(Invoer!$A$5),1,1)+INT((ROWS(B$2:B1085)-1)/3),"jjjjmmdd")</f>
        <v>19461228</v>
      </c>
      <c r="C1085" s="20" t="str">
        <f>INDEX(Data,2,2+MOD(ROWS(C$2:C1085)-1,3))</f>
        <v>08.00</v>
      </c>
      <c r="D1085" s="14" t="str">
        <f t="shared" ca="1" si="49"/>
        <v>—</v>
      </c>
      <c r="E1085" s="25">
        <f t="shared" ca="1" si="50"/>
        <v>7</v>
      </c>
    </row>
    <row r="1086" spans="1:5" x14ac:dyDescent="0.25">
      <c r="A1086" s="8">
        <f t="shared" si="48"/>
        <v>73</v>
      </c>
      <c r="B1086" t="str">
        <f ca="1">TEXT(DATE(YEAR(Invoer!$A$5),1,1)+INT((ROWS(B$2:B1086)-1)/3),"jjjjmmdd")</f>
        <v>19461228</v>
      </c>
      <c r="C1086" s="20" t="str">
        <f>INDEX(Data,2,2+MOD(ROWS(C$2:C1086)-1,3))</f>
        <v>12.00</v>
      </c>
      <c r="D1086" s="14" t="str">
        <f t="shared" ca="1" si="49"/>
        <v>—</v>
      </c>
      <c r="E1086" s="25">
        <f t="shared" ca="1" si="50"/>
        <v>7</v>
      </c>
    </row>
    <row r="1087" spans="1:5" x14ac:dyDescent="0.25">
      <c r="A1087" s="8">
        <f t="shared" si="48"/>
        <v>73</v>
      </c>
      <c r="B1087" t="str">
        <f ca="1">TEXT(DATE(YEAR(Invoer!$A$5),1,1)+INT((ROWS(B$2:B1087)-1)/3),"jjjjmmdd")</f>
        <v>19461228</v>
      </c>
      <c r="C1087" s="20" t="str">
        <f>INDEX(Data,2,2+MOD(ROWS(C$2:C1087)-1,3))</f>
        <v>16.00</v>
      </c>
      <c r="D1087" s="14" t="str">
        <f t="shared" ca="1" si="49"/>
        <v>—</v>
      </c>
      <c r="E1087" s="25">
        <f t="shared" ca="1" si="50"/>
        <v>7</v>
      </c>
    </row>
    <row r="1088" spans="1:5" x14ac:dyDescent="0.25">
      <c r="A1088" s="8">
        <f t="shared" si="48"/>
        <v>73</v>
      </c>
      <c r="B1088" t="str">
        <f ca="1">TEXT(DATE(YEAR(Invoer!$A$5),1,1)+INT((ROWS(B$2:B1088)-1)/3),"jjjjmmdd")</f>
        <v>19461229</v>
      </c>
      <c r="C1088" s="20" t="str">
        <f>INDEX(Data,2,2+MOD(ROWS(C$2:C1088)-1,3))</f>
        <v>08.00</v>
      </c>
      <c r="D1088" s="14" t="str">
        <f t="shared" ca="1" si="49"/>
        <v>—</v>
      </c>
      <c r="E1088" s="25">
        <f t="shared" ca="1" si="50"/>
        <v>7</v>
      </c>
    </row>
    <row r="1089" spans="1:5" x14ac:dyDescent="0.25">
      <c r="A1089" s="8">
        <f t="shared" si="48"/>
        <v>73</v>
      </c>
      <c r="B1089" t="str">
        <f ca="1">TEXT(DATE(YEAR(Invoer!$A$5),1,1)+INT((ROWS(B$2:B1089)-1)/3),"jjjjmmdd")</f>
        <v>19461229</v>
      </c>
      <c r="C1089" s="20" t="str">
        <f>INDEX(Data,2,2+MOD(ROWS(C$2:C1089)-1,3))</f>
        <v>12.00</v>
      </c>
      <c r="D1089" s="14" t="str">
        <f t="shared" ca="1" si="49"/>
        <v>—</v>
      </c>
      <c r="E1089" s="25">
        <f t="shared" ca="1" si="50"/>
        <v>7</v>
      </c>
    </row>
    <row r="1090" spans="1:5" x14ac:dyDescent="0.25">
      <c r="A1090" s="8">
        <f t="shared" ref="A1090:A1096" si="51">INDEX(Stations,2,1)</f>
        <v>73</v>
      </c>
      <c r="B1090" t="str">
        <f ca="1">TEXT(DATE(YEAR(Invoer!$A$5),1,1)+INT((ROWS(B$2:B1090)-1)/3),"jjjjmmdd")</f>
        <v>19461229</v>
      </c>
      <c r="C1090" s="20" t="str">
        <f>INDEX(Data,2,2+MOD(ROWS(C$2:C1090)-1,3))</f>
        <v>16.00</v>
      </c>
      <c r="D1090" s="14" t="str">
        <f t="shared" ref="D1090:D1096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25">
        <f t="shared" ref="E1090:E1096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</row>
    <row r="1091" spans="1:5" x14ac:dyDescent="0.25">
      <c r="A1091" s="8">
        <f t="shared" si="51"/>
        <v>73</v>
      </c>
      <c r="B1091" t="str">
        <f ca="1">TEXT(DATE(YEAR(Invoer!$A$5),1,1)+INT((ROWS(B$2:B1091)-1)/3),"jjjjmmdd")</f>
        <v>19461230</v>
      </c>
      <c r="C1091" s="20" t="str">
        <f>INDEX(Data,2,2+MOD(ROWS(C$2:C1091)-1,3))</f>
        <v>08.00</v>
      </c>
      <c r="D1091" s="14" t="str">
        <f t="shared" ca="1" si="52"/>
        <v>—</v>
      </c>
      <c r="E1091" s="25">
        <f t="shared" ca="1" si="53"/>
        <v>7</v>
      </c>
    </row>
    <row r="1092" spans="1:5" x14ac:dyDescent="0.25">
      <c r="A1092" s="8">
        <f t="shared" si="51"/>
        <v>73</v>
      </c>
      <c r="B1092" t="str">
        <f ca="1">TEXT(DATE(YEAR(Invoer!$A$5),1,1)+INT((ROWS(B$2:B1092)-1)/3),"jjjjmmdd")</f>
        <v>19461230</v>
      </c>
      <c r="C1092" s="20" t="str">
        <f>INDEX(Data,2,2+MOD(ROWS(C$2:C1092)-1,3))</f>
        <v>12.00</v>
      </c>
      <c r="D1092" s="14" t="str">
        <f t="shared" ca="1" si="52"/>
        <v>—</v>
      </c>
      <c r="E1092" s="25">
        <f t="shared" ca="1" si="53"/>
        <v>7</v>
      </c>
    </row>
    <row r="1093" spans="1:5" x14ac:dyDescent="0.25">
      <c r="A1093" s="8">
        <f t="shared" si="51"/>
        <v>73</v>
      </c>
      <c r="B1093" t="str">
        <f ca="1">TEXT(DATE(YEAR(Invoer!$A$5),1,1)+INT((ROWS(B$2:B1093)-1)/3),"jjjjmmdd")</f>
        <v>19461230</v>
      </c>
      <c r="C1093" s="20" t="str">
        <f>INDEX(Data,2,2+MOD(ROWS(C$2:C1093)-1,3))</f>
        <v>16.00</v>
      </c>
      <c r="D1093" s="14" t="str">
        <f t="shared" ca="1" si="52"/>
        <v>—</v>
      </c>
      <c r="E1093" s="25">
        <f t="shared" ca="1" si="53"/>
        <v>7</v>
      </c>
    </row>
    <row r="1094" spans="1:5" x14ac:dyDescent="0.25">
      <c r="A1094" s="8">
        <f t="shared" si="51"/>
        <v>73</v>
      </c>
      <c r="B1094" t="str">
        <f ca="1">TEXT(DATE(YEAR(Invoer!$A$5),1,1)+INT((ROWS(B$2:B1094)-1)/3),"jjjjmmdd")</f>
        <v>19461231</v>
      </c>
      <c r="C1094" s="20" t="str">
        <f>INDEX(Data,2,2+MOD(ROWS(C$2:C1094)-1,3))</f>
        <v>08.00</v>
      </c>
      <c r="D1094" s="14" t="str">
        <f t="shared" ca="1" si="52"/>
        <v>—</v>
      </c>
      <c r="E1094" s="25">
        <f t="shared" ca="1" si="53"/>
        <v>7</v>
      </c>
    </row>
    <row r="1095" spans="1:5" x14ac:dyDescent="0.25">
      <c r="A1095" s="8">
        <f t="shared" si="51"/>
        <v>73</v>
      </c>
      <c r="B1095" t="str">
        <f ca="1">TEXT(DATE(YEAR(Invoer!$A$5),1,1)+INT((ROWS(B$2:B1095)-1)/3),"jjjjmmdd")</f>
        <v>19461231</v>
      </c>
      <c r="C1095" s="20" t="str">
        <f>INDEX(Data,2,2+MOD(ROWS(C$2:C1095)-1,3))</f>
        <v>12.00</v>
      </c>
      <c r="D1095" s="14" t="str">
        <f t="shared" ca="1" si="52"/>
        <v>—</v>
      </c>
      <c r="E1095" s="25">
        <f t="shared" ca="1" si="53"/>
        <v>7</v>
      </c>
    </row>
    <row r="1096" spans="1:5" x14ac:dyDescent="0.25">
      <c r="A1096" s="8">
        <f t="shared" si="51"/>
        <v>73</v>
      </c>
      <c r="B1096" t="str">
        <f ca="1">TEXT(DATE(YEAR(Invoer!$A$5),1,1)+INT((ROWS(B$2:B1096)-1)/3),"jjjjmmdd")</f>
        <v>19461231</v>
      </c>
      <c r="C1096" s="20" t="str">
        <f>INDEX(Data,2,2+MOD(ROWS(C$2:C1096)-1,3))</f>
        <v>16.00</v>
      </c>
      <c r="D1096" s="14" t="str">
        <f t="shared" ca="1" si="52"/>
        <v>—</v>
      </c>
      <c r="E1096" s="25">
        <f t="shared" ca="1" si="53"/>
        <v>7</v>
      </c>
    </row>
  </sheetData>
  <pageMargins left="0.7" right="0.7" top="0.75" bottom="0.75" header="0.3" footer="0.3"/>
  <ignoredErrors>
    <ignoredError sqref="E2 E3:E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6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6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073, 19460101, 1,    0, 00</v>
      </c>
    </row>
    <row r="3" spans="1:1" x14ac:dyDescent="0.25">
      <c r="A3" s="16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073, 19460102, 1,    6, 00</v>
      </c>
    </row>
    <row r="4" spans="1:1" x14ac:dyDescent="0.25">
      <c r="A4" s="16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073, 19460103, 1,    0, 00</v>
      </c>
    </row>
    <row r="5" spans="1:1" x14ac:dyDescent="0.25">
      <c r="A5" s="16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073, 19460104, 1,    0, 00</v>
      </c>
    </row>
    <row r="6" spans="1:1" x14ac:dyDescent="0.25">
      <c r="A6" s="16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073, 19460105, 1,    0, 00</v>
      </c>
    </row>
    <row r="7" spans="1:1" x14ac:dyDescent="0.25">
      <c r="A7" s="16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073, 19460106, 1,   21, 00</v>
      </c>
    </row>
    <row r="8" spans="1:1" x14ac:dyDescent="0.25">
      <c r="A8" s="16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073, 19460107, 1,    0, 00</v>
      </c>
    </row>
    <row r="9" spans="1:1" x14ac:dyDescent="0.25">
      <c r="A9" s="16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073, 19460108, 1,    8, 00</v>
      </c>
    </row>
    <row r="10" spans="1:1" x14ac:dyDescent="0.25">
      <c r="A10" s="16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073, 19460109, 1,    0, 00</v>
      </c>
    </row>
    <row r="11" spans="1:1" x14ac:dyDescent="0.25">
      <c r="A11" s="16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073, 19460110, 1,    8, 00</v>
      </c>
    </row>
    <row r="12" spans="1:1" x14ac:dyDescent="0.25">
      <c r="A12" s="16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073, 19460111, 1,    0, 00</v>
      </c>
    </row>
    <row r="13" spans="1:1" x14ac:dyDescent="0.25">
      <c r="A13" s="16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073, 19460112, 1,    0, 00</v>
      </c>
    </row>
    <row r="14" spans="1:1" x14ac:dyDescent="0.25">
      <c r="A14" s="16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073, 19460113, 1,    0, 00</v>
      </c>
    </row>
    <row r="15" spans="1:1" x14ac:dyDescent="0.25">
      <c r="A15" s="16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073, 19460114, 1,   10, 00</v>
      </c>
    </row>
    <row r="16" spans="1:1" x14ac:dyDescent="0.25">
      <c r="A16" s="16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073, 19460115, 1,    0, 00</v>
      </c>
    </row>
    <row r="17" spans="1:1" x14ac:dyDescent="0.25">
      <c r="A17" s="16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073, 19460116, 1,   15, 00</v>
      </c>
    </row>
    <row r="18" spans="1:1" x14ac:dyDescent="0.25">
      <c r="A18" s="16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073, 19460117, 1,   45, 00</v>
      </c>
    </row>
    <row r="19" spans="1:1" x14ac:dyDescent="0.25">
      <c r="A19" s="16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073, 19460118, 1,    0, 00</v>
      </c>
    </row>
    <row r="20" spans="1:1" x14ac:dyDescent="0.25">
      <c r="A20" s="16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073, 19460119, 1,    0, 00</v>
      </c>
    </row>
    <row r="21" spans="1:1" x14ac:dyDescent="0.25">
      <c r="A21" s="16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073, 19460120, 1,    0, 00</v>
      </c>
    </row>
    <row r="22" spans="1:1" x14ac:dyDescent="0.25">
      <c r="A22" s="16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073, 19460121, 1,    0, 00</v>
      </c>
    </row>
    <row r="23" spans="1:1" x14ac:dyDescent="0.25">
      <c r="A23" s="16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073, 19460122, 1,    0, 00</v>
      </c>
    </row>
    <row r="24" spans="1:1" x14ac:dyDescent="0.25">
      <c r="A24" s="16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073, 19460123, 1,    0, 00</v>
      </c>
    </row>
    <row r="25" spans="1:1" x14ac:dyDescent="0.25">
      <c r="A25" s="16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073, 19460124, 1,    0, 00</v>
      </c>
    </row>
    <row r="26" spans="1:1" x14ac:dyDescent="0.25">
      <c r="A26" s="16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073, 19460125, 1,    0, 00</v>
      </c>
    </row>
    <row r="27" spans="1:1" x14ac:dyDescent="0.25">
      <c r="A27" s="16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073, 19460126, 1,    0, 00</v>
      </c>
    </row>
    <row r="28" spans="1:1" x14ac:dyDescent="0.25">
      <c r="A28" s="16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073, 19460127, 1,    0, 00</v>
      </c>
    </row>
    <row r="29" spans="1:1" x14ac:dyDescent="0.25">
      <c r="A29" s="16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073, 19460128, 1,    9, 00</v>
      </c>
    </row>
    <row r="30" spans="1:1" x14ac:dyDescent="0.25">
      <c r="A30" s="16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073, 19460129, 1,    0, 00</v>
      </c>
    </row>
    <row r="31" spans="1:1" x14ac:dyDescent="0.25">
      <c r="A31" s="16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073, 19460130, 1,   23, 00</v>
      </c>
    </row>
    <row r="32" spans="1:1" x14ac:dyDescent="0.25">
      <c r="A32" s="16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073, 19460131, 1,   21, 00</v>
      </c>
    </row>
    <row r="33" spans="1:1" x14ac:dyDescent="0.25">
      <c r="A33" s="16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073, 19460201, 1,    0, 00</v>
      </c>
    </row>
    <row r="34" spans="1:1" x14ac:dyDescent="0.25">
      <c r="A34" s="16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073, 19460202, 1,    0, 00</v>
      </c>
    </row>
    <row r="35" spans="1:1" x14ac:dyDescent="0.25">
      <c r="A35" s="16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073, 19460203, 1,    0, 00</v>
      </c>
    </row>
    <row r="36" spans="1:1" x14ac:dyDescent="0.25">
      <c r="A36" s="16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073, 19460204, 1,   68, 00</v>
      </c>
    </row>
    <row r="37" spans="1:1" x14ac:dyDescent="0.25">
      <c r="A37" s="16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073, 19460205, 1,  132, 00</v>
      </c>
    </row>
    <row r="38" spans="1:1" x14ac:dyDescent="0.25">
      <c r="A38" s="16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073, 19460206, 1,    9, 00</v>
      </c>
    </row>
    <row r="39" spans="1:1" x14ac:dyDescent="0.25">
      <c r="A39" s="16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073, 19460207, 1,    0, 00</v>
      </c>
    </row>
    <row r="40" spans="1:1" x14ac:dyDescent="0.25">
      <c r="A40" s="16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073, 19460208, 1,    0, 00</v>
      </c>
    </row>
    <row r="41" spans="1:1" x14ac:dyDescent="0.25">
      <c r="A41" s="16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073, 19460209, 1,    0, 00</v>
      </c>
    </row>
    <row r="42" spans="1:1" x14ac:dyDescent="0.25">
      <c r="A42" s="16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073, 19460210, 1,    0, 00</v>
      </c>
    </row>
    <row r="43" spans="1:1" x14ac:dyDescent="0.25">
      <c r="A43" s="16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073, 19460211, 1,    0, 00</v>
      </c>
    </row>
    <row r="44" spans="1:1" x14ac:dyDescent="0.25">
      <c r="A44" s="16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073, 19460212, 1,    0, 00</v>
      </c>
    </row>
    <row r="45" spans="1:1" x14ac:dyDescent="0.25">
      <c r="A45" s="16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073, 19460213, 1,   61, 00</v>
      </c>
    </row>
    <row r="46" spans="1:1" x14ac:dyDescent="0.25">
      <c r="A46" s="16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073, 19460214, 1,    0, 00</v>
      </c>
    </row>
    <row r="47" spans="1:1" x14ac:dyDescent="0.25">
      <c r="A47" s="16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073, 19460215, 1,    0, 00</v>
      </c>
    </row>
    <row r="48" spans="1:1" x14ac:dyDescent="0.25">
      <c r="A48" s="16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073, 19460216, 1,   26, 00</v>
      </c>
    </row>
    <row r="49" spans="1:1" x14ac:dyDescent="0.25">
      <c r="A49" s="16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073, 19460217, 1,   23, 00</v>
      </c>
    </row>
    <row r="50" spans="1:1" x14ac:dyDescent="0.25">
      <c r="A50" s="16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073, 19460218, 1,   39, 00</v>
      </c>
    </row>
    <row r="51" spans="1:1" x14ac:dyDescent="0.25">
      <c r="A51" s="16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073, 19460219, 1,    0, 00</v>
      </c>
    </row>
    <row r="52" spans="1:1" x14ac:dyDescent="0.25">
      <c r="A52" s="16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073, 19460220, 1,    0, 00</v>
      </c>
    </row>
    <row r="53" spans="1:1" x14ac:dyDescent="0.25">
      <c r="A53" s="16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073, 19460221, 1,    0, 00</v>
      </c>
    </row>
    <row r="54" spans="1:1" x14ac:dyDescent="0.25">
      <c r="A54" s="16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073, 19460222, 1,    0, 00</v>
      </c>
    </row>
    <row r="55" spans="1:1" x14ac:dyDescent="0.25">
      <c r="A55" s="16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073, 19460223, 1,    0, 00</v>
      </c>
    </row>
    <row r="56" spans="1:1" x14ac:dyDescent="0.25">
      <c r="A56" s="16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073, 19460224, 1,    0, 00</v>
      </c>
    </row>
    <row r="57" spans="1:1" x14ac:dyDescent="0.25">
      <c r="A57" s="16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073, 19460225, 1,    0, 00</v>
      </c>
    </row>
    <row r="58" spans="1:1" x14ac:dyDescent="0.25">
      <c r="A58" s="16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073, 19460226, 1,    0, 00</v>
      </c>
    </row>
    <row r="59" spans="1:1" x14ac:dyDescent="0.25">
      <c r="A59" s="16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073, 19460227, 1,    0, 00</v>
      </c>
    </row>
    <row r="60" spans="1:1" x14ac:dyDescent="0.25">
      <c r="A60" s="16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073, 19460228, 1,    0, 00</v>
      </c>
    </row>
    <row r="61" spans="1:1" x14ac:dyDescent="0.25">
      <c r="A61" s="16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073, 19460301, 1,   36, 00</v>
      </c>
    </row>
    <row r="62" spans="1:1" x14ac:dyDescent="0.25">
      <c r="A62" s="16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073, 19460302, 1,    0, 00</v>
      </c>
    </row>
    <row r="63" spans="1:1" x14ac:dyDescent="0.25">
      <c r="A63" s="16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073, 19460303, 1,   30, 00</v>
      </c>
    </row>
    <row r="64" spans="1:1" x14ac:dyDescent="0.25">
      <c r="A64" s="16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073, 19460304, 1,    0, 00</v>
      </c>
    </row>
    <row r="65" spans="1:1" x14ac:dyDescent="0.25">
      <c r="A65" s="16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073, 19460305, 1,    0, 00</v>
      </c>
    </row>
    <row r="66" spans="1:1" x14ac:dyDescent="0.25">
      <c r="A66" s="16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073, 19460306, 1,    0, 00</v>
      </c>
    </row>
    <row r="67" spans="1:1" x14ac:dyDescent="0.25">
      <c r="A67" s="16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073, 19460307, 1,   29, 00</v>
      </c>
    </row>
    <row r="68" spans="1:1" x14ac:dyDescent="0.25">
      <c r="A68" s="16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073, 19460308, 1,    0, 00</v>
      </c>
    </row>
    <row r="69" spans="1:1" x14ac:dyDescent="0.25">
      <c r="A69" s="16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073, 19460309, 1,    0, 00</v>
      </c>
    </row>
    <row r="70" spans="1:1" x14ac:dyDescent="0.25">
      <c r="A70" s="16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073, 19460310, 1,    0, 00</v>
      </c>
    </row>
    <row r="71" spans="1:1" x14ac:dyDescent="0.25">
      <c r="A71" s="16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073, 19460311, 1,    0, 00</v>
      </c>
    </row>
    <row r="72" spans="1:1" x14ac:dyDescent="0.25">
      <c r="A72" s="16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073, 19460312, 1,    0, 00</v>
      </c>
    </row>
    <row r="73" spans="1:1" x14ac:dyDescent="0.25">
      <c r="A73" s="16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073, 19460313, 1,    0, 00</v>
      </c>
    </row>
    <row r="74" spans="1:1" x14ac:dyDescent="0.25">
      <c r="A74" s="16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073, 19460314, 1,   35, 00</v>
      </c>
    </row>
    <row r="75" spans="1:1" x14ac:dyDescent="0.25">
      <c r="A75" s="16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073, 19460315, 1,    0, 00</v>
      </c>
    </row>
    <row r="76" spans="1:1" x14ac:dyDescent="0.25">
      <c r="A76" s="16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073, 19460316, 1,    0, 00</v>
      </c>
    </row>
    <row r="77" spans="1:1" x14ac:dyDescent="0.25">
      <c r="A77" s="16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073, 19460317, 1,    0, 00</v>
      </c>
    </row>
    <row r="78" spans="1:1" x14ac:dyDescent="0.25">
      <c r="A78" s="16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073, 19460318, 1,    0, 00</v>
      </c>
    </row>
    <row r="79" spans="1:1" x14ac:dyDescent="0.25">
      <c r="A79" s="16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073, 19460319, 1,    0, 00</v>
      </c>
    </row>
    <row r="80" spans="1:1" x14ac:dyDescent="0.25">
      <c r="A80" s="16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073, 19460320, 1,    0, 00</v>
      </c>
    </row>
    <row r="81" spans="1:1" x14ac:dyDescent="0.25">
      <c r="A81" s="16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073, 19460321, 1,    0, 00</v>
      </c>
    </row>
    <row r="82" spans="1:1" x14ac:dyDescent="0.25">
      <c r="A82" s="16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073, 19460322, 1,    0, 00</v>
      </c>
    </row>
    <row r="83" spans="1:1" x14ac:dyDescent="0.25">
      <c r="A83" s="16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073, 19460323, 1,    0, 00</v>
      </c>
    </row>
    <row r="84" spans="1:1" x14ac:dyDescent="0.25">
      <c r="A84" s="16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073, 19460324, 1,    0, 00</v>
      </c>
    </row>
    <row r="85" spans="1:1" x14ac:dyDescent="0.25">
      <c r="A85" s="16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073, 19460325, 1,   46, 00</v>
      </c>
    </row>
    <row r="86" spans="1:1" x14ac:dyDescent="0.25">
      <c r="A86" s="16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073, 19460326, 1,    0, 00</v>
      </c>
    </row>
    <row r="87" spans="1:1" x14ac:dyDescent="0.25">
      <c r="A87" s="16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073, 19460327, 1,    0, 00</v>
      </c>
    </row>
    <row r="88" spans="1:1" x14ac:dyDescent="0.25">
      <c r="A88" s="16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073, 19460328, 1,   12, 00</v>
      </c>
    </row>
    <row r="89" spans="1:1" x14ac:dyDescent="0.25">
      <c r="A89" s="16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073, 19460329, 1,    0, 00</v>
      </c>
    </row>
    <row r="90" spans="1:1" x14ac:dyDescent="0.25">
      <c r="A90" s="16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073, 19460330, 1,    0, 00</v>
      </c>
    </row>
    <row r="91" spans="1:1" x14ac:dyDescent="0.25">
      <c r="A91" s="16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073, 19460331, 1,    8, 00</v>
      </c>
    </row>
    <row r="92" spans="1:1" x14ac:dyDescent="0.25">
      <c r="A92" s="16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073, 19460401, 1,  329, 00</v>
      </c>
    </row>
    <row r="93" spans="1:1" x14ac:dyDescent="0.25">
      <c r="A93" s="16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073, 19460402, 1,    0, 00</v>
      </c>
    </row>
    <row r="94" spans="1:1" x14ac:dyDescent="0.25">
      <c r="A94" s="16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073, 19460403, 1,    0, 00</v>
      </c>
    </row>
    <row r="95" spans="1:1" x14ac:dyDescent="0.25">
      <c r="A95" s="16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073, 19460404, 1,    0, 00</v>
      </c>
    </row>
    <row r="96" spans="1:1" x14ac:dyDescent="0.25">
      <c r="A96" s="16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073, 19460405, 1,    0, 00</v>
      </c>
    </row>
    <row r="97" spans="1:1" x14ac:dyDescent="0.25">
      <c r="A97" s="16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073, 19460406, 1,    0, 00</v>
      </c>
    </row>
    <row r="98" spans="1:1" x14ac:dyDescent="0.25">
      <c r="A98" s="16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073, 19460407, 1,    0, 00</v>
      </c>
    </row>
    <row r="99" spans="1:1" x14ac:dyDescent="0.25">
      <c r="A99" s="16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073, 19460408, 1,    0, 00</v>
      </c>
    </row>
    <row r="100" spans="1:1" x14ac:dyDescent="0.25">
      <c r="A100" s="16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073, 19460409, 1,    0, 00</v>
      </c>
    </row>
    <row r="101" spans="1:1" x14ac:dyDescent="0.25">
      <c r="A101" s="16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073, 19460410, 1,    0, 00</v>
      </c>
    </row>
    <row r="102" spans="1:1" x14ac:dyDescent="0.25">
      <c r="A102" s="16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073, 19460411, 1,    0, 00</v>
      </c>
    </row>
    <row r="103" spans="1:1" x14ac:dyDescent="0.25">
      <c r="A103" s="16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073, 19460412, 1,    0, 00</v>
      </c>
    </row>
    <row r="104" spans="1:1" x14ac:dyDescent="0.25">
      <c r="A104" s="16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073, 19460413, 1,    0, 00</v>
      </c>
    </row>
    <row r="105" spans="1:1" x14ac:dyDescent="0.25">
      <c r="A105" s="16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073, 19460414, 1,    0, 00</v>
      </c>
    </row>
    <row r="106" spans="1:1" x14ac:dyDescent="0.25">
      <c r="A106" s="16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073, 19460415, 1,   12, 00</v>
      </c>
    </row>
    <row r="107" spans="1:1" x14ac:dyDescent="0.25">
      <c r="A107" s="16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073, 19460416, 1,    0, 00</v>
      </c>
    </row>
    <row r="108" spans="1:1" x14ac:dyDescent="0.25">
      <c r="A108" s="16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073, 19460417, 1,    0, 00</v>
      </c>
    </row>
    <row r="109" spans="1:1" x14ac:dyDescent="0.25">
      <c r="A109" s="16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073, 19460418, 1,    0, 00</v>
      </c>
    </row>
    <row r="110" spans="1:1" x14ac:dyDescent="0.25">
      <c r="A110" s="16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073, 19460419, 1,    0, 00</v>
      </c>
    </row>
    <row r="111" spans="1:1" x14ac:dyDescent="0.25">
      <c r="A111" s="16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073, 19460420, 1,   39, 00</v>
      </c>
    </row>
    <row r="112" spans="1:1" x14ac:dyDescent="0.25">
      <c r="A112" s="16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073, 19460421, 1,    0, 00</v>
      </c>
    </row>
    <row r="113" spans="1:1" x14ac:dyDescent="0.25">
      <c r="A113" s="16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073, 19460422, 1,    0, 00</v>
      </c>
    </row>
    <row r="114" spans="1:1" x14ac:dyDescent="0.25">
      <c r="A114" s="16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073, 19460423, 1,    0, 00</v>
      </c>
    </row>
    <row r="115" spans="1:1" x14ac:dyDescent="0.25">
      <c r="A115" s="16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073, 19460424, 1,    0, 00</v>
      </c>
    </row>
    <row r="116" spans="1:1" x14ac:dyDescent="0.25">
      <c r="A116" s="16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073, 19460425, 1,    0, 00</v>
      </c>
    </row>
    <row r="117" spans="1:1" x14ac:dyDescent="0.25">
      <c r="A117" s="16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073, 19460426, 1,    0, 00</v>
      </c>
    </row>
    <row r="118" spans="1:1" x14ac:dyDescent="0.25">
      <c r="A118" s="16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073, 19460427, 1,    0, 00</v>
      </c>
    </row>
    <row r="119" spans="1:1" x14ac:dyDescent="0.25">
      <c r="A119" s="16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073, 19460428, 1,    0, 00</v>
      </c>
    </row>
    <row r="120" spans="1:1" x14ac:dyDescent="0.25">
      <c r="A120" s="16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073, 19460429, 1,  332, 00</v>
      </c>
    </row>
    <row r="121" spans="1:1" x14ac:dyDescent="0.25">
      <c r="A121" s="16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073, 19460430, 1,    0, 00</v>
      </c>
    </row>
    <row r="122" spans="1:1" x14ac:dyDescent="0.25">
      <c r="A122" s="16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073, 19460501, 1,   24, 00</v>
      </c>
    </row>
    <row r="123" spans="1:1" x14ac:dyDescent="0.25">
      <c r="A123" s="16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073, 19460502, 1,   30, 00</v>
      </c>
    </row>
    <row r="124" spans="1:1" x14ac:dyDescent="0.25">
      <c r="A124" s="16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073, 19460503, 1,    0, 00</v>
      </c>
    </row>
    <row r="125" spans="1:1" x14ac:dyDescent="0.25">
      <c r="A125" s="16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073, 19460504, 1,    0, 00</v>
      </c>
    </row>
    <row r="126" spans="1:1" x14ac:dyDescent="0.25">
      <c r="A126" s="16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073, 19460505, 1,    0, 00</v>
      </c>
    </row>
    <row r="127" spans="1:1" x14ac:dyDescent="0.25">
      <c r="A127" s="16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073, 19460506, 1,    0, 00</v>
      </c>
    </row>
    <row r="128" spans="1:1" x14ac:dyDescent="0.25">
      <c r="A128" s="16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073, 19460507, 1,    0, 00</v>
      </c>
    </row>
    <row r="129" spans="1:1" x14ac:dyDescent="0.25">
      <c r="A129" s="16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073, 19460508, 1,    0, 00</v>
      </c>
    </row>
    <row r="130" spans="1:1" x14ac:dyDescent="0.25">
      <c r="A130" s="16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073, 19460509, 1,    0, 00</v>
      </c>
    </row>
    <row r="131" spans="1:1" x14ac:dyDescent="0.25">
      <c r="A131" s="16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073, 19460510, 1,    0, 00</v>
      </c>
    </row>
    <row r="132" spans="1:1" x14ac:dyDescent="0.25">
      <c r="A132" s="16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073, 19460511, 1,    0, 00</v>
      </c>
    </row>
    <row r="133" spans="1:1" x14ac:dyDescent="0.25">
      <c r="A133" s="16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073, 19460512, 1,    0, 00</v>
      </c>
    </row>
    <row r="134" spans="1:1" x14ac:dyDescent="0.25">
      <c r="A134" s="16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073, 19460513, 1,    5, 00</v>
      </c>
    </row>
    <row r="135" spans="1:1" x14ac:dyDescent="0.25">
      <c r="A135" s="16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073, 19460514, 1,    0, 00</v>
      </c>
    </row>
    <row r="136" spans="1:1" x14ac:dyDescent="0.25">
      <c r="A136" s="16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073, 19460515, 1,    0, 00</v>
      </c>
    </row>
    <row r="137" spans="1:1" x14ac:dyDescent="0.25">
      <c r="A137" s="16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073, 19460516, 1,    0, 00</v>
      </c>
    </row>
    <row r="138" spans="1:1" x14ac:dyDescent="0.25">
      <c r="A138" s="16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073, 19460517, 1,    0, 00</v>
      </c>
    </row>
    <row r="139" spans="1:1" x14ac:dyDescent="0.25">
      <c r="A139" s="16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073, 19460518, 1,    0, 00</v>
      </c>
    </row>
    <row r="140" spans="1:1" x14ac:dyDescent="0.25">
      <c r="A140" s="16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073, 19460519, 1,    0, 00</v>
      </c>
    </row>
    <row r="141" spans="1:1" x14ac:dyDescent="0.25">
      <c r="A141" s="16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073, 19460520, 1,    0, 00</v>
      </c>
    </row>
    <row r="142" spans="1:1" x14ac:dyDescent="0.25">
      <c r="A142" s="16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073, 19460521, 1,    0, 00</v>
      </c>
    </row>
    <row r="143" spans="1:1" x14ac:dyDescent="0.25">
      <c r="A143" s="16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073, 19460522, 1,    0, 00</v>
      </c>
    </row>
    <row r="144" spans="1:1" x14ac:dyDescent="0.25">
      <c r="A144" s="16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073, 19460523, 1,    0, 00</v>
      </c>
    </row>
    <row r="145" spans="1:1" x14ac:dyDescent="0.25">
      <c r="A145" s="16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073, 19460524, 1,   34, 00</v>
      </c>
    </row>
    <row r="146" spans="1:1" x14ac:dyDescent="0.25">
      <c r="A146" s="16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073, 19460525, 1,    0, 00</v>
      </c>
    </row>
    <row r="147" spans="1:1" x14ac:dyDescent="0.25">
      <c r="A147" s="16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073, 19460526, 1,   48, 00</v>
      </c>
    </row>
    <row r="148" spans="1:1" x14ac:dyDescent="0.25">
      <c r="A148" s="16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073, 19460527, 1,    0, 00</v>
      </c>
    </row>
    <row r="149" spans="1:1" x14ac:dyDescent="0.25">
      <c r="A149" s="16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073, 19460528, 1,    0, 00</v>
      </c>
    </row>
    <row r="150" spans="1:1" x14ac:dyDescent="0.25">
      <c r="A150" s="16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073, 19460529, 1,    0, 00</v>
      </c>
    </row>
    <row r="151" spans="1:1" x14ac:dyDescent="0.25">
      <c r="A151" s="16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073, 19460530, 1,    0, 00</v>
      </c>
    </row>
    <row r="152" spans="1:1" x14ac:dyDescent="0.25">
      <c r="A152" s="16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073, 19460531, 1,    0, 00</v>
      </c>
    </row>
    <row r="153" spans="1:1" x14ac:dyDescent="0.25">
      <c r="A153" s="16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073, 19460601, 1,    0, 00</v>
      </c>
    </row>
    <row r="154" spans="1:1" x14ac:dyDescent="0.25">
      <c r="A154" s="16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073, 19460602, 1,    0, 00</v>
      </c>
    </row>
    <row r="155" spans="1:1" x14ac:dyDescent="0.25">
      <c r="A155" s="16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073, 19460603, 1,    0, 00</v>
      </c>
    </row>
    <row r="156" spans="1:1" x14ac:dyDescent="0.25">
      <c r="A156" s="16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073, 19460604, 1,    0, 00</v>
      </c>
    </row>
    <row r="157" spans="1:1" x14ac:dyDescent="0.25">
      <c r="A157" s="16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073, 19460605, 1,    0, 00</v>
      </c>
    </row>
    <row r="158" spans="1:1" x14ac:dyDescent="0.25">
      <c r="A158" s="16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073, 19460606, 1,  270, 00</v>
      </c>
    </row>
    <row r="159" spans="1:1" x14ac:dyDescent="0.25">
      <c r="A159" s="16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073, 19460607, 1,   53, 00</v>
      </c>
    </row>
    <row r="160" spans="1:1" x14ac:dyDescent="0.25">
      <c r="A160" s="16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073, 19460608, 1,    0, 00</v>
      </c>
    </row>
    <row r="161" spans="1:1" x14ac:dyDescent="0.25">
      <c r="A161" s="16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073, 19460609, 1,    0, 00</v>
      </c>
    </row>
    <row r="162" spans="1:1" x14ac:dyDescent="0.25">
      <c r="A162" s="16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073, 19460610, 1,    0, 00</v>
      </c>
    </row>
    <row r="163" spans="1:1" x14ac:dyDescent="0.25">
      <c r="A163" s="16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073, 19460611, 1,    0, 00</v>
      </c>
    </row>
    <row r="164" spans="1:1" x14ac:dyDescent="0.25">
      <c r="A164" s="16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073, 19460612, 1,    0, 00</v>
      </c>
    </row>
    <row r="165" spans="1:1" x14ac:dyDescent="0.25">
      <c r="A165" s="16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073, 19460613, 1,   29, 00</v>
      </c>
    </row>
    <row r="166" spans="1:1" x14ac:dyDescent="0.25">
      <c r="A166" s="16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073, 19460614, 1,    0, 00</v>
      </c>
    </row>
    <row r="167" spans="1:1" x14ac:dyDescent="0.25">
      <c r="A167" s="16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073, 19460615, 1,    0, 00</v>
      </c>
    </row>
    <row r="168" spans="1:1" x14ac:dyDescent="0.25">
      <c r="A168" s="16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073, 19460616, 1,   53, 00</v>
      </c>
    </row>
    <row r="169" spans="1:1" x14ac:dyDescent="0.25">
      <c r="A169" s="16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073, 19460617, 1,   27, 00</v>
      </c>
    </row>
    <row r="170" spans="1:1" x14ac:dyDescent="0.25">
      <c r="A170" s="16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073, 19460618, 1,    0, 00</v>
      </c>
    </row>
    <row r="171" spans="1:1" x14ac:dyDescent="0.25">
      <c r="A171" s="16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073, 19460619, 1,    0, 00</v>
      </c>
    </row>
    <row r="172" spans="1:1" x14ac:dyDescent="0.25">
      <c r="A172" s="16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073, 19460620, 1,    0, 00</v>
      </c>
    </row>
    <row r="173" spans="1:1" x14ac:dyDescent="0.25">
      <c r="A173" s="16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073, 19460621, 1,    0, 00</v>
      </c>
    </row>
    <row r="174" spans="1:1" x14ac:dyDescent="0.25">
      <c r="A174" s="16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073, 19460622, 1,    0, 00</v>
      </c>
    </row>
    <row r="175" spans="1:1" x14ac:dyDescent="0.25">
      <c r="A175" s="16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073, 19460623, 1,    0, 00</v>
      </c>
    </row>
    <row r="176" spans="1:1" x14ac:dyDescent="0.25">
      <c r="A176" s="16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073, 19460624, 1,    0, 00</v>
      </c>
    </row>
    <row r="177" spans="1:1" x14ac:dyDescent="0.25">
      <c r="A177" s="16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073, 19460625, 1,    0, 00</v>
      </c>
    </row>
    <row r="178" spans="1:1" x14ac:dyDescent="0.25">
      <c r="A178" s="16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073, 19460626, 1,    0, 00</v>
      </c>
    </row>
    <row r="179" spans="1:1" x14ac:dyDescent="0.25">
      <c r="A179" s="16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073, 19460627, 1,   53, 00</v>
      </c>
    </row>
    <row r="180" spans="1:1" x14ac:dyDescent="0.25">
      <c r="A180" s="16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073, 19460628, 1,   22, 00</v>
      </c>
    </row>
    <row r="181" spans="1:1" x14ac:dyDescent="0.25">
      <c r="A181" s="16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073, 19460629, 1,    0, 00</v>
      </c>
    </row>
    <row r="182" spans="1:1" x14ac:dyDescent="0.25">
      <c r="A182" s="16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073, 19460630, 1,    0, 00</v>
      </c>
    </row>
    <row r="183" spans="1:1" x14ac:dyDescent="0.25">
      <c r="A183" s="16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073, 19460701, 1,    0, 00</v>
      </c>
    </row>
    <row r="184" spans="1:1" x14ac:dyDescent="0.25">
      <c r="A184" s="16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073, 19460702, 1,    0, 00</v>
      </c>
    </row>
    <row r="185" spans="1:1" x14ac:dyDescent="0.25">
      <c r="A185" s="16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073, 19460703, 1,    0, 00</v>
      </c>
    </row>
    <row r="186" spans="1:1" x14ac:dyDescent="0.25">
      <c r="A186" s="16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073, 19460704, 1,    0, 00</v>
      </c>
    </row>
    <row r="187" spans="1:1" x14ac:dyDescent="0.25">
      <c r="A187" s="16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073, 19460705, 1,    0, 00</v>
      </c>
    </row>
    <row r="188" spans="1:1" x14ac:dyDescent="0.25">
      <c r="A188" s="16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073, 19460706, 1,    0, 00</v>
      </c>
    </row>
    <row r="189" spans="1:1" x14ac:dyDescent="0.25">
      <c r="A189" s="16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073, 19460707, 1,    0, 00</v>
      </c>
    </row>
    <row r="190" spans="1:1" x14ac:dyDescent="0.25">
      <c r="A190" s="16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073, 19460708, 1,   35, 00</v>
      </c>
    </row>
    <row r="191" spans="1:1" x14ac:dyDescent="0.25">
      <c r="A191" s="16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073, 19460709, 1,    0, 00</v>
      </c>
    </row>
    <row r="192" spans="1:1" x14ac:dyDescent="0.25">
      <c r="A192" s="16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073, 19460710, 1,    0, 00</v>
      </c>
    </row>
    <row r="193" spans="1:1" x14ac:dyDescent="0.25">
      <c r="A193" s="16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073, 19460711, 1,    0, 00</v>
      </c>
    </row>
    <row r="194" spans="1:1" x14ac:dyDescent="0.25">
      <c r="A194" s="16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073, 19460712, 1,    0, 00</v>
      </c>
    </row>
    <row r="195" spans="1:1" x14ac:dyDescent="0.25">
      <c r="A195" s="16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073, 19460713, 1,    0, 00</v>
      </c>
    </row>
    <row r="196" spans="1:1" x14ac:dyDescent="0.25">
      <c r="A196" s="16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073, 19460714, 1,    0, 00</v>
      </c>
    </row>
    <row r="197" spans="1:1" x14ac:dyDescent="0.25">
      <c r="A197" s="16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073, 19460715, 1,    0, 00</v>
      </c>
    </row>
    <row r="198" spans="1:1" x14ac:dyDescent="0.25">
      <c r="A198" s="16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073, 19460716, 1,    0, 00</v>
      </c>
    </row>
    <row r="199" spans="1:1" x14ac:dyDescent="0.25">
      <c r="A199" s="16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073, 19460717, 1,   94, 00</v>
      </c>
    </row>
    <row r="200" spans="1:1" x14ac:dyDescent="0.25">
      <c r="A200" s="16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073, 19460718, 1,    0, 00</v>
      </c>
    </row>
    <row r="201" spans="1:1" x14ac:dyDescent="0.25">
      <c r="A201" s="16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073, 19460719, 1,    0, 00</v>
      </c>
    </row>
    <row r="202" spans="1:1" x14ac:dyDescent="0.25">
      <c r="A202" s="16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073, 19460720, 1,    0, 00</v>
      </c>
    </row>
    <row r="203" spans="1:1" x14ac:dyDescent="0.25">
      <c r="A203" s="16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073, 19460721, 1,    0, 00</v>
      </c>
    </row>
    <row r="204" spans="1:1" x14ac:dyDescent="0.25">
      <c r="A204" s="16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073, 19460722, 1,    0, 00</v>
      </c>
    </row>
    <row r="205" spans="1:1" x14ac:dyDescent="0.25">
      <c r="A205" s="16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073, 19460723, 1,    0, 00</v>
      </c>
    </row>
    <row r="206" spans="1:1" x14ac:dyDescent="0.25">
      <c r="A206" s="16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073, 19460724, 1,    0, 00</v>
      </c>
    </row>
    <row r="207" spans="1:1" x14ac:dyDescent="0.25">
      <c r="A207" s="16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073, 19460725, 1,    0, 00</v>
      </c>
    </row>
    <row r="208" spans="1:1" x14ac:dyDescent="0.25">
      <c r="A208" s="16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073, 19460726, 1,  411, 00</v>
      </c>
    </row>
    <row r="209" spans="1:1" x14ac:dyDescent="0.25">
      <c r="A209" s="16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073, 19460727, 1,   47, 00</v>
      </c>
    </row>
    <row r="210" spans="1:1" x14ac:dyDescent="0.25">
      <c r="A210" s="16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073, 19460728, 1,    8, 00</v>
      </c>
    </row>
    <row r="211" spans="1:1" x14ac:dyDescent="0.25">
      <c r="A211" s="16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073, 19460729, 1,   13, 00</v>
      </c>
    </row>
    <row r="212" spans="1:1" x14ac:dyDescent="0.25">
      <c r="A212" s="16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073, 19460730, 1,    0, 00</v>
      </c>
    </row>
    <row r="213" spans="1:1" x14ac:dyDescent="0.25">
      <c r="A213" s="16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073, 19460731, 1,    0, 00</v>
      </c>
    </row>
    <row r="214" spans="1:1" x14ac:dyDescent="0.25">
      <c r="A214" s="16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073, 19460801, 1,    0, 00</v>
      </c>
    </row>
    <row r="215" spans="1:1" x14ac:dyDescent="0.25">
      <c r="A215" s="16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073, 19460802, 1,    0, 00</v>
      </c>
    </row>
    <row r="216" spans="1:1" x14ac:dyDescent="0.25">
      <c r="A216" s="16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073, 19460803, 1,   63, 00</v>
      </c>
    </row>
    <row r="217" spans="1:1" x14ac:dyDescent="0.25">
      <c r="A217" s="16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073, 19460804, 1,   83, 00</v>
      </c>
    </row>
    <row r="218" spans="1:1" x14ac:dyDescent="0.25">
      <c r="A218" s="16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073, 19460805, 1,    0, 00</v>
      </c>
    </row>
    <row r="219" spans="1:1" x14ac:dyDescent="0.25">
      <c r="A219" s="16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073, 19460806, 1,    0, 00</v>
      </c>
    </row>
    <row r="220" spans="1:1" x14ac:dyDescent="0.25">
      <c r="A220" s="16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073, 19460807, 1,    0, 00</v>
      </c>
    </row>
    <row r="221" spans="1:1" x14ac:dyDescent="0.25">
      <c r="A221" s="16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073, 19460808, 1,  644, 00</v>
      </c>
    </row>
    <row r="222" spans="1:1" x14ac:dyDescent="0.25">
      <c r="A222" s="16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073, 19460809, 1,   25, 00</v>
      </c>
    </row>
    <row r="223" spans="1:1" x14ac:dyDescent="0.25">
      <c r="A223" s="16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073, 19460810, 1,    0, 00</v>
      </c>
    </row>
    <row r="224" spans="1:1" x14ac:dyDescent="0.25">
      <c r="A224" s="16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073, 19460811, 1,    0, 00</v>
      </c>
    </row>
    <row r="225" spans="1:1" x14ac:dyDescent="0.25">
      <c r="A225" s="16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073, 19460812, 1,   29, 00</v>
      </c>
    </row>
    <row r="226" spans="1:1" x14ac:dyDescent="0.25">
      <c r="A226" s="16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073, 19460813, 1,   10, 00</v>
      </c>
    </row>
    <row r="227" spans="1:1" x14ac:dyDescent="0.25">
      <c r="A227" s="16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073, 19460814, 1,  100, 00</v>
      </c>
    </row>
    <row r="228" spans="1:1" x14ac:dyDescent="0.25">
      <c r="A228" s="16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073, 19460815, 1,   56, 00</v>
      </c>
    </row>
    <row r="229" spans="1:1" x14ac:dyDescent="0.25">
      <c r="A229" s="16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073, 19460816, 1,    0, 00</v>
      </c>
    </row>
    <row r="230" spans="1:1" x14ac:dyDescent="0.25">
      <c r="A230" s="16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073, 19460817, 1,  106, 00</v>
      </c>
    </row>
    <row r="231" spans="1:1" x14ac:dyDescent="0.25">
      <c r="A231" s="16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073, 19460818, 1,  173, 00</v>
      </c>
    </row>
    <row r="232" spans="1:1" x14ac:dyDescent="0.25">
      <c r="A232" s="16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073, 19460819, 1,    0, 00</v>
      </c>
    </row>
    <row r="233" spans="1:1" x14ac:dyDescent="0.25">
      <c r="A233" s="16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073, 19460820, 1,    0, 00</v>
      </c>
    </row>
    <row r="234" spans="1:1" x14ac:dyDescent="0.25">
      <c r="A234" s="16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073, 19460821, 1,    0, 00</v>
      </c>
    </row>
    <row r="235" spans="1:1" x14ac:dyDescent="0.25">
      <c r="A235" s="16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073, 19460822, 1,    1, 00</v>
      </c>
    </row>
    <row r="236" spans="1:1" x14ac:dyDescent="0.25">
      <c r="A236" s="16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073, 19460823, 1,    0, 00</v>
      </c>
    </row>
    <row r="237" spans="1:1" x14ac:dyDescent="0.25">
      <c r="A237" s="16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073, 19460824, 1,   10, 00</v>
      </c>
    </row>
    <row r="238" spans="1:1" x14ac:dyDescent="0.25">
      <c r="A238" s="16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073, 19460825, 1,    0, 00</v>
      </c>
    </row>
    <row r="239" spans="1:1" x14ac:dyDescent="0.25">
      <c r="A239" s="16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073, 19460826, 1,    0, 00</v>
      </c>
    </row>
    <row r="240" spans="1:1" x14ac:dyDescent="0.25">
      <c r="A240" s="16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073, 19460827, 1,    0, 00</v>
      </c>
    </row>
    <row r="241" spans="1:1" x14ac:dyDescent="0.25">
      <c r="A241" s="16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073, 19460828, 1,    1, 00</v>
      </c>
    </row>
    <row r="242" spans="1:1" x14ac:dyDescent="0.25">
      <c r="A242" s="16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073, 19460829, 1,    0, 00</v>
      </c>
    </row>
    <row r="243" spans="1:1" x14ac:dyDescent="0.25">
      <c r="A243" s="16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073, 19460830, 1,    0, 00</v>
      </c>
    </row>
    <row r="244" spans="1:1" x14ac:dyDescent="0.25">
      <c r="A244" s="16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073, 19460831, 1,    0, 00</v>
      </c>
    </row>
    <row r="245" spans="1:1" x14ac:dyDescent="0.25">
      <c r="A245" s="16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073, 19460901, 1,   86, 00</v>
      </c>
    </row>
    <row r="246" spans="1:1" x14ac:dyDescent="0.25">
      <c r="A246" s="16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073, 19460902, 1,  104, 00</v>
      </c>
    </row>
    <row r="247" spans="1:1" x14ac:dyDescent="0.25">
      <c r="A247" s="16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073, 19460903, 1,    7, 00</v>
      </c>
    </row>
    <row r="248" spans="1:1" x14ac:dyDescent="0.25">
      <c r="A248" s="16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073, 19460904, 1,    1, 00</v>
      </c>
    </row>
    <row r="249" spans="1:1" x14ac:dyDescent="0.25">
      <c r="A249" s="16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073, 19460905, 1,    0, 00</v>
      </c>
    </row>
    <row r="250" spans="1:1" x14ac:dyDescent="0.25">
      <c r="A250" s="16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073, 19460906, 1,    0, 00</v>
      </c>
    </row>
    <row r="251" spans="1:1" x14ac:dyDescent="0.25">
      <c r="A251" s="16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073, 19460907, 1,    0, 00</v>
      </c>
    </row>
    <row r="252" spans="1:1" x14ac:dyDescent="0.25">
      <c r="A252" s="16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073, 19460908, 1,  103, 00</v>
      </c>
    </row>
    <row r="253" spans="1:1" x14ac:dyDescent="0.25">
      <c r="A253" s="16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073, 19460909, 1,  100, 00</v>
      </c>
    </row>
    <row r="254" spans="1:1" x14ac:dyDescent="0.25">
      <c r="A254" s="16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073, 19460910, 1,   20, 00</v>
      </c>
    </row>
    <row r="255" spans="1:1" x14ac:dyDescent="0.25">
      <c r="A255" s="16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073, 19460911, 1,    3, 00</v>
      </c>
    </row>
    <row r="256" spans="1:1" x14ac:dyDescent="0.25">
      <c r="A256" s="16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073, 19460912, 1,   70, 00</v>
      </c>
    </row>
    <row r="257" spans="1:1" x14ac:dyDescent="0.25">
      <c r="A257" s="16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073, 19460913, 1,    0, 00</v>
      </c>
    </row>
    <row r="258" spans="1:1" x14ac:dyDescent="0.25">
      <c r="A258" s="16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073, 19460914, 1,    0, 00</v>
      </c>
    </row>
    <row r="259" spans="1:1" x14ac:dyDescent="0.25">
      <c r="A259" s="16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073, 19460915, 1,    0, 00</v>
      </c>
    </row>
    <row r="260" spans="1:1" x14ac:dyDescent="0.25">
      <c r="A260" s="16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073, 19460916, 1,    0, 00</v>
      </c>
    </row>
    <row r="261" spans="1:1" x14ac:dyDescent="0.25">
      <c r="A261" s="16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073, 19460917, 1,   10, 00</v>
      </c>
    </row>
    <row r="262" spans="1:1" x14ac:dyDescent="0.25">
      <c r="A262" s="16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073, 19460918, 1,    0, 00</v>
      </c>
    </row>
    <row r="263" spans="1:1" x14ac:dyDescent="0.25">
      <c r="A263" s="16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073, 19460919, 1,    0, 00</v>
      </c>
    </row>
    <row r="264" spans="1:1" x14ac:dyDescent="0.25">
      <c r="A264" s="16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073, 19460920, 1,    0, 00</v>
      </c>
    </row>
    <row r="265" spans="1:1" x14ac:dyDescent="0.25">
      <c r="A265" s="16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073, 19460921, 1,    0, 00</v>
      </c>
    </row>
    <row r="266" spans="1:1" x14ac:dyDescent="0.25">
      <c r="A266" s="16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073, 19460922, 1,   74, 00</v>
      </c>
    </row>
    <row r="267" spans="1:1" x14ac:dyDescent="0.25">
      <c r="A267" s="16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073, 19460923, 1,   40, 00</v>
      </c>
    </row>
    <row r="268" spans="1:1" x14ac:dyDescent="0.25">
      <c r="A268" s="16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073, 19460924, 1,    0, 00</v>
      </c>
    </row>
    <row r="269" spans="1:1" x14ac:dyDescent="0.25">
      <c r="A269" s="16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073, 19460925, 1,   10, 00</v>
      </c>
    </row>
    <row r="270" spans="1:1" x14ac:dyDescent="0.25">
      <c r="A270" s="16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073, 19460926, 1,    0, 00</v>
      </c>
    </row>
    <row r="271" spans="1:1" x14ac:dyDescent="0.25">
      <c r="A271" s="16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073, 19460927, 1,    0, 00</v>
      </c>
    </row>
    <row r="272" spans="1:1" x14ac:dyDescent="0.25">
      <c r="A272" s="16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073, 19460928, 1,    0, 00</v>
      </c>
    </row>
    <row r="273" spans="1:1" x14ac:dyDescent="0.25">
      <c r="A273" s="16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073, 19460929, 1,    0, 00</v>
      </c>
    </row>
    <row r="274" spans="1:1" x14ac:dyDescent="0.25">
      <c r="A274" s="16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073, 19460930, 1,    0, 00</v>
      </c>
    </row>
    <row r="275" spans="1:1" x14ac:dyDescent="0.25">
      <c r="A275" s="16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073, 19461001, 1,   10, 00</v>
      </c>
    </row>
    <row r="276" spans="1:1" x14ac:dyDescent="0.25">
      <c r="A276" s="16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073, 19461002, 1,    5, 00</v>
      </c>
    </row>
    <row r="277" spans="1:1" x14ac:dyDescent="0.25">
      <c r="A277" s="16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073, 19461003, 1,    0, 00</v>
      </c>
    </row>
    <row r="278" spans="1:1" x14ac:dyDescent="0.25">
      <c r="A278" s="16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073, 19461004, 1,    0, 00</v>
      </c>
    </row>
    <row r="279" spans="1:1" x14ac:dyDescent="0.25">
      <c r="A279" s="16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073, 19461005, 1,    0, 00</v>
      </c>
    </row>
    <row r="280" spans="1:1" x14ac:dyDescent="0.25">
      <c r="A280" s="16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073, 19461006, 1,    0, 00</v>
      </c>
    </row>
    <row r="281" spans="1:1" x14ac:dyDescent="0.25">
      <c r="A281" s="16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073, 19461007, 1,   10, 00</v>
      </c>
    </row>
    <row r="282" spans="1:1" x14ac:dyDescent="0.25">
      <c r="A282" s="16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073, 19461008, 1,    0, 00</v>
      </c>
    </row>
    <row r="283" spans="1:1" x14ac:dyDescent="0.25">
      <c r="A283" s="16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073, 19461009, 1,    0, 00</v>
      </c>
    </row>
    <row r="284" spans="1:1" x14ac:dyDescent="0.25">
      <c r="A284" s="16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073, 19461010, 1,    0, 00</v>
      </c>
    </row>
    <row r="285" spans="1:1" x14ac:dyDescent="0.25">
      <c r="A285" s="16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073, 19461011, 1,    0, 00</v>
      </c>
    </row>
    <row r="286" spans="1:1" x14ac:dyDescent="0.25">
      <c r="A286" s="16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073, 19461012, 1,    0, 00</v>
      </c>
    </row>
    <row r="287" spans="1:1" x14ac:dyDescent="0.25">
      <c r="A287" s="16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073, 19461013, 1,    0, 00</v>
      </c>
    </row>
    <row r="288" spans="1:1" x14ac:dyDescent="0.25">
      <c r="A288" s="16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073, 19461014, 1,  204, 00</v>
      </c>
    </row>
    <row r="289" spans="1:1" x14ac:dyDescent="0.25">
      <c r="A289" s="16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073, 19461015, 1,    0, 00</v>
      </c>
    </row>
    <row r="290" spans="1:1" x14ac:dyDescent="0.25">
      <c r="A290" s="16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073, 19461016, 1,    0, 00</v>
      </c>
    </row>
    <row r="291" spans="1:1" x14ac:dyDescent="0.25">
      <c r="A291" s="16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073, 19461017, 1,   60, 00</v>
      </c>
    </row>
    <row r="292" spans="1:1" x14ac:dyDescent="0.25">
      <c r="A292" s="16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073, 19461018, 1,    0, 00</v>
      </c>
    </row>
    <row r="293" spans="1:1" x14ac:dyDescent="0.25">
      <c r="A293" s="16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073, 19461019, 1,    6, 00</v>
      </c>
    </row>
    <row r="294" spans="1:1" x14ac:dyDescent="0.25">
      <c r="A294" s="16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073, 19461020, 1,   14, 00</v>
      </c>
    </row>
    <row r="295" spans="1:1" x14ac:dyDescent="0.25">
      <c r="A295" s="16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073, 19461021, 1,    2, 00</v>
      </c>
    </row>
    <row r="296" spans="1:1" x14ac:dyDescent="0.25">
      <c r="A296" s="16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073, 19461022, 1,   10, 00</v>
      </c>
    </row>
    <row r="297" spans="1:1" x14ac:dyDescent="0.25">
      <c r="A297" s="16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073, 19461023, 1,    0, 00</v>
      </c>
    </row>
    <row r="298" spans="1:1" x14ac:dyDescent="0.25">
      <c r="A298" s="16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073, 19461024, 1,   83, 00</v>
      </c>
    </row>
    <row r="299" spans="1:1" x14ac:dyDescent="0.25">
      <c r="A299" s="16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073, 19461025, 1,   13, 00</v>
      </c>
    </row>
    <row r="300" spans="1:1" x14ac:dyDescent="0.25">
      <c r="A300" s="16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073, 19461026, 1,    0, 00</v>
      </c>
    </row>
    <row r="301" spans="1:1" x14ac:dyDescent="0.25">
      <c r="A301" s="16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073, 19461027, 1,   52, 00</v>
      </c>
    </row>
    <row r="302" spans="1:1" x14ac:dyDescent="0.25">
      <c r="A302" s="16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073, 19461028, 1,    0, 00</v>
      </c>
    </row>
    <row r="303" spans="1:1" x14ac:dyDescent="0.25">
      <c r="A303" s="16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073, 19461029, 1,    0, 00</v>
      </c>
    </row>
    <row r="304" spans="1:1" x14ac:dyDescent="0.25">
      <c r="A304" s="16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073, 19461030, 1,    0, 00</v>
      </c>
    </row>
    <row r="305" spans="1:1" x14ac:dyDescent="0.25">
      <c r="A305" s="16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073, 19461031, 1,    0, 00</v>
      </c>
    </row>
    <row r="306" spans="1:1" x14ac:dyDescent="0.25">
      <c r="A306" s="16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073, 19461101, 1,    0, 00</v>
      </c>
    </row>
    <row r="307" spans="1:1" x14ac:dyDescent="0.25">
      <c r="A307" s="16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073, 19461102, 1,    0, 00</v>
      </c>
    </row>
    <row r="308" spans="1:1" x14ac:dyDescent="0.25">
      <c r="A308" s="16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073, 19461103, 1,  130, 00</v>
      </c>
    </row>
    <row r="309" spans="1:1" x14ac:dyDescent="0.25">
      <c r="A309" s="16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073, 19461104, 1,    0, 00</v>
      </c>
    </row>
    <row r="310" spans="1:1" x14ac:dyDescent="0.25">
      <c r="A310" s="16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073, 19461105, 1,    0, 00</v>
      </c>
    </row>
    <row r="311" spans="1:1" x14ac:dyDescent="0.25">
      <c r="A311" s="16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073, 19461106, 1,    0, 00</v>
      </c>
    </row>
    <row r="312" spans="1:1" x14ac:dyDescent="0.25">
      <c r="A312" s="16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073, 19461107, 1,    0, 00</v>
      </c>
    </row>
    <row r="313" spans="1:1" x14ac:dyDescent="0.25">
      <c r="A313" s="16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073, 19461108, 1,    0, 00</v>
      </c>
    </row>
    <row r="314" spans="1:1" x14ac:dyDescent="0.25">
      <c r="A314" s="16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073, 19461109, 1,    0, 00</v>
      </c>
    </row>
    <row r="315" spans="1:1" x14ac:dyDescent="0.25">
      <c r="A315" s="16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073, 19461110, 1,    0, 00</v>
      </c>
    </row>
    <row r="316" spans="1:1" x14ac:dyDescent="0.25">
      <c r="A316" s="16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073, 19461111, 1,    0, 00</v>
      </c>
    </row>
    <row r="317" spans="1:1" x14ac:dyDescent="0.25">
      <c r="A317" s="16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073, 19461112, 1,   33, 00</v>
      </c>
    </row>
    <row r="318" spans="1:1" x14ac:dyDescent="0.25">
      <c r="A318" s="16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073, 19461113, 1,    0, 00</v>
      </c>
    </row>
    <row r="319" spans="1:1" x14ac:dyDescent="0.25">
      <c r="A319" s="16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073, 19461114, 1,  100, 00</v>
      </c>
    </row>
    <row r="320" spans="1:1" x14ac:dyDescent="0.25">
      <c r="A320" s="16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073, 19461115, 1,    0, 00</v>
      </c>
    </row>
    <row r="321" spans="1:1" x14ac:dyDescent="0.25">
      <c r="A321" s="16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073, 19461116, 1,  370, 00</v>
      </c>
    </row>
    <row r="322" spans="1:1" x14ac:dyDescent="0.25">
      <c r="A322" s="16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073, 19461117, 1,  150, 00</v>
      </c>
    </row>
    <row r="323" spans="1:1" x14ac:dyDescent="0.25">
      <c r="A323" s="16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073, 19461118, 1,    0, 00</v>
      </c>
    </row>
    <row r="324" spans="1:1" x14ac:dyDescent="0.25">
      <c r="A324" s="16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073, 19461119, 1,    0, 00</v>
      </c>
    </row>
    <row r="325" spans="1:1" x14ac:dyDescent="0.25">
      <c r="A325" s="16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073, 19461120, 1,    0, 00</v>
      </c>
    </row>
    <row r="326" spans="1:1" x14ac:dyDescent="0.25">
      <c r="A326" s="16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073, 19461121, 1,    0, 00</v>
      </c>
    </row>
    <row r="327" spans="1:1" x14ac:dyDescent="0.25">
      <c r="A327" s="16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073, 19461122, 1,    0, 00</v>
      </c>
    </row>
    <row r="328" spans="1:1" x14ac:dyDescent="0.25">
      <c r="A328" s="16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073, 19461123, 1,    0, 00</v>
      </c>
    </row>
    <row r="329" spans="1:1" x14ac:dyDescent="0.25">
      <c r="A329" s="16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073, 19461124, 1,    0, 00</v>
      </c>
    </row>
    <row r="330" spans="1:1" x14ac:dyDescent="0.25">
      <c r="A330" s="16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073, 19461125, 1,    0, 00</v>
      </c>
    </row>
    <row r="331" spans="1:1" x14ac:dyDescent="0.25">
      <c r="A331" s="16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073, 19461126, 1,   80, 00</v>
      </c>
    </row>
    <row r="332" spans="1:1" x14ac:dyDescent="0.25">
      <c r="A332" s="16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073, 19461127, 1,    0, 00</v>
      </c>
    </row>
    <row r="333" spans="1:1" x14ac:dyDescent="0.25">
      <c r="A333" s="16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073, 19461128, 1,   52, 00</v>
      </c>
    </row>
    <row r="334" spans="1:1" x14ac:dyDescent="0.25">
      <c r="A334" s="16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073, 19461129, 1,    0, 00</v>
      </c>
    </row>
    <row r="335" spans="1:1" x14ac:dyDescent="0.25">
      <c r="A335" s="16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073, 19461130, 1,    0, 00</v>
      </c>
    </row>
    <row r="336" spans="1:1" x14ac:dyDescent="0.25">
      <c r="A336" s="16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073, 19461201, 1,    0, 00</v>
      </c>
    </row>
    <row r="337" spans="1:1" x14ac:dyDescent="0.25">
      <c r="A337" s="16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073, 19461202, 1,    0, 00</v>
      </c>
    </row>
    <row r="338" spans="1:1" x14ac:dyDescent="0.25">
      <c r="A338" s="16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073, 19461203, 1,    0, 00</v>
      </c>
    </row>
    <row r="339" spans="1:1" x14ac:dyDescent="0.25">
      <c r="A339" s="16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073, 19461204, 1,    0, 00</v>
      </c>
    </row>
    <row r="340" spans="1:1" x14ac:dyDescent="0.25">
      <c r="A340" s="16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073, 19461205, 1,    0, 00</v>
      </c>
    </row>
    <row r="341" spans="1:1" x14ac:dyDescent="0.25">
      <c r="A341" s="16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073, 19461206, 1,    0, 00</v>
      </c>
    </row>
    <row r="342" spans="1:1" x14ac:dyDescent="0.25">
      <c r="A342" s="16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073, 19461207, 1,    0, 00</v>
      </c>
    </row>
    <row r="343" spans="1:1" x14ac:dyDescent="0.25">
      <c r="A343" s="16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073, 19461208, 1,    0, 00</v>
      </c>
    </row>
    <row r="344" spans="1:1" x14ac:dyDescent="0.25">
      <c r="A344" s="16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073, 19461209, 1,    0, 00</v>
      </c>
    </row>
    <row r="345" spans="1:1" x14ac:dyDescent="0.25">
      <c r="A345" s="16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073, 19461210, 1,    0, 00</v>
      </c>
    </row>
    <row r="346" spans="1:1" x14ac:dyDescent="0.25">
      <c r="A346" s="16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073, 19461211, 1,    0, 00</v>
      </c>
    </row>
    <row r="347" spans="1:1" x14ac:dyDescent="0.25">
      <c r="A347" s="16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073, 19461212, 1,    0, 00</v>
      </c>
    </row>
    <row r="348" spans="1:1" x14ac:dyDescent="0.25">
      <c r="A348" s="16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073, 19461213, 1,   45, 00</v>
      </c>
    </row>
    <row r="349" spans="1:1" x14ac:dyDescent="0.25">
      <c r="A349" s="16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073, 19461214, 1,    0, 00</v>
      </c>
    </row>
    <row r="350" spans="1:1" x14ac:dyDescent="0.25">
      <c r="A350" s="16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073, 19461215, 1,    0, 00</v>
      </c>
    </row>
    <row r="351" spans="1:1" x14ac:dyDescent="0.25">
      <c r="A351" s="16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073, 19461216, 1,    0, 00</v>
      </c>
    </row>
    <row r="352" spans="1:1" x14ac:dyDescent="0.25">
      <c r="A352" s="16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073, 19461217, 1,    0, 00</v>
      </c>
    </row>
    <row r="353" spans="1:1" x14ac:dyDescent="0.25">
      <c r="A353" s="16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073, 19461218, 1,   73, 00</v>
      </c>
    </row>
    <row r="354" spans="1:1" x14ac:dyDescent="0.25">
      <c r="A354" s="16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073, 19461219, 1,    0, 00</v>
      </c>
    </row>
    <row r="355" spans="1:1" x14ac:dyDescent="0.25">
      <c r="A355" s="16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073, 19461220, 1,    0, 00</v>
      </c>
    </row>
    <row r="356" spans="1:1" x14ac:dyDescent="0.25">
      <c r="A356" s="16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073, 19461221, 1,    0, 00</v>
      </c>
    </row>
    <row r="357" spans="1:1" x14ac:dyDescent="0.25">
      <c r="A357" s="16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073, 19461222, 1,    0, 00</v>
      </c>
    </row>
    <row r="358" spans="1:1" x14ac:dyDescent="0.25">
      <c r="A358" s="16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073, 19461223, 1,    0, 00</v>
      </c>
    </row>
    <row r="359" spans="1:1" x14ac:dyDescent="0.25">
      <c r="A359" s="16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073, 19461224, 1,    0, 00</v>
      </c>
    </row>
    <row r="360" spans="1:1" x14ac:dyDescent="0.25">
      <c r="A360" s="16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073, 19461225, 1,    0, 00</v>
      </c>
    </row>
    <row r="361" spans="1:1" x14ac:dyDescent="0.25">
      <c r="A361" s="16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073, 19461226, 1,    0, 00</v>
      </c>
    </row>
    <row r="362" spans="1:1" x14ac:dyDescent="0.25">
      <c r="A362" s="16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073, 19461227, 1,    0, 00</v>
      </c>
    </row>
    <row r="363" spans="1:1" x14ac:dyDescent="0.25">
      <c r="A363" s="16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073, 19461228, 1,    0, 00</v>
      </c>
    </row>
    <row r="364" spans="1:1" x14ac:dyDescent="0.25">
      <c r="A364" s="16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073, 19461229, 1,    0, 00</v>
      </c>
    </row>
    <row r="365" spans="1:1" x14ac:dyDescent="0.25">
      <c r="A365" s="16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073, 19461230, 1,    0, 00</v>
      </c>
    </row>
    <row r="366" spans="1:1" x14ac:dyDescent="0.25">
      <c r="A366" s="16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073, 19461231, 1,    0, 00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16" t="str">
        <f>""""&amp;Overig!A1&amp;""", """&amp;Overig!B1&amp;""", """&amp;Overig!C1&amp;""", """&amp;Overig!D1&amp;""", """&amp;Overig!E1&amp;""""</f>
        <v>"Stn", "Datum", "Tijd", "P", "qP"</v>
      </c>
    </row>
    <row r="2" spans="1:1" x14ac:dyDescent="0.25">
      <c r="A2" s="16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</f>
        <v>073, 19460101, 08.00, ////, 07</v>
      </c>
    </row>
    <row r="3" spans="1:1" x14ac:dyDescent="0.25">
      <c r="A3" s="16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</f>
        <v>073, 19460101, 12.00, ////, 07</v>
      </c>
    </row>
    <row r="4" spans="1:1" x14ac:dyDescent="0.25">
      <c r="A4" s="16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</f>
        <v>073, 19460101, 16.00, ////, 07</v>
      </c>
    </row>
    <row r="5" spans="1:1" x14ac:dyDescent="0.25">
      <c r="A5" s="16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</f>
        <v>073, 19460102, 08.00, ////, 07</v>
      </c>
    </row>
    <row r="6" spans="1:1" x14ac:dyDescent="0.25">
      <c r="A6" s="16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</f>
        <v>073, 19460102, 12.00, ////, 07</v>
      </c>
    </row>
    <row r="7" spans="1:1" x14ac:dyDescent="0.25">
      <c r="A7" s="16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</f>
        <v>073, 19460102, 16.00, ////, 07</v>
      </c>
    </row>
    <row r="8" spans="1:1" x14ac:dyDescent="0.25">
      <c r="A8" s="16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</f>
        <v>073, 19460103, 08.00, ////, 07</v>
      </c>
    </row>
    <row r="9" spans="1:1" x14ac:dyDescent="0.25">
      <c r="A9" s="16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</f>
        <v>073, 19460103, 12.00, ////, 07</v>
      </c>
    </row>
    <row r="10" spans="1:1" x14ac:dyDescent="0.25">
      <c r="A10" s="16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</f>
        <v>073, 19460103, 16.00, ////, 07</v>
      </c>
    </row>
    <row r="11" spans="1:1" x14ac:dyDescent="0.25">
      <c r="A11" s="16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</f>
        <v>073, 19460104, 08.00, ////, 07</v>
      </c>
    </row>
    <row r="12" spans="1:1" x14ac:dyDescent="0.25">
      <c r="A12" s="16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</f>
        <v>073, 19460104, 12.00, ////, 07</v>
      </c>
    </row>
    <row r="13" spans="1:1" x14ac:dyDescent="0.25">
      <c r="A13" s="16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</f>
        <v>073, 19460104, 16.00, ////, 07</v>
      </c>
    </row>
    <row r="14" spans="1:1" x14ac:dyDescent="0.25">
      <c r="A14" s="16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</f>
        <v>073, 19460105, 08.00, ////, 07</v>
      </c>
    </row>
    <row r="15" spans="1:1" x14ac:dyDescent="0.25">
      <c r="A15" s="16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</f>
        <v>073, 19460105, 12.00, ////, 07</v>
      </c>
    </row>
    <row r="16" spans="1:1" x14ac:dyDescent="0.25">
      <c r="A16" s="16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</f>
        <v>073, 19460105, 16.00, ////, 07</v>
      </c>
    </row>
    <row r="17" spans="1:1" x14ac:dyDescent="0.25">
      <c r="A17" s="16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</f>
        <v>073, 19460106, 08.00, ////, 07</v>
      </c>
    </row>
    <row r="18" spans="1:1" x14ac:dyDescent="0.25">
      <c r="A18" s="16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</f>
        <v>073, 19460106, 12.00, ////, 07</v>
      </c>
    </row>
    <row r="19" spans="1:1" x14ac:dyDescent="0.25">
      <c r="A19" s="16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</f>
        <v>073, 19460106, 16.00, ////, 07</v>
      </c>
    </row>
    <row r="20" spans="1:1" x14ac:dyDescent="0.25">
      <c r="A20" s="16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</f>
        <v>073, 19460107, 08.00, ////, 07</v>
      </c>
    </row>
    <row r="21" spans="1:1" x14ac:dyDescent="0.25">
      <c r="A21" s="16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</f>
        <v>073, 19460107, 12.00, ////, 07</v>
      </c>
    </row>
    <row r="22" spans="1:1" x14ac:dyDescent="0.25">
      <c r="A22" s="16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</f>
        <v>073, 19460107, 16.00, ////, 07</v>
      </c>
    </row>
    <row r="23" spans="1:1" x14ac:dyDescent="0.25">
      <c r="A23" s="16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</f>
        <v>073, 19460108, 08.00, ////, 07</v>
      </c>
    </row>
    <row r="24" spans="1:1" x14ac:dyDescent="0.25">
      <c r="A24" s="16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</f>
        <v>073, 19460108, 12.00, ////, 07</v>
      </c>
    </row>
    <row r="25" spans="1:1" x14ac:dyDescent="0.25">
      <c r="A25" s="16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</f>
        <v>073, 19460108, 16.00, ////, 07</v>
      </c>
    </row>
    <row r="26" spans="1:1" x14ac:dyDescent="0.25">
      <c r="A26" s="16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</f>
        <v>073, 19460109, 08.00, ////, 07</v>
      </c>
    </row>
    <row r="27" spans="1:1" x14ac:dyDescent="0.25">
      <c r="A27" s="16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</f>
        <v>073, 19460109, 12.00, ////, 07</v>
      </c>
    </row>
    <row r="28" spans="1:1" x14ac:dyDescent="0.25">
      <c r="A28" s="16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</f>
        <v>073, 19460109, 16.00, ////, 07</v>
      </c>
    </row>
    <row r="29" spans="1:1" x14ac:dyDescent="0.25">
      <c r="A29" s="16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</f>
        <v>073, 19460110, 08.00, ////, 07</v>
      </c>
    </row>
    <row r="30" spans="1:1" x14ac:dyDescent="0.25">
      <c r="A30" s="16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</f>
        <v>073, 19460110, 12.00, ////, 07</v>
      </c>
    </row>
    <row r="31" spans="1:1" x14ac:dyDescent="0.25">
      <c r="A31" s="16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</f>
        <v>073, 19460110, 16.00, ////, 07</v>
      </c>
    </row>
    <row r="32" spans="1:1" x14ac:dyDescent="0.25">
      <c r="A32" s="16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</f>
        <v>073, 19460111, 08.00, ////, 07</v>
      </c>
    </row>
    <row r="33" spans="1:1" x14ac:dyDescent="0.25">
      <c r="A33" s="16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</f>
        <v>073, 19460111, 12.00, ////, 07</v>
      </c>
    </row>
    <row r="34" spans="1:1" x14ac:dyDescent="0.25">
      <c r="A34" s="16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</f>
        <v>073, 19460111, 16.00, ////, 07</v>
      </c>
    </row>
    <row r="35" spans="1:1" x14ac:dyDescent="0.25">
      <c r="A35" s="16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</f>
        <v>073, 19460112, 08.00, ////, 07</v>
      </c>
    </row>
    <row r="36" spans="1:1" x14ac:dyDescent="0.25">
      <c r="A36" s="16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</f>
        <v>073, 19460112, 12.00, ////, 07</v>
      </c>
    </row>
    <row r="37" spans="1:1" x14ac:dyDescent="0.25">
      <c r="A37" s="16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</f>
        <v>073, 19460112, 16.00, ////, 07</v>
      </c>
    </row>
    <row r="38" spans="1:1" x14ac:dyDescent="0.25">
      <c r="A38" s="16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</f>
        <v>073, 19460113, 08.00, ////, 07</v>
      </c>
    </row>
    <row r="39" spans="1:1" x14ac:dyDescent="0.25">
      <c r="A39" s="16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</f>
        <v>073, 19460113, 12.00, ////, 07</v>
      </c>
    </row>
    <row r="40" spans="1:1" x14ac:dyDescent="0.25">
      <c r="A40" s="16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</f>
        <v>073, 19460113, 16.00, ////, 07</v>
      </c>
    </row>
    <row r="41" spans="1:1" x14ac:dyDescent="0.25">
      <c r="A41" s="16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</f>
        <v>073, 19460114, 08.00, ////, 07</v>
      </c>
    </row>
    <row r="42" spans="1:1" x14ac:dyDescent="0.25">
      <c r="A42" s="16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</f>
        <v>073, 19460114, 12.00, ////, 07</v>
      </c>
    </row>
    <row r="43" spans="1:1" x14ac:dyDescent="0.25">
      <c r="A43" s="16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</f>
        <v>073, 19460114, 16.00, ////, 07</v>
      </c>
    </row>
    <row r="44" spans="1:1" x14ac:dyDescent="0.25">
      <c r="A44" s="16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</f>
        <v>073, 19460115, 08.00, ////, 07</v>
      </c>
    </row>
    <row r="45" spans="1:1" x14ac:dyDescent="0.25">
      <c r="A45" s="16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</f>
        <v>073, 19460115, 12.00, ////, 07</v>
      </c>
    </row>
    <row r="46" spans="1:1" x14ac:dyDescent="0.25">
      <c r="A46" s="16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</f>
        <v>073, 19460115, 16.00, ////, 07</v>
      </c>
    </row>
    <row r="47" spans="1:1" x14ac:dyDescent="0.25">
      <c r="A47" s="16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</f>
        <v>073, 19460116, 08.00, ////, 07</v>
      </c>
    </row>
    <row r="48" spans="1:1" x14ac:dyDescent="0.25">
      <c r="A48" s="16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</f>
        <v>073, 19460116, 12.00, ////, 07</v>
      </c>
    </row>
    <row r="49" spans="1:1" x14ac:dyDescent="0.25">
      <c r="A49" s="16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</f>
        <v>073, 19460116, 16.00, ////, 07</v>
      </c>
    </row>
    <row r="50" spans="1:1" x14ac:dyDescent="0.25">
      <c r="A50" s="16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</f>
        <v>073, 19460117, 08.00, ////, 07</v>
      </c>
    </row>
    <row r="51" spans="1:1" x14ac:dyDescent="0.25">
      <c r="A51" s="16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</f>
        <v>073, 19460117, 12.00, ////, 07</v>
      </c>
    </row>
    <row r="52" spans="1:1" x14ac:dyDescent="0.25">
      <c r="A52" s="16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</f>
        <v>073, 19460117, 16.00, ////, 07</v>
      </c>
    </row>
    <row r="53" spans="1:1" x14ac:dyDescent="0.25">
      <c r="A53" s="16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</f>
        <v>073, 19460118, 08.00, ////, 07</v>
      </c>
    </row>
    <row r="54" spans="1:1" x14ac:dyDescent="0.25">
      <c r="A54" s="16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</f>
        <v>073, 19460118, 12.00, ////, 07</v>
      </c>
    </row>
    <row r="55" spans="1:1" x14ac:dyDescent="0.25">
      <c r="A55" s="16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</f>
        <v>073, 19460118, 16.00, ////, 07</v>
      </c>
    </row>
    <row r="56" spans="1:1" x14ac:dyDescent="0.25">
      <c r="A56" s="16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</f>
        <v>073, 19460119, 08.00, ////, 07</v>
      </c>
    </row>
    <row r="57" spans="1:1" x14ac:dyDescent="0.25">
      <c r="A57" s="16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</f>
        <v>073, 19460119, 12.00, ////, 07</v>
      </c>
    </row>
    <row r="58" spans="1:1" x14ac:dyDescent="0.25">
      <c r="A58" s="16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</f>
        <v>073, 19460119, 16.00, ////, 07</v>
      </c>
    </row>
    <row r="59" spans="1:1" x14ac:dyDescent="0.25">
      <c r="A59" s="16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</f>
        <v>073, 19460120, 08.00, ////, 07</v>
      </c>
    </row>
    <row r="60" spans="1:1" x14ac:dyDescent="0.25">
      <c r="A60" s="16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</f>
        <v>073, 19460120, 12.00, ////, 07</v>
      </c>
    </row>
    <row r="61" spans="1:1" x14ac:dyDescent="0.25">
      <c r="A61" s="16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</f>
        <v>073, 19460120, 16.00, ////, 07</v>
      </c>
    </row>
    <row r="62" spans="1:1" x14ac:dyDescent="0.25">
      <c r="A62" s="16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</f>
        <v>073, 19460121, 08.00, ////, 07</v>
      </c>
    </row>
    <row r="63" spans="1:1" x14ac:dyDescent="0.25">
      <c r="A63" s="16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</f>
        <v>073, 19460121, 12.00, ////, 07</v>
      </c>
    </row>
    <row r="64" spans="1:1" x14ac:dyDescent="0.25">
      <c r="A64" s="16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</f>
        <v>073, 19460121, 16.00, ////, 07</v>
      </c>
    </row>
    <row r="65" spans="1:1" x14ac:dyDescent="0.25">
      <c r="A65" s="16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</f>
        <v>073, 19460122, 08.00, ////, 07</v>
      </c>
    </row>
    <row r="66" spans="1:1" x14ac:dyDescent="0.25">
      <c r="A66" s="16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</f>
        <v>073, 19460122, 12.00, ////, 07</v>
      </c>
    </row>
    <row r="67" spans="1:1" x14ac:dyDescent="0.25">
      <c r="A67" s="16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</f>
        <v>073, 19460122, 16.00, ////, 07</v>
      </c>
    </row>
    <row r="68" spans="1:1" x14ac:dyDescent="0.25">
      <c r="A68" s="16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</f>
        <v>073, 19460123, 08.00, ////, 07</v>
      </c>
    </row>
    <row r="69" spans="1:1" x14ac:dyDescent="0.25">
      <c r="A69" s="16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</f>
        <v>073, 19460123, 12.00, ////, 07</v>
      </c>
    </row>
    <row r="70" spans="1:1" x14ac:dyDescent="0.25">
      <c r="A70" s="16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</f>
        <v>073, 19460123, 16.00, ////, 07</v>
      </c>
    </row>
    <row r="71" spans="1:1" x14ac:dyDescent="0.25">
      <c r="A71" s="16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</f>
        <v>073, 19460124, 08.00, ////, 07</v>
      </c>
    </row>
    <row r="72" spans="1:1" x14ac:dyDescent="0.25">
      <c r="A72" s="16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</f>
        <v>073, 19460124, 12.00, ////, 07</v>
      </c>
    </row>
    <row r="73" spans="1:1" x14ac:dyDescent="0.25">
      <c r="A73" s="16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</f>
        <v>073, 19460124, 16.00, ////, 07</v>
      </c>
    </row>
    <row r="74" spans="1:1" x14ac:dyDescent="0.25">
      <c r="A74" s="16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</f>
        <v>073, 19460125, 08.00, ////, 07</v>
      </c>
    </row>
    <row r="75" spans="1:1" x14ac:dyDescent="0.25">
      <c r="A75" s="16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</f>
        <v>073, 19460125, 12.00, ////, 07</v>
      </c>
    </row>
    <row r="76" spans="1:1" x14ac:dyDescent="0.25">
      <c r="A76" s="16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</f>
        <v>073, 19460125, 16.00, ////, 07</v>
      </c>
    </row>
    <row r="77" spans="1:1" x14ac:dyDescent="0.25">
      <c r="A77" s="16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</f>
        <v>073, 19460126, 08.00, ////, 07</v>
      </c>
    </row>
    <row r="78" spans="1:1" x14ac:dyDescent="0.25">
      <c r="A78" s="16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</f>
        <v>073, 19460126, 12.00, ////, 07</v>
      </c>
    </row>
    <row r="79" spans="1:1" x14ac:dyDescent="0.25">
      <c r="A79" s="16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</f>
        <v>073, 19460126, 16.00, ////, 07</v>
      </c>
    </row>
    <row r="80" spans="1:1" x14ac:dyDescent="0.25">
      <c r="A80" s="16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</f>
        <v>073, 19460127, 08.00, ////, 07</v>
      </c>
    </row>
    <row r="81" spans="1:1" x14ac:dyDescent="0.25">
      <c r="A81" s="16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</f>
        <v>073, 19460127, 12.00, ////, 07</v>
      </c>
    </row>
    <row r="82" spans="1:1" x14ac:dyDescent="0.25">
      <c r="A82" s="16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</f>
        <v>073, 19460127, 16.00, ////, 07</v>
      </c>
    </row>
    <row r="83" spans="1:1" x14ac:dyDescent="0.25">
      <c r="A83" s="16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</f>
        <v>073, 19460128, 08.00, ////, 07</v>
      </c>
    </row>
    <row r="84" spans="1:1" x14ac:dyDescent="0.25">
      <c r="A84" s="16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</f>
        <v>073, 19460128, 12.00, ////, 07</v>
      </c>
    </row>
    <row r="85" spans="1:1" x14ac:dyDescent="0.25">
      <c r="A85" s="16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</f>
        <v>073, 19460128, 16.00, ////, 07</v>
      </c>
    </row>
    <row r="86" spans="1:1" x14ac:dyDescent="0.25">
      <c r="A86" s="16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</f>
        <v>073, 19460129, 08.00, ////, 07</v>
      </c>
    </row>
    <row r="87" spans="1:1" x14ac:dyDescent="0.25">
      <c r="A87" s="16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</f>
        <v>073, 19460129, 12.00, ////, 07</v>
      </c>
    </row>
    <row r="88" spans="1:1" x14ac:dyDescent="0.25">
      <c r="A88" s="16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</f>
        <v>073, 19460129, 16.00, ////, 07</v>
      </c>
    </row>
    <row r="89" spans="1:1" x14ac:dyDescent="0.25">
      <c r="A89" s="16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</f>
        <v>073, 19460130, 08.00, ////, 07</v>
      </c>
    </row>
    <row r="90" spans="1:1" x14ac:dyDescent="0.25">
      <c r="A90" s="16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</f>
        <v>073, 19460130, 12.00, ////, 07</v>
      </c>
    </row>
    <row r="91" spans="1:1" x14ac:dyDescent="0.25">
      <c r="A91" s="16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</f>
        <v>073, 19460130, 16.00, ////, 07</v>
      </c>
    </row>
    <row r="92" spans="1:1" x14ac:dyDescent="0.25">
      <c r="A92" s="16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</f>
        <v>073, 19460131, 08.00, ////, 07</v>
      </c>
    </row>
    <row r="93" spans="1:1" x14ac:dyDescent="0.25">
      <c r="A93" s="16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</f>
        <v>073, 19460131, 12.00, ////, 07</v>
      </c>
    </row>
    <row r="94" spans="1:1" x14ac:dyDescent="0.25">
      <c r="A94" s="16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</f>
        <v>073, 19460131, 16.00, ////, 07</v>
      </c>
    </row>
    <row r="95" spans="1:1" x14ac:dyDescent="0.25">
      <c r="A95" s="16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</f>
        <v>073, 19460201, 08.00, ////, 07</v>
      </c>
    </row>
    <row r="96" spans="1:1" x14ac:dyDescent="0.25">
      <c r="A96" s="16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</f>
        <v>073, 19460201, 12.00, ////, 07</v>
      </c>
    </row>
    <row r="97" spans="1:1" x14ac:dyDescent="0.25">
      <c r="A97" s="16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</f>
        <v>073, 19460201, 16.00, ////, 07</v>
      </c>
    </row>
    <row r="98" spans="1:1" x14ac:dyDescent="0.25">
      <c r="A98" s="16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</f>
        <v>073, 19460202, 08.00, ////, 07</v>
      </c>
    </row>
    <row r="99" spans="1:1" x14ac:dyDescent="0.25">
      <c r="A99" s="16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</f>
        <v>073, 19460202, 12.00, ////, 07</v>
      </c>
    </row>
    <row r="100" spans="1:1" x14ac:dyDescent="0.25">
      <c r="A100" s="16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</f>
        <v>073, 19460202, 16.00, ////, 07</v>
      </c>
    </row>
    <row r="101" spans="1:1" x14ac:dyDescent="0.25">
      <c r="A101" s="16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</f>
        <v>073, 19460203, 08.00, ////, 07</v>
      </c>
    </row>
    <row r="102" spans="1:1" x14ac:dyDescent="0.25">
      <c r="A102" s="16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</f>
        <v>073, 19460203, 12.00, ////, 07</v>
      </c>
    </row>
    <row r="103" spans="1:1" x14ac:dyDescent="0.25">
      <c r="A103" s="16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</f>
        <v>073, 19460203, 16.00, ////, 07</v>
      </c>
    </row>
    <row r="104" spans="1:1" x14ac:dyDescent="0.25">
      <c r="A104" s="16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</f>
        <v>073, 19460204, 08.00, ////, 07</v>
      </c>
    </row>
    <row r="105" spans="1:1" x14ac:dyDescent="0.25">
      <c r="A105" s="16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</f>
        <v>073, 19460204, 12.00, ////, 07</v>
      </c>
    </row>
    <row r="106" spans="1:1" x14ac:dyDescent="0.25">
      <c r="A106" s="16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</f>
        <v>073, 19460204, 16.00, ////, 07</v>
      </c>
    </row>
    <row r="107" spans="1:1" x14ac:dyDescent="0.25">
      <c r="A107" s="16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</f>
        <v>073, 19460205, 08.00, ////, 07</v>
      </c>
    </row>
    <row r="108" spans="1:1" x14ac:dyDescent="0.25">
      <c r="A108" s="16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</f>
        <v>073, 19460205, 12.00, ////, 07</v>
      </c>
    </row>
    <row r="109" spans="1:1" x14ac:dyDescent="0.25">
      <c r="A109" s="16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</f>
        <v>073, 19460205, 16.00, ////, 07</v>
      </c>
    </row>
    <row r="110" spans="1:1" x14ac:dyDescent="0.25">
      <c r="A110" s="16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</f>
        <v>073, 19460206, 08.00, ////, 07</v>
      </c>
    </row>
    <row r="111" spans="1:1" x14ac:dyDescent="0.25">
      <c r="A111" s="16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</f>
        <v>073, 19460206, 12.00, ////, 07</v>
      </c>
    </row>
    <row r="112" spans="1:1" x14ac:dyDescent="0.25">
      <c r="A112" s="16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</f>
        <v>073, 19460206, 16.00, ////, 07</v>
      </c>
    </row>
    <row r="113" spans="1:1" x14ac:dyDescent="0.25">
      <c r="A113" s="16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</f>
        <v>073, 19460207, 08.00, ////, 07</v>
      </c>
    </row>
    <row r="114" spans="1:1" x14ac:dyDescent="0.25">
      <c r="A114" s="16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</f>
        <v>073, 19460207, 12.00, ////, 07</v>
      </c>
    </row>
    <row r="115" spans="1:1" x14ac:dyDescent="0.25">
      <c r="A115" s="16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</f>
        <v>073, 19460207, 16.00, ////, 07</v>
      </c>
    </row>
    <row r="116" spans="1:1" x14ac:dyDescent="0.25">
      <c r="A116" s="16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</f>
        <v>073, 19460208, 08.00, ////, 07</v>
      </c>
    </row>
    <row r="117" spans="1:1" x14ac:dyDescent="0.25">
      <c r="A117" s="16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</f>
        <v>073, 19460208, 12.00, ////, 07</v>
      </c>
    </row>
    <row r="118" spans="1:1" x14ac:dyDescent="0.25">
      <c r="A118" s="16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</f>
        <v>073, 19460208, 16.00, ////, 07</v>
      </c>
    </row>
    <row r="119" spans="1:1" x14ac:dyDescent="0.25">
      <c r="A119" s="16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</f>
        <v>073, 19460209, 08.00, ////, 07</v>
      </c>
    </row>
    <row r="120" spans="1:1" x14ac:dyDescent="0.25">
      <c r="A120" s="16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</f>
        <v>073, 19460209, 12.00, ////, 07</v>
      </c>
    </row>
    <row r="121" spans="1:1" x14ac:dyDescent="0.25">
      <c r="A121" s="16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</f>
        <v>073, 19460209, 16.00, ////, 07</v>
      </c>
    </row>
    <row r="122" spans="1:1" x14ac:dyDescent="0.25">
      <c r="A122" s="16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</f>
        <v>073, 19460210, 08.00, ////, 07</v>
      </c>
    </row>
    <row r="123" spans="1:1" x14ac:dyDescent="0.25">
      <c r="A123" s="16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</f>
        <v>073, 19460210, 12.00, ////, 07</v>
      </c>
    </row>
    <row r="124" spans="1:1" x14ac:dyDescent="0.25">
      <c r="A124" s="16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</f>
        <v>073, 19460210, 16.00, ////, 07</v>
      </c>
    </row>
    <row r="125" spans="1:1" x14ac:dyDescent="0.25">
      <c r="A125" s="16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</f>
        <v>073, 19460211, 08.00, ////, 07</v>
      </c>
    </row>
    <row r="126" spans="1:1" x14ac:dyDescent="0.25">
      <c r="A126" s="16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</f>
        <v>073, 19460211, 12.00, ////, 07</v>
      </c>
    </row>
    <row r="127" spans="1:1" x14ac:dyDescent="0.25">
      <c r="A127" s="16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</f>
        <v>073, 19460211, 16.00, ////, 07</v>
      </c>
    </row>
    <row r="128" spans="1:1" x14ac:dyDescent="0.25">
      <c r="A128" s="16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</f>
        <v>073, 19460212, 08.00, ////, 07</v>
      </c>
    </row>
    <row r="129" spans="1:1" x14ac:dyDescent="0.25">
      <c r="A129" s="16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</f>
        <v>073, 19460212, 12.00, ////, 07</v>
      </c>
    </row>
    <row r="130" spans="1:1" x14ac:dyDescent="0.25">
      <c r="A130" s="16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</f>
        <v>073, 19460212, 16.00, ////, 07</v>
      </c>
    </row>
    <row r="131" spans="1:1" x14ac:dyDescent="0.25">
      <c r="A131" s="16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</f>
        <v>073, 19460213, 08.00, ////, 07</v>
      </c>
    </row>
    <row r="132" spans="1:1" x14ac:dyDescent="0.25">
      <c r="A132" s="16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</f>
        <v>073, 19460213, 12.00, ////, 07</v>
      </c>
    </row>
    <row r="133" spans="1:1" x14ac:dyDescent="0.25">
      <c r="A133" s="16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</f>
        <v>073, 19460213, 16.00, ////, 07</v>
      </c>
    </row>
    <row r="134" spans="1:1" x14ac:dyDescent="0.25">
      <c r="A134" s="16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</f>
        <v>073, 19460214, 08.00, ////, 07</v>
      </c>
    </row>
    <row r="135" spans="1:1" x14ac:dyDescent="0.25">
      <c r="A135" s="16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</f>
        <v>073, 19460214, 12.00, ////, 07</v>
      </c>
    </row>
    <row r="136" spans="1:1" x14ac:dyDescent="0.25">
      <c r="A136" s="16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</f>
        <v>073, 19460214, 16.00, ////, 07</v>
      </c>
    </row>
    <row r="137" spans="1:1" x14ac:dyDescent="0.25">
      <c r="A137" s="16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</f>
        <v>073, 19460215, 08.00, ////, 07</v>
      </c>
    </row>
    <row r="138" spans="1:1" x14ac:dyDescent="0.25">
      <c r="A138" s="16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</f>
        <v>073, 19460215, 12.00, ////, 07</v>
      </c>
    </row>
    <row r="139" spans="1:1" x14ac:dyDescent="0.25">
      <c r="A139" s="16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</f>
        <v>073, 19460215, 16.00, ////, 07</v>
      </c>
    </row>
    <row r="140" spans="1:1" x14ac:dyDescent="0.25">
      <c r="A140" s="16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</f>
        <v>073, 19460216, 08.00, ////, 07</v>
      </c>
    </row>
    <row r="141" spans="1:1" x14ac:dyDescent="0.25">
      <c r="A141" s="16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</f>
        <v>073, 19460216, 12.00, ////, 07</v>
      </c>
    </row>
    <row r="142" spans="1:1" x14ac:dyDescent="0.25">
      <c r="A142" s="16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</f>
        <v>073, 19460216, 16.00, ////, 07</v>
      </c>
    </row>
    <row r="143" spans="1:1" x14ac:dyDescent="0.25">
      <c r="A143" s="16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</f>
        <v>073, 19460217, 08.00, ////, 07</v>
      </c>
    </row>
    <row r="144" spans="1:1" x14ac:dyDescent="0.25">
      <c r="A144" s="16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</f>
        <v>073, 19460217, 12.00, ////, 07</v>
      </c>
    </row>
    <row r="145" spans="1:1" x14ac:dyDescent="0.25">
      <c r="A145" s="16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</f>
        <v>073, 19460217, 16.00, ////, 07</v>
      </c>
    </row>
    <row r="146" spans="1:1" x14ac:dyDescent="0.25">
      <c r="A146" s="16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</f>
        <v>073, 19460218, 08.00, ////, 07</v>
      </c>
    </row>
    <row r="147" spans="1:1" x14ac:dyDescent="0.25">
      <c r="A147" s="16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</f>
        <v>073, 19460218, 12.00, ////, 07</v>
      </c>
    </row>
    <row r="148" spans="1:1" x14ac:dyDescent="0.25">
      <c r="A148" s="16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</f>
        <v>073, 19460218, 16.00, ////, 07</v>
      </c>
    </row>
    <row r="149" spans="1:1" x14ac:dyDescent="0.25">
      <c r="A149" s="16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</f>
        <v>073, 19460219, 08.00, ////, 07</v>
      </c>
    </row>
    <row r="150" spans="1:1" x14ac:dyDescent="0.25">
      <c r="A150" s="16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</f>
        <v>073, 19460219, 12.00, ////, 07</v>
      </c>
    </row>
    <row r="151" spans="1:1" x14ac:dyDescent="0.25">
      <c r="A151" s="16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</f>
        <v>073, 19460219, 16.00, ////, 07</v>
      </c>
    </row>
    <row r="152" spans="1:1" x14ac:dyDescent="0.25">
      <c r="A152" s="16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</f>
        <v>073, 19460220, 08.00, ////, 07</v>
      </c>
    </row>
    <row r="153" spans="1:1" x14ac:dyDescent="0.25">
      <c r="A153" s="16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</f>
        <v>073, 19460220, 12.00, ////, 07</v>
      </c>
    </row>
    <row r="154" spans="1:1" x14ac:dyDescent="0.25">
      <c r="A154" s="16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</f>
        <v>073, 19460220, 16.00, ////, 07</v>
      </c>
    </row>
    <row r="155" spans="1:1" x14ac:dyDescent="0.25">
      <c r="A155" s="16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</f>
        <v>073, 19460221, 08.00, ////, 07</v>
      </c>
    </row>
    <row r="156" spans="1:1" x14ac:dyDescent="0.25">
      <c r="A156" s="16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</f>
        <v>073, 19460221, 12.00, ////, 07</v>
      </c>
    </row>
    <row r="157" spans="1:1" x14ac:dyDescent="0.25">
      <c r="A157" s="16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</f>
        <v>073, 19460221, 16.00, ////, 07</v>
      </c>
    </row>
    <row r="158" spans="1:1" x14ac:dyDescent="0.25">
      <c r="A158" s="16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</f>
        <v>073, 19460222, 08.00, ////, 07</v>
      </c>
    </row>
    <row r="159" spans="1:1" x14ac:dyDescent="0.25">
      <c r="A159" s="16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</f>
        <v>073, 19460222, 12.00, ////, 07</v>
      </c>
    </row>
    <row r="160" spans="1:1" x14ac:dyDescent="0.25">
      <c r="A160" s="16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</f>
        <v>073, 19460222, 16.00, ////, 07</v>
      </c>
    </row>
    <row r="161" spans="1:1" x14ac:dyDescent="0.25">
      <c r="A161" s="16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</f>
        <v>073, 19460223, 08.00, ////, 07</v>
      </c>
    </row>
    <row r="162" spans="1:1" x14ac:dyDescent="0.25">
      <c r="A162" s="16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</f>
        <v>073, 19460223, 12.00, ////, 07</v>
      </c>
    </row>
    <row r="163" spans="1:1" x14ac:dyDescent="0.25">
      <c r="A163" s="16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</f>
        <v>073, 19460223, 16.00, ////, 07</v>
      </c>
    </row>
    <row r="164" spans="1:1" x14ac:dyDescent="0.25">
      <c r="A164" s="16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</f>
        <v>073, 19460224, 08.00, ////, 07</v>
      </c>
    </row>
    <row r="165" spans="1:1" x14ac:dyDescent="0.25">
      <c r="A165" s="16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</f>
        <v>073, 19460224, 12.00, ////, 07</v>
      </c>
    </row>
    <row r="166" spans="1:1" x14ac:dyDescent="0.25">
      <c r="A166" s="16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</f>
        <v>073, 19460224, 16.00, ////, 07</v>
      </c>
    </row>
    <row r="167" spans="1:1" x14ac:dyDescent="0.25">
      <c r="A167" s="16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</f>
        <v>073, 19460225, 08.00, ////, 07</v>
      </c>
    </row>
    <row r="168" spans="1:1" x14ac:dyDescent="0.25">
      <c r="A168" s="16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</f>
        <v>073, 19460225, 12.00, ////, 07</v>
      </c>
    </row>
    <row r="169" spans="1:1" x14ac:dyDescent="0.25">
      <c r="A169" s="16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</f>
        <v>073, 19460225, 16.00, ////, 07</v>
      </c>
    </row>
    <row r="170" spans="1:1" x14ac:dyDescent="0.25">
      <c r="A170" s="16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</f>
        <v>073, 19460226, 08.00, ////, 07</v>
      </c>
    </row>
    <row r="171" spans="1:1" x14ac:dyDescent="0.25">
      <c r="A171" s="16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</f>
        <v>073, 19460226, 12.00, ////, 07</v>
      </c>
    </row>
    <row r="172" spans="1:1" x14ac:dyDescent="0.25">
      <c r="A172" s="16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</f>
        <v>073, 19460226, 16.00, ////, 07</v>
      </c>
    </row>
    <row r="173" spans="1:1" x14ac:dyDescent="0.25">
      <c r="A173" s="16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</f>
        <v>073, 19460227, 08.00, ////, 07</v>
      </c>
    </row>
    <row r="174" spans="1:1" x14ac:dyDescent="0.25">
      <c r="A174" s="16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</f>
        <v>073, 19460227, 12.00, ////, 07</v>
      </c>
    </row>
    <row r="175" spans="1:1" x14ac:dyDescent="0.25">
      <c r="A175" s="16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</f>
        <v>073, 19460227, 16.00, ////, 07</v>
      </c>
    </row>
    <row r="176" spans="1:1" x14ac:dyDescent="0.25">
      <c r="A176" s="16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</f>
        <v>073, 19460228, 08.00, ////, 07</v>
      </c>
    </row>
    <row r="177" spans="1:1" x14ac:dyDescent="0.25">
      <c r="A177" s="16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</f>
        <v>073, 19460228, 12.00, ////, 07</v>
      </c>
    </row>
    <row r="178" spans="1:1" x14ac:dyDescent="0.25">
      <c r="A178" s="16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</f>
        <v>073, 19460228, 16.00, ////, 07</v>
      </c>
    </row>
    <row r="179" spans="1:1" x14ac:dyDescent="0.25">
      <c r="A179" s="16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</f>
        <v>073, 19460301, 08.00, ////, 07</v>
      </c>
    </row>
    <row r="180" spans="1:1" x14ac:dyDescent="0.25">
      <c r="A180" s="16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</f>
        <v>073, 19460301, 12.00, ////, 07</v>
      </c>
    </row>
    <row r="181" spans="1:1" x14ac:dyDescent="0.25">
      <c r="A181" s="16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</f>
        <v>073, 19460301, 16.00, ////, 07</v>
      </c>
    </row>
    <row r="182" spans="1:1" x14ac:dyDescent="0.25">
      <c r="A182" s="16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</f>
        <v>073, 19460302, 08.00, ////, 07</v>
      </c>
    </row>
    <row r="183" spans="1:1" x14ac:dyDescent="0.25">
      <c r="A183" s="16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</f>
        <v>073, 19460302, 12.00, ////, 07</v>
      </c>
    </row>
    <row r="184" spans="1:1" x14ac:dyDescent="0.25">
      <c r="A184" s="16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</f>
        <v>073, 19460302, 16.00, ////, 07</v>
      </c>
    </row>
    <row r="185" spans="1:1" x14ac:dyDescent="0.25">
      <c r="A185" s="16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</f>
        <v>073, 19460303, 08.00, ////, 07</v>
      </c>
    </row>
    <row r="186" spans="1:1" x14ac:dyDescent="0.25">
      <c r="A186" s="16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</f>
        <v>073, 19460303, 12.00, ////, 07</v>
      </c>
    </row>
    <row r="187" spans="1:1" x14ac:dyDescent="0.25">
      <c r="A187" s="16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</f>
        <v>073, 19460303, 16.00, ////, 07</v>
      </c>
    </row>
    <row r="188" spans="1:1" x14ac:dyDescent="0.25">
      <c r="A188" s="16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</f>
        <v>073, 19460304, 08.00, ////, 07</v>
      </c>
    </row>
    <row r="189" spans="1:1" x14ac:dyDescent="0.25">
      <c r="A189" s="16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</f>
        <v>073, 19460304, 12.00, ////, 07</v>
      </c>
    </row>
    <row r="190" spans="1:1" x14ac:dyDescent="0.25">
      <c r="A190" s="16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</f>
        <v>073, 19460304, 16.00, ////, 07</v>
      </c>
    </row>
    <row r="191" spans="1:1" x14ac:dyDescent="0.25">
      <c r="A191" s="16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</f>
        <v>073, 19460305, 08.00, ////, 07</v>
      </c>
    </row>
    <row r="192" spans="1:1" x14ac:dyDescent="0.25">
      <c r="A192" s="16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</f>
        <v>073, 19460305, 12.00, ////, 07</v>
      </c>
    </row>
    <row r="193" spans="1:1" x14ac:dyDescent="0.25">
      <c r="A193" s="16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</f>
        <v>073, 19460305, 16.00, ////, 07</v>
      </c>
    </row>
    <row r="194" spans="1:1" x14ac:dyDescent="0.25">
      <c r="A194" s="16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</f>
        <v>073, 19460306, 08.00, ////, 07</v>
      </c>
    </row>
    <row r="195" spans="1:1" x14ac:dyDescent="0.25">
      <c r="A195" s="16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</f>
        <v>073, 19460306, 12.00, ////, 07</v>
      </c>
    </row>
    <row r="196" spans="1:1" x14ac:dyDescent="0.25">
      <c r="A196" s="16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</f>
        <v>073, 19460306, 16.00, ////, 07</v>
      </c>
    </row>
    <row r="197" spans="1:1" x14ac:dyDescent="0.25">
      <c r="A197" s="16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</f>
        <v>073, 19460307, 08.00, ////, 07</v>
      </c>
    </row>
    <row r="198" spans="1:1" x14ac:dyDescent="0.25">
      <c r="A198" s="16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</f>
        <v>073, 19460307, 12.00, ////, 07</v>
      </c>
    </row>
    <row r="199" spans="1:1" x14ac:dyDescent="0.25">
      <c r="A199" s="16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</f>
        <v>073, 19460307, 16.00, ////, 07</v>
      </c>
    </row>
    <row r="200" spans="1:1" x14ac:dyDescent="0.25">
      <c r="A200" s="16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</f>
        <v>073, 19460308, 08.00, ////, 07</v>
      </c>
    </row>
    <row r="201" spans="1:1" x14ac:dyDescent="0.25">
      <c r="A201" s="16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</f>
        <v>073, 19460308, 12.00, ////, 07</v>
      </c>
    </row>
    <row r="202" spans="1:1" x14ac:dyDescent="0.25">
      <c r="A202" s="16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</f>
        <v>073, 19460308, 16.00, ////, 07</v>
      </c>
    </row>
    <row r="203" spans="1:1" x14ac:dyDescent="0.25">
      <c r="A203" s="16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</f>
        <v>073, 19460309, 08.00, ////, 07</v>
      </c>
    </row>
    <row r="204" spans="1:1" x14ac:dyDescent="0.25">
      <c r="A204" s="16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</f>
        <v>073, 19460309, 12.00, ////, 07</v>
      </c>
    </row>
    <row r="205" spans="1:1" x14ac:dyDescent="0.25">
      <c r="A205" s="16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</f>
        <v>073, 19460309, 16.00, ////, 07</v>
      </c>
    </row>
    <row r="206" spans="1:1" x14ac:dyDescent="0.25">
      <c r="A206" s="16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</f>
        <v>073, 19460310, 08.00, ////, 07</v>
      </c>
    </row>
    <row r="207" spans="1:1" x14ac:dyDescent="0.25">
      <c r="A207" s="16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</f>
        <v>073, 19460310, 12.00, ////, 07</v>
      </c>
    </row>
    <row r="208" spans="1:1" x14ac:dyDescent="0.25">
      <c r="A208" s="16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</f>
        <v>073, 19460310, 16.00, ////, 07</v>
      </c>
    </row>
    <row r="209" spans="1:1" x14ac:dyDescent="0.25">
      <c r="A209" s="16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</f>
        <v>073, 19460311, 08.00, ////, 07</v>
      </c>
    </row>
    <row r="210" spans="1:1" x14ac:dyDescent="0.25">
      <c r="A210" s="16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</f>
        <v>073, 19460311, 12.00, ////, 07</v>
      </c>
    </row>
    <row r="211" spans="1:1" x14ac:dyDescent="0.25">
      <c r="A211" s="16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</f>
        <v>073, 19460311, 16.00, ////, 07</v>
      </c>
    </row>
    <row r="212" spans="1:1" x14ac:dyDescent="0.25">
      <c r="A212" s="16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</f>
        <v>073, 19460312, 08.00, ////, 07</v>
      </c>
    </row>
    <row r="213" spans="1:1" x14ac:dyDescent="0.25">
      <c r="A213" s="16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</f>
        <v>073, 19460312, 12.00, ////, 07</v>
      </c>
    </row>
    <row r="214" spans="1:1" x14ac:dyDescent="0.25">
      <c r="A214" s="16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</f>
        <v>073, 19460312, 16.00, ////, 07</v>
      </c>
    </row>
    <row r="215" spans="1:1" x14ac:dyDescent="0.25">
      <c r="A215" s="16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</f>
        <v>073, 19460313, 08.00, ////, 07</v>
      </c>
    </row>
    <row r="216" spans="1:1" x14ac:dyDescent="0.25">
      <c r="A216" s="16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</f>
        <v>073, 19460313, 12.00, ////, 07</v>
      </c>
    </row>
    <row r="217" spans="1:1" x14ac:dyDescent="0.25">
      <c r="A217" s="16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</f>
        <v>073, 19460313, 16.00, ////, 07</v>
      </c>
    </row>
    <row r="218" spans="1:1" x14ac:dyDescent="0.25">
      <c r="A218" s="16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</f>
        <v>073, 19460314, 08.00, ////, 07</v>
      </c>
    </row>
    <row r="219" spans="1:1" x14ac:dyDescent="0.25">
      <c r="A219" s="16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</f>
        <v>073, 19460314, 12.00, ////, 07</v>
      </c>
    </row>
    <row r="220" spans="1:1" x14ac:dyDescent="0.25">
      <c r="A220" s="16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</f>
        <v>073, 19460314, 16.00, ////, 07</v>
      </c>
    </row>
    <row r="221" spans="1:1" x14ac:dyDescent="0.25">
      <c r="A221" s="16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</f>
        <v>073, 19460315, 08.00, ////, 07</v>
      </c>
    </row>
    <row r="222" spans="1:1" x14ac:dyDescent="0.25">
      <c r="A222" s="16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</f>
        <v>073, 19460315, 12.00, ////, 07</v>
      </c>
    </row>
    <row r="223" spans="1:1" x14ac:dyDescent="0.25">
      <c r="A223" s="16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</f>
        <v>073, 19460315, 16.00, ////, 07</v>
      </c>
    </row>
    <row r="224" spans="1:1" x14ac:dyDescent="0.25">
      <c r="A224" s="16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</f>
        <v>073, 19460316, 08.00, ////, 07</v>
      </c>
    </row>
    <row r="225" spans="1:1" x14ac:dyDescent="0.25">
      <c r="A225" s="16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</f>
        <v>073, 19460316, 12.00, ////, 07</v>
      </c>
    </row>
    <row r="226" spans="1:1" x14ac:dyDescent="0.25">
      <c r="A226" s="16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</f>
        <v>073, 19460316, 16.00, ////, 07</v>
      </c>
    </row>
    <row r="227" spans="1:1" x14ac:dyDescent="0.25">
      <c r="A227" s="16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</f>
        <v>073, 19460317, 08.00, ////, 07</v>
      </c>
    </row>
    <row r="228" spans="1:1" x14ac:dyDescent="0.25">
      <c r="A228" s="16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</f>
        <v>073, 19460317, 12.00, ////, 07</v>
      </c>
    </row>
    <row r="229" spans="1:1" x14ac:dyDescent="0.25">
      <c r="A229" s="16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</f>
        <v>073, 19460317, 16.00, ////, 07</v>
      </c>
    </row>
    <row r="230" spans="1:1" x14ac:dyDescent="0.25">
      <c r="A230" s="16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</f>
        <v>073, 19460318, 08.00, ////, 07</v>
      </c>
    </row>
    <row r="231" spans="1:1" x14ac:dyDescent="0.25">
      <c r="A231" s="16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</f>
        <v>073, 19460318, 12.00, ////, 07</v>
      </c>
    </row>
    <row r="232" spans="1:1" x14ac:dyDescent="0.25">
      <c r="A232" s="16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</f>
        <v>073, 19460318, 16.00, ////, 07</v>
      </c>
    </row>
    <row r="233" spans="1:1" x14ac:dyDescent="0.25">
      <c r="A233" s="16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</f>
        <v>073, 19460319, 08.00, ////, 07</v>
      </c>
    </row>
    <row r="234" spans="1:1" x14ac:dyDescent="0.25">
      <c r="A234" s="16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</f>
        <v>073, 19460319, 12.00, ////, 07</v>
      </c>
    </row>
    <row r="235" spans="1:1" x14ac:dyDescent="0.25">
      <c r="A235" s="16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</f>
        <v>073, 19460319, 16.00, ////, 07</v>
      </c>
    </row>
    <row r="236" spans="1:1" x14ac:dyDescent="0.25">
      <c r="A236" s="16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</f>
        <v>073, 19460320, 08.00, ////, 07</v>
      </c>
    </row>
    <row r="237" spans="1:1" x14ac:dyDescent="0.25">
      <c r="A237" s="16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</f>
        <v>073, 19460320, 12.00, ////, 07</v>
      </c>
    </row>
    <row r="238" spans="1:1" x14ac:dyDescent="0.25">
      <c r="A238" s="16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</f>
        <v>073, 19460320, 16.00, ////, 07</v>
      </c>
    </row>
    <row r="239" spans="1:1" x14ac:dyDescent="0.25">
      <c r="A239" s="16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</f>
        <v>073, 19460321, 08.00, ////, 07</v>
      </c>
    </row>
    <row r="240" spans="1:1" x14ac:dyDescent="0.25">
      <c r="A240" s="16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</f>
        <v>073, 19460321, 12.00, ////, 07</v>
      </c>
    </row>
    <row r="241" spans="1:1" x14ac:dyDescent="0.25">
      <c r="A241" s="16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</f>
        <v>073, 19460321, 16.00, ////, 07</v>
      </c>
    </row>
    <row r="242" spans="1:1" x14ac:dyDescent="0.25">
      <c r="A242" s="16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</f>
        <v>073, 19460322, 08.00, ////, 07</v>
      </c>
    </row>
    <row r="243" spans="1:1" x14ac:dyDescent="0.25">
      <c r="A243" s="16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</f>
        <v>073, 19460322, 12.00, ////, 07</v>
      </c>
    </row>
    <row r="244" spans="1:1" x14ac:dyDescent="0.25">
      <c r="A244" s="16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</f>
        <v>073, 19460322, 16.00, ////, 07</v>
      </c>
    </row>
    <row r="245" spans="1:1" x14ac:dyDescent="0.25">
      <c r="A245" s="16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</f>
        <v>073, 19460323, 08.00, ////, 07</v>
      </c>
    </row>
    <row r="246" spans="1:1" x14ac:dyDescent="0.25">
      <c r="A246" s="16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</f>
        <v>073, 19460323, 12.00, ////, 07</v>
      </c>
    </row>
    <row r="247" spans="1:1" x14ac:dyDescent="0.25">
      <c r="A247" s="16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</f>
        <v>073, 19460323, 16.00, ////, 07</v>
      </c>
    </row>
    <row r="248" spans="1:1" x14ac:dyDescent="0.25">
      <c r="A248" s="16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</f>
        <v>073, 19460324, 08.00, ////, 07</v>
      </c>
    </row>
    <row r="249" spans="1:1" x14ac:dyDescent="0.25">
      <c r="A249" s="16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</f>
        <v>073, 19460324, 12.00, ////, 07</v>
      </c>
    </row>
    <row r="250" spans="1:1" x14ac:dyDescent="0.25">
      <c r="A250" s="16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</f>
        <v>073, 19460324, 16.00, ////, 07</v>
      </c>
    </row>
    <row r="251" spans="1:1" x14ac:dyDescent="0.25">
      <c r="A251" s="16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</f>
        <v>073, 19460325, 08.00, ////, 07</v>
      </c>
    </row>
    <row r="252" spans="1:1" x14ac:dyDescent="0.25">
      <c r="A252" s="16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</f>
        <v>073, 19460325, 12.00, ////, 07</v>
      </c>
    </row>
    <row r="253" spans="1:1" x14ac:dyDescent="0.25">
      <c r="A253" s="16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</f>
        <v>073, 19460325, 16.00, ////, 07</v>
      </c>
    </row>
    <row r="254" spans="1:1" x14ac:dyDescent="0.25">
      <c r="A254" s="16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</f>
        <v>073, 19460326, 08.00, ////, 07</v>
      </c>
    </row>
    <row r="255" spans="1:1" x14ac:dyDescent="0.25">
      <c r="A255" s="16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</f>
        <v>073, 19460326, 12.00, ////, 07</v>
      </c>
    </row>
    <row r="256" spans="1:1" x14ac:dyDescent="0.25">
      <c r="A256" s="16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</f>
        <v>073, 19460326, 16.00, ////, 07</v>
      </c>
    </row>
    <row r="257" spans="1:1" x14ac:dyDescent="0.25">
      <c r="A257" s="16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</f>
        <v>073, 19460327, 08.00, ////, 07</v>
      </c>
    </row>
    <row r="258" spans="1:1" x14ac:dyDescent="0.25">
      <c r="A258" s="16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</f>
        <v>073, 19460327, 12.00, ////, 07</v>
      </c>
    </row>
    <row r="259" spans="1:1" x14ac:dyDescent="0.25">
      <c r="A259" s="16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</f>
        <v>073, 19460327, 16.00, ////, 07</v>
      </c>
    </row>
    <row r="260" spans="1:1" x14ac:dyDescent="0.25">
      <c r="A260" s="16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</f>
        <v>073, 19460328, 08.00, ////, 07</v>
      </c>
    </row>
    <row r="261" spans="1:1" x14ac:dyDescent="0.25">
      <c r="A261" s="16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</f>
        <v>073, 19460328, 12.00, ////, 07</v>
      </c>
    </row>
    <row r="262" spans="1:1" x14ac:dyDescent="0.25">
      <c r="A262" s="16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</f>
        <v>073, 19460328, 16.00, ////, 07</v>
      </c>
    </row>
    <row r="263" spans="1:1" x14ac:dyDescent="0.25">
      <c r="A263" s="16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</f>
        <v>073, 19460329, 08.00, ////, 07</v>
      </c>
    </row>
    <row r="264" spans="1:1" x14ac:dyDescent="0.25">
      <c r="A264" s="16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</f>
        <v>073, 19460329, 12.00, ////, 07</v>
      </c>
    </row>
    <row r="265" spans="1:1" x14ac:dyDescent="0.25">
      <c r="A265" s="16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</f>
        <v>073, 19460329, 16.00, ////, 07</v>
      </c>
    </row>
    <row r="266" spans="1:1" x14ac:dyDescent="0.25">
      <c r="A266" s="16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</f>
        <v>073, 19460330, 08.00, ////, 07</v>
      </c>
    </row>
    <row r="267" spans="1:1" x14ac:dyDescent="0.25">
      <c r="A267" s="16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</f>
        <v>073, 19460330, 12.00, ////, 07</v>
      </c>
    </row>
    <row r="268" spans="1:1" x14ac:dyDescent="0.25">
      <c r="A268" s="16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</f>
        <v>073, 19460330, 16.00, ////, 07</v>
      </c>
    </row>
    <row r="269" spans="1:1" x14ac:dyDescent="0.25">
      <c r="A269" s="16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</f>
        <v>073, 19460331, 08.00, ////, 07</v>
      </c>
    </row>
    <row r="270" spans="1:1" x14ac:dyDescent="0.25">
      <c r="A270" s="16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</f>
        <v>073, 19460331, 12.00, ////, 07</v>
      </c>
    </row>
    <row r="271" spans="1:1" x14ac:dyDescent="0.25">
      <c r="A271" s="16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</f>
        <v>073, 19460331, 16.00, ////, 07</v>
      </c>
    </row>
    <row r="272" spans="1:1" x14ac:dyDescent="0.25">
      <c r="A272" s="16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</f>
        <v>073, 19460401, 08.00, ////, 07</v>
      </c>
    </row>
    <row r="273" spans="1:1" x14ac:dyDescent="0.25">
      <c r="A273" s="16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</f>
        <v>073, 19460401, 12.00, ////, 07</v>
      </c>
    </row>
    <row r="274" spans="1:1" x14ac:dyDescent="0.25">
      <c r="A274" s="16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</f>
        <v>073, 19460401, 16.00, ////, 07</v>
      </c>
    </row>
    <row r="275" spans="1:1" x14ac:dyDescent="0.25">
      <c r="A275" s="16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</f>
        <v>073, 19460402, 08.00, ////, 07</v>
      </c>
    </row>
    <row r="276" spans="1:1" x14ac:dyDescent="0.25">
      <c r="A276" s="16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</f>
        <v>073, 19460402, 12.00, ////, 07</v>
      </c>
    </row>
    <row r="277" spans="1:1" x14ac:dyDescent="0.25">
      <c r="A277" s="16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</f>
        <v>073, 19460402, 16.00, ////, 07</v>
      </c>
    </row>
    <row r="278" spans="1:1" x14ac:dyDescent="0.25">
      <c r="A278" s="16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</f>
        <v>073, 19460403, 08.00, ////, 07</v>
      </c>
    </row>
    <row r="279" spans="1:1" x14ac:dyDescent="0.25">
      <c r="A279" s="16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</f>
        <v>073, 19460403, 12.00, ////, 07</v>
      </c>
    </row>
    <row r="280" spans="1:1" x14ac:dyDescent="0.25">
      <c r="A280" s="16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</f>
        <v>073, 19460403, 16.00, ////, 07</v>
      </c>
    </row>
    <row r="281" spans="1:1" x14ac:dyDescent="0.25">
      <c r="A281" s="16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</f>
        <v>073, 19460404, 08.00, ////, 07</v>
      </c>
    </row>
    <row r="282" spans="1:1" x14ac:dyDescent="0.25">
      <c r="A282" s="16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</f>
        <v>073, 19460404, 12.00, ////, 07</v>
      </c>
    </row>
    <row r="283" spans="1:1" x14ac:dyDescent="0.25">
      <c r="A283" s="16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</f>
        <v>073, 19460404, 16.00, ////, 07</v>
      </c>
    </row>
    <row r="284" spans="1:1" x14ac:dyDescent="0.25">
      <c r="A284" s="16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</f>
        <v>073, 19460405, 08.00, ////, 07</v>
      </c>
    </row>
    <row r="285" spans="1:1" x14ac:dyDescent="0.25">
      <c r="A285" s="16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</f>
        <v>073, 19460405, 12.00, ////, 07</v>
      </c>
    </row>
    <row r="286" spans="1:1" x14ac:dyDescent="0.25">
      <c r="A286" s="16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</f>
        <v>073, 19460405, 16.00, ////, 07</v>
      </c>
    </row>
    <row r="287" spans="1:1" x14ac:dyDescent="0.25">
      <c r="A287" s="16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</f>
        <v>073, 19460406, 08.00, ////, 07</v>
      </c>
    </row>
    <row r="288" spans="1:1" x14ac:dyDescent="0.25">
      <c r="A288" s="16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</f>
        <v>073, 19460406, 12.00, ////, 07</v>
      </c>
    </row>
    <row r="289" spans="1:1" x14ac:dyDescent="0.25">
      <c r="A289" s="16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</f>
        <v>073, 19460406, 16.00, ////, 07</v>
      </c>
    </row>
    <row r="290" spans="1:1" x14ac:dyDescent="0.25">
      <c r="A290" s="16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</f>
        <v>073, 19460407, 08.00, ////, 07</v>
      </c>
    </row>
    <row r="291" spans="1:1" x14ac:dyDescent="0.25">
      <c r="A291" s="16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</f>
        <v>073, 19460407, 12.00, ////, 07</v>
      </c>
    </row>
    <row r="292" spans="1:1" x14ac:dyDescent="0.25">
      <c r="A292" s="16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</f>
        <v>073, 19460407, 16.00, ////, 07</v>
      </c>
    </row>
    <row r="293" spans="1:1" x14ac:dyDescent="0.25">
      <c r="A293" s="16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</f>
        <v>073, 19460408, 08.00, ////, 07</v>
      </c>
    </row>
    <row r="294" spans="1:1" x14ac:dyDescent="0.25">
      <c r="A294" s="16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</f>
        <v>073, 19460408, 12.00, ////, 07</v>
      </c>
    </row>
    <row r="295" spans="1:1" x14ac:dyDescent="0.25">
      <c r="A295" s="16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</f>
        <v>073, 19460408, 16.00, ////, 07</v>
      </c>
    </row>
    <row r="296" spans="1:1" x14ac:dyDescent="0.25">
      <c r="A296" s="16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</f>
        <v>073, 19460409, 08.00, ////, 07</v>
      </c>
    </row>
    <row r="297" spans="1:1" x14ac:dyDescent="0.25">
      <c r="A297" s="16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</f>
        <v>073, 19460409, 12.00, ////, 07</v>
      </c>
    </row>
    <row r="298" spans="1:1" x14ac:dyDescent="0.25">
      <c r="A298" s="16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</f>
        <v>073, 19460409, 16.00, ////, 07</v>
      </c>
    </row>
    <row r="299" spans="1:1" x14ac:dyDescent="0.25">
      <c r="A299" s="16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</f>
        <v>073, 19460410, 08.00, ////, 07</v>
      </c>
    </row>
    <row r="300" spans="1:1" x14ac:dyDescent="0.25">
      <c r="A300" s="16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</f>
        <v>073, 19460410, 12.00, ////, 07</v>
      </c>
    </row>
    <row r="301" spans="1:1" x14ac:dyDescent="0.25">
      <c r="A301" s="16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</f>
        <v>073, 19460410, 16.00, ////, 07</v>
      </c>
    </row>
    <row r="302" spans="1:1" x14ac:dyDescent="0.25">
      <c r="A302" s="16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</f>
        <v>073, 19460411, 08.00, ////, 07</v>
      </c>
    </row>
    <row r="303" spans="1:1" x14ac:dyDescent="0.25">
      <c r="A303" s="16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</f>
        <v>073, 19460411, 12.00, ////, 07</v>
      </c>
    </row>
    <row r="304" spans="1:1" x14ac:dyDescent="0.25">
      <c r="A304" s="16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</f>
        <v>073, 19460411, 16.00, ////, 07</v>
      </c>
    </row>
    <row r="305" spans="1:1" x14ac:dyDescent="0.25">
      <c r="A305" s="16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</f>
        <v>073, 19460412, 08.00, ////, 07</v>
      </c>
    </row>
    <row r="306" spans="1:1" x14ac:dyDescent="0.25">
      <c r="A306" s="16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</f>
        <v>073, 19460412, 12.00, ////, 07</v>
      </c>
    </row>
    <row r="307" spans="1:1" x14ac:dyDescent="0.25">
      <c r="A307" s="16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</f>
        <v>073, 19460412, 16.00, ////, 07</v>
      </c>
    </row>
    <row r="308" spans="1:1" x14ac:dyDescent="0.25">
      <c r="A308" s="16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</f>
        <v>073, 19460413, 08.00, ////, 07</v>
      </c>
    </row>
    <row r="309" spans="1:1" x14ac:dyDescent="0.25">
      <c r="A309" s="16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</f>
        <v>073, 19460413, 12.00, ////, 07</v>
      </c>
    </row>
    <row r="310" spans="1:1" x14ac:dyDescent="0.25">
      <c r="A310" s="16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</f>
        <v>073, 19460413, 16.00, ////, 07</v>
      </c>
    </row>
    <row r="311" spans="1:1" x14ac:dyDescent="0.25">
      <c r="A311" s="16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</f>
        <v>073, 19460414, 08.00, ////, 07</v>
      </c>
    </row>
    <row r="312" spans="1:1" x14ac:dyDescent="0.25">
      <c r="A312" s="16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</f>
        <v>073, 19460414, 12.00, ////, 07</v>
      </c>
    </row>
    <row r="313" spans="1:1" x14ac:dyDescent="0.25">
      <c r="A313" s="16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</f>
        <v>073, 19460414, 16.00, ////, 07</v>
      </c>
    </row>
    <row r="314" spans="1:1" x14ac:dyDescent="0.25">
      <c r="A314" s="16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</f>
        <v>073, 19460415, 08.00, ////, 07</v>
      </c>
    </row>
    <row r="315" spans="1:1" x14ac:dyDescent="0.25">
      <c r="A315" s="16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</f>
        <v>073, 19460415, 12.00, ////, 07</v>
      </c>
    </row>
    <row r="316" spans="1:1" x14ac:dyDescent="0.25">
      <c r="A316" s="16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</f>
        <v>073, 19460415, 16.00, ////, 07</v>
      </c>
    </row>
    <row r="317" spans="1:1" x14ac:dyDescent="0.25">
      <c r="A317" s="16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</f>
        <v>073, 19460416, 08.00, ////, 07</v>
      </c>
    </row>
    <row r="318" spans="1:1" x14ac:dyDescent="0.25">
      <c r="A318" s="16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</f>
        <v>073, 19460416, 12.00, ////, 07</v>
      </c>
    </row>
    <row r="319" spans="1:1" x14ac:dyDescent="0.25">
      <c r="A319" s="16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</f>
        <v>073, 19460416, 16.00, ////, 07</v>
      </c>
    </row>
    <row r="320" spans="1:1" x14ac:dyDescent="0.25">
      <c r="A320" s="16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</f>
        <v>073, 19460417, 08.00, ////, 07</v>
      </c>
    </row>
    <row r="321" spans="1:1" x14ac:dyDescent="0.25">
      <c r="A321" s="16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</f>
        <v>073, 19460417, 12.00, ////, 07</v>
      </c>
    </row>
    <row r="322" spans="1:1" x14ac:dyDescent="0.25">
      <c r="A322" s="16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</f>
        <v>073, 19460417, 16.00, ////, 07</v>
      </c>
    </row>
    <row r="323" spans="1:1" x14ac:dyDescent="0.25">
      <c r="A323" s="16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</f>
        <v>073, 19460418, 08.00, ////, 07</v>
      </c>
    </row>
    <row r="324" spans="1:1" x14ac:dyDescent="0.25">
      <c r="A324" s="16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</f>
        <v>073, 19460418, 12.00, ////, 07</v>
      </c>
    </row>
    <row r="325" spans="1:1" x14ac:dyDescent="0.25">
      <c r="A325" s="16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</f>
        <v>073, 19460418, 16.00, ////, 07</v>
      </c>
    </row>
    <row r="326" spans="1:1" x14ac:dyDescent="0.25">
      <c r="A326" s="16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</f>
        <v>073, 19460419, 08.00, ////, 07</v>
      </c>
    </row>
    <row r="327" spans="1:1" x14ac:dyDescent="0.25">
      <c r="A327" s="16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</f>
        <v>073, 19460419, 12.00, ////, 07</v>
      </c>
    </row>
    <row r="328" spans="1:1" x14ac:dyDescent="0.25">
      <c r="A328" s="16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</f>
        <v>073, 19460419, 16.00, ////, 07</v>
      </c>
    </row>
    <row r="329" spans="1:1" x14ac:dyDescent="0.25">
      <c r="A329" s="16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</f>
        <v>073, 19460420, 08.00, ////, 07</v>
      </c>
    </row>
    <row r="330" spans="1:1" x14ac:dyDescent="0.25">
      <c r="A330" s="16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</f>
        <v>073, 19460420, 12.00, ////, 07</v>
      </c>
    </row>
    <row r="331" spans="1:1" x14ac:dyDescent="0.25">
      <c r="A331" s="16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</f>
        <v>073, 19460420, 16.00, ////, 07</v>
      </c>
    </row>
    <row r="332" spans="1:1" x14ac:dyDescent="0.25">
      <c r="A332" s="16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</f>
        <v>073, 19460421, 08.00, ////, 07</v>
      </c>
    </row>
    <row r="333" spans="1:1" x14ac:dyDescent="0.25">
      <c r="A333" s="16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</f>
        <v>073, 19460421, 12.00, ////, 07</v>
      </c>
    </row>
    <row r="334" spans="1:1" x14ac:dyDescent="0.25">
      <c r="A334" s="16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</f>
        <v>073, 19460421, 16.00, ////, 07</v>
      </c>
    </row>
    <row r="335" spans="1:1" x14ac:dyDescent="0.25">
      <c r="A335" s="16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</f>
        <v>073, 19460422, 08.00, ////, 07</v>
      </c>
    </row>
    <row r="336" spans="1:1" x14ac:dyDescent="0.25">
      <c r="A336" s="16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</f>
        <v>073, 19460422, 12.00, ////, 07</v>
      </c>
    </row>
    <row r="337" spans="1:1" x14ac:dyDescent="0.25">
      <c r="A337" s="16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</f>
        <v>073, 19460422, 16.00, ////, 07</v>
      </c>
    </row>
    <row r="338" spans="1:1" x14ac:dyDescent="0.25">
      <c r="A338" s="16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</f>
        <v>073, 19460423, 08.00, ////, 07</v>
      </c>
    </row>
    <row r="339" spans="1:1" x14ac:dyDescent="0.25">
      <c r="A339" s="16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</f>
        <v>073, 19460423, 12.00, ////, 07</v>
      </c>
    </row>
    <row r="340" spans="1:1" x14ac:dyDescent="0.25">
      <c r="A340" s="16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</f>
        <v>073, 19460423, 16.00, ////, 07</v>
      </c>
    </row>
    <row r="341" spans="1:1" x14ac:dyDescent="0.25">
      <c r="A341" s="16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</f>
        <v>073, 19460424, 08.00, ////, 07</v>
      </c>
    </row>
    <row r="342" spans="1:1" x14ac:dyDescent="0.25">
      <c r="A342" s="16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</f>
        <v>073, 19460424, 12.00, ////, 07</v>
      </c>
    </row>
    <row r="343" spans="1:1" x14ac:dyDescent="0.25">
      <c r="A343" s="16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</f>
        <v>073, 19460424, 16.00, ////, 07</v>
      </c>
    </row>
    <row r="344" spans="1:1" x14ac:dyDescent="0.25">
      <c r="A344" s="16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</f>
        <v>073, 19460425, 08.00, ////, 07</v>
      </c>
    </row>
    <row r="345" spans="1:1" x14ac:dyDescent="0.25">
      <c r="A345" s="16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</f>
        <v>073, 19460425, 12.00, ////, 07</v>
      </c>
    </row>
    <row r="346" spans="1:1" x14ac:dyDescent="0.25">
      <c r="A346" s="16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</f>
        <v>073, 19460425, 16.00, ////, 07</v>
      </c>
    </row>
    <row r="347" spans="1:1" x14ac:dyDescent="0.25">
      <c r="A347" s="16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</f>
        <v>073, 19460426, 08.00, ////, 07</v>
      </c>
    </row>
    <row r="348" spans="1:1" x14ac:dyDescent="0.25">
      <c r="A348" s="16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</f>
        <v>073, 19460426, 12.00, ////, 07</v>
      </c>
    </row>
    <row r="349" spans="1:1" x14ac:dyDescent="0.25">
      <c r="A349" s="16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</f>
        <v>073, 19460426, 16.00, ////, 07</v>
      </c>
    </row>
    <row r="350" spans="1:1" x14ac:dyDescent="0.25">
      <c r="A350" s="16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</f>
        <v>073, 19460427, 08.00, ////, 07</v>
      </c>
    </row>
    <row r="351" spans="1:1" x14ac:dyDescent="0.25">
      <c r="A351" s="16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</f>
        <v>073, 19460427, 12.00, ////, 07</v>
      </c>
    </row>
    <row r="352" spans="1:1" x14ac:dyDescent="0.25">
      <c r="A352" s="16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</f>
        <v>073, 19460427, 16.00, ////, 07</v>
      </c>
    </row>
    <row r="353" spans="1:1" x14ac:dyDescent="0.25">
      <c r="A353" s="16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</f>
        <v>073, 19460428, 08.00, ////, 07</v>
      </c>
    </row>
    <row r="354" spans="1:1" x14ac:dyDescent="0.25">
      <c r="A354" s="16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</f>
        <v>073, 19460428, 12.00, ////, 07</v>
      </c>
    </row>
    <row r="355" spans="1:1" x14ac:dyDescent="0.25">
      <c r="A355" s="16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</f>
        <v>073, 19460428, 16.00, ////, 07</v>
      </c>
    </row>
    <row r="356" spans="1:1" x14ac:dyDescent="0.25">
      <c r="A356" s="16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</f>
        <v>073, 19460429, 08.00, ////, 07</v>
      </c>
    </row>
    <row r="357" spans="1:1" x14ac:dyDescent="0.25">
      <c r="A357" s="16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</f>
        <v>073, 19460429, 12.00, ////, 07</v>
      </c>
    </row>
    <row r="358" spans="1:1" x14ac:dyDescent="0.25">
      <c r="A358" s="16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</f>
        <v>073, 19460429, 16.00, ////, 07</v>
      </c>
    </row>
    <row r="359" spans="1:1" x14ac:dyDescent="0.25">
      <c r="A359" s="16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</f>
        <v>073, 19460430, 08.00, ////, 07</v>
      </c>
    </row>
    <row r="360" spans="1:1" x14ac:dyDescent="0.25">
      <c r="A360" s="16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</f>
        <v>073, 19460430, 12.00, ////, 07</v>
      </c>
    </row>
    <row r="361" spans="1:1" x14ac:dyDescent="0.25">
      <c r="A361" s="16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</f>
        <v>073, 19460430, 16.00, ////, 07</v>
      </c>
    </row>
    <row r="362" spans="1:1" x14ac:dyDescent="0.25">
      <c r="A362" s="16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</f>
        <v>073, 19460501, 08.00, ////, 07</v>
      </c>
    </row>
    <row r="363" spans="1:1" x14ac:dyDescent="0.25">
      <c r="A363" s="16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</f>
        <v>073, 19460501, 12.00, ////, 07</v>
      </c>
    </row>
    <row r="364" spans="1:1" x14ac:dyDescent="0.25">
      <c r="A364" s="16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</f>
        <v>073, 19460501, 16.00, ////, 07</v>
      </c>
    </row>
    <row r="365" spans="1:1" x14ac:dyDescent="0.25">
      <c r="A365" s="16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</f>
        <v>073, 19460502, 08.00, ////, 07</v>
      </c>
    </row>
    <row r="366" spans="1:1" x14ac:dyDescent="0.25">
      <c r="A366" s="16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</f>
        <v>073, 19460502, 12.00, ////, 07</v>
      </c>
    </row>
    <row r="367" spans="1:1" x14ac:dyDescent="0.25">
      <c r="A367" s="16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</f>
        <v>073, 19460502, 16.00, ////, 07</v>
      </c>
    </row>
    <row r="368" spans="1:1" x14ac:dyDescent="0.25">
      <c r="A368" s="16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</f>
        <v>073, 19460503, 08.00, ////, 07</v>
      </c>
    </row>
    <row r="369" spans="1:1" x14ac:dyDescent="0.25">
      <c r="A369" s="16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</f>
        <v>073, 19460503, 12.00, ////, 07</v>
      </c>
    </row>
    <row r="370" spans="1:1" x14ac:dyDescent="0.25">
      <c r="A370" s="16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</f>
        <v>073, 19460503, 16.00, ////, 07</v>
      </c>
    </row>
    <row r="371" spans="1:1" x14ac:dyDescent="0.25">
      <c r="A371" s="16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</f>
        <v>073, 19460504, 08.00, ////, 07</v>
      </c>
    </row>
    <row r="372" spans="1:1" x14ac:dyDescent="0.25">
      <c r="A372" s="16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</f>
        <v>073, 19460504, 12.00, ////, 07</v>
      </c>
    </row>
    <row r="373" spans="1:1" x14ac:dyDescent="0.25">
      <c r="A373" s="16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</f>
        <v>073, 19460504, 16.00, ////, 07</v>
      </c>
    </row>
    <row r="374" spans="1:1" x14ac:dyDescent="0.25">
      <c r="A374" s="16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</f>
        <v>073, 19460505, 08.00, ////, 07</v>
      </c>
    </row>
    <row r="375" spans="1:1" x14ac:dyDescent="0.25">
      <c r="A375" s="16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</f>
        <v>073, 19460505, 12.00, ////, 07</v>
      </c>
    </row>
    <row r="376" spans="1:1" x14ac:dyDescent="0.25">
      <c r="A376" s="16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</f>
        <v>073, 19460505, 16.00, ////, 07</v>
      </c>
    </row>
    <row r="377" spans="1:1" x14ac:dyDescent="0.25">
      <c r="A377" s="16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</f>
        <v>073, 19460506, 08.00, ////, 07</v>
      </c>
    </row>
    <row r="378" spans="1:1" x14ac:dyDescent="0.25">
      <c r="A378" s="16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</f>
        <v>073, 19460506, 12.00, ////, 07</v>
      </c>
    </row>
    <row r="379" spans="1:1" x14ac:dyDescent="0.25">
      <c r="A379" s="16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</f>
        <v>073, 19460506, 16.00, ////, 07</v>
      </c>
    </row>
    <row r="380" spans="1:1" x14ac:dyDescent="0.25">
      <c r="A380" s="16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</f>
        <v>073, 19460507, 08.00, ////, 07</v>
      </c>
    </row>
    <row r="381" spans="1:1" x14ac:dyDescent="0.25">
      <c r="A381" s="16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</f>
        <v>073, 19460507, 12.00, ////, 07</v>
      </c>
    </row>
    <row r="382" spans="1:1" x14ac:dyDescent="0.25">
      <c r="A382" s="16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</f>
        <v>073, 19460507, 16.00, ////, 07</v>
      </c>
    </row>
    <row r="383" spans="1:1" x14ac:dyDescent="0.25">
      <c r="A383" s="16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</f>
        <v>073, 19460508, 08.00, ////, 07</v>
      </c>
    </row>
    <row r="384" spans="1:1" x14ac:dyDescent="0.25">
      <c r="A384" s="16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</f>
        <v>073, 19460508, 12.00, ////, 07</v>
      </c>
    </row>
    <row r="385" spans="1:1" x14ac:dyDescent="0.25">
      <c r="A385" s="16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</f>
        <v>073, 19460508, 16.00, ////, 07</v>
      </c>
    </row>
    <row r="386" spans="1:1" x14ac:dyDescent="0.25">
      <c r="A386" s="16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</f>
        <v>073, 19460509, 08.00, ////, 07</v>
      </c>
    </row>
    <row r="387" spans="1:1" x14ac:dyDescent="0.25">
      <c r="A387" s="16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</f>
        <v>073, 19460509, 12.00, ////, 07</v>
      </c>
    </row>
    <row r="388" spans="1:1" x14ac:dyDescent="0.25">
      <c r="A388" s="16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</f>
        <v>073, 19460509, 16.00, ////, 07</v>
      </c>
    </row>
    <row r="389" spans="1:1" x14ac:dyDescent="0.25">
      <c r="A389" s="16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</f>
        <v>073, 19460510, 08.00, ////, 07</v>
      </c>
    </row>
    <row r="390" spans="1:1" x14ac:dyDescent="0.25">
      <c r="A390" s="16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</f>
        <v>073, 19460510, 12.00, ////, 07</v>
      </c>
    </row>
    <row r="391" spans="1:1" x14ac:dyDescent="0.25">
      <c r="A391" s="16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</f>
        <v>073, 19460510, 16.00, ////, 07</v>
      </c>
    </row>
    <row r="392" spans="1:1" x14ac:dyDescent="0.25">
      <c r="A392" s="16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</f>
        <v>073, 19460511, 08.00, ////, 07</v>
      </c>
    </row>
    <row r="393" spans="1:1" x14ac:dyDescent="0.25">
      <c r="A393" s="16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</f>
        <v>073, 19460511, 12.00, ////, 07</v>
      </c>
    </row>
    <row r="394" spans="1:1" x14ac:dyDescent="0.25">
      <c r="A394" s="16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</f>
        <v>073, 19460511, 16.00, ////, 07</v>
      </c>
    </row>
    <row r="395" spans="1:1" x14ac:dyDescent="0.25">
      <c r="A395" s="16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</f>
        <v>073, 19460512, 08.00, ////, 07</v>
      </c>
    </row>
    <row r="396" spans="1:1" x14ac:dyDescent="0.25">
      <c r="A396" s="16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</f>
        <v>073, 19460512, 12.00, ////, 07</v>
      </c>
    </row>
    <row r="397" spans="1:1" x14ac:dyDescent="0.25">
      <c r="A397" s="16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</f>
        <v>073, 19460512, 16.00, ////, 07</v>
      </c>
    </row>
    <row r="398" spans="1:1" x14ac:dyDescent="0.25">
      <c r="A398" s="16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</f>
        <v>073, 19460513, 08.00, ////, 07</v>
      </c>
    </row>
    <row r="399" spans="1:1" x14ac:dyDescent="0.25">
      <c r="A399" s="16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</f>
        <v>073, 19460513, 12.00, ////, 07</v>
      </c>
    </row>
    <row r="400" spans="1:1" x14ac:dyDescent="0.25">
      <c r="A400" s="16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</f>
        <v>073, 19460513, 16.00, ////, 07</v>
      </c>
    </row>
    <row r="401" spans="1:1" x14ac:dyDescent="0.25">
      <c r="A401" s="16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</f>
        <v>073, 19460514, 08.00, ////, 07</v>
      </c>
    </row>
    <row r="402" spans="1:1" x14ac:dyDescent="0.25">
      <c r="A402" s="16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</f>
        <v>073, 19460514, 12.00, ////, 07</v>
      </c>
    </row>
    <row r="403" spans="1:1" x14ac:dyDescent="0.25">
      <c r="A403" s="16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</f>
        <v>073, 19460514, 16.00, ////, 07</v>
      </c>
    </row>
    <row r="404" spans="1:1" x14ac:dyDescent="0.25">
      <c r="A404" s="16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</f>
        <v>073, 19460515, 08.00, ////, 07</v>
      </c>
    </row>
    <row r="405" spans="1:1" x14ac:dyDescent="0.25">
      <c r="A405" s="16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</f>
        <v>073, 19460515, 12.00, ////, 07</v>
      </c>
    </row>
    <row r="406" spans="1:1" x14ac:dyDescent="0.25">
      <c r="A406" s="16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</f>
        <v>073, 19460515, 16.00, ////, 07</v>
      </c>
    </row>
    <row r="407" spans="1:1" x14ac:dyDescent="0.25">
      <c r="A407" s="16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</f>
        <v>073, 19460516, 08.00, ////, 07</v>
      </c>
    </row>
    <row r="408" spans="1:1" x14ac:dyDescent="0.25">
      <c r="A408" s="16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</f>
        <v>073, 19460516, 12.00, ////, 07</v>
      </c>
    </row>
    <row r="409" spans="1:1" x14ac:dyDescent="0.25">
      <c r="A409" s="16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</f>
        <v>073, 19460516, 16.00, ////, 07</v>
      </c>
    </row>
    <row r="410" spans="1:1" x14ac:dyDescent="0.25">
      <c r="A410" s="16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</f>
        <v>073, 19460517, 08.00, ////, 07</v>
      </c>
    </row>
    <row r="411" spans="1:1" x14ac:dyDescent="0.25">
      <c r="A411" s="16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</f>
        <v>073, 19460517, 12.00, ////, 07</v>
      </c>
    </row>
    <row r="412" spans="1:1" x14ac:dyDescent="0.25">
      <c r="A412" s="16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</f>
        <v>073, 19460517, 16.00, ////, 07</v>
      </c>
    </row>
    <row r="413" spans="1:1" x14ac:dyDescent="0.25">
      <c r="A413" s="16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</f>
        <v>073, 19460518, 08.00, ////, 07</v>
      </c>
    </row>
    <row r="414" spans="1:1" x14ac:dyDescent="0.25">
      <c r="A414" s="16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</f>
        <v>073, 19460518, 12.00, ////, 07</v>
      </c>
    </row>
    <row r="415" spans="1:1" x14ac:dyDescent="0.25">
      <c r="A415" s="16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</f>
        <v>073, 19460518, 16.00, ////, 07</v>
      </c>
    </row>
    <row r="416" spans="1:1" x14ac:dyDescent="0.25">
      <c r="A416" s="16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</f>
        <v>073, 19460519, 08.00, ////, 07</v>
      </c>
    </row>
    <row r="417" spans="1:1" x14ac:dyDescent="0.25">
      <c r="A417" s="16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</f>
        <v>073, 19460519, 12.00, ////, 07</v>
      </c>
    </row>
    <row r="418" spans="1:1" x14ac:dyDescent="0.25">
      <c r="A418" s="16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</f>
        <v>073, 19460519, 16.00, ////, 07</v>
      </c>
    </row>
    <row r="419" spans="1:1" x14ac:dyDescent="0.25">
      <c r="A419" s="16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</f>
        <v>073, 19460520, 08.00, ////, 07</v>
      </c>
    </row>
    <row r="420" spans="1:1" x14ac:dyDescent="0.25">
      <c r="A420" s="16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</f>
        <v>073, 19460520, 12.00, ////, 07</v>
      </c>
    </row>
    <row r="421" spans="1:1" x14ac:dyDescent="0.25">
      <c r="A421" s="16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</f>
        <v>073, 19460520, 16.00, ////, 07</v>
      </c>
    </row>
    <row r="422" spans="1:1" x14ac:dyDescent="0.25">
      <c r="A422" s="16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</f>
        <v>073, 19460521, 08.00, ////, 07</v>
      </c>
    </row>
    <row r="423" spans="1:1" x14ac:dyDescent="0.25">
      <c r="A423" s="16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</f>
        <v>073, 19460521, 12.00, ////, 07</v>
      </c>
    </row>
    <row r="424" spans="1:1" x14ac:dyDescent="0.25">
      <c r="A424" s="16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</f>
        <v>073, 19460521, 16.00, ////, 07</v>
      </c>
    </row>
    <row r="425" spans="1:1" x14ac:dyDescent="0.25">
      <c r="A425" s="16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</f>
        <v>073, 19460522, 08.00, ////, 07</v>
      </c>
    </row>
    <row r="426" spans="1:1" x14ac:dyDescent="0.25">
      <c r="A426" s="16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</f>
        <v>073, 19460522, 12.00, ////, 07</v>
      </c>
    </row>
    <row r="427" spans="1:1" x14ac:dyDescent="0.25">
      <c r="A427" s="16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</f>
        <v>073, 19460522, 16.00, ////, 07</v>
      </c>
    </row>
    <row r="428" spans="1:1" x14ac:dyDescent="0.25">
      <c r="A428" s="16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</f>
        <v>073, 19460523, 08.00, ////, 07</v>
      </c>
    </row>
    <row r="429" spans="1:1" x14ac:dyDescent="0.25">
      <c r="A429" s="16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</f>
        <v>073, 19460523, 12.00, ////, 07</v>
      </c>
    </row>
    <row r="430" spans="1:1" x14ac:dyDescent="0.25">
      <c r="A430" s="16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</f>
        <v>073, 19460523, 16.00, ////, 07</v>
      </c>
    </row>
    <row r="431" spans="1:1" x14ac:dyDescent="0.25">
      <c r="A431" s="16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</f>
        <v>073, 19460524, 08.00, ////, 07</v>
      </c>
    </row>
    <row r="432" spans="1:1" x14ac:dyDescent="0.25">
      <c r="A432" s="16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</f>
        <v>073, 19460524, 12.00, ////, 07</v>
      </c>
    </row>
    <row r="433" spans="1:1" x14ac:dyDescent="0.25">
      <c r="A433" s="16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</f>
        <v>073, 19460524, 16.00, ////, 07</v>
      </c>
    </row>
    <row r="434" spans="1:1" x14ac:dyDescent="0.25">
      <c r="A434" s="16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</f>
        <v>073, 19460525, 08.00, ////, 07</v>
      </c>
    </row>
    <row r="435" spans="1:1" x14ac:dyDescent="0.25">
      <c r="A435" s="16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</f>
        <v>073, 19460525, 12.00, ////, 07</v>
      </c>
    </row>
    <row r="436" spans="1:1" x14ac:dyDescent="0.25">
      <c r="A436" s="16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</f>
        <v>073, 19460525, 16.00, ////, 07</v>
      </c>
    </row>
    <row r="437" spans="1:1" x14ac:dyDescent="0.25">
      <c r="A437" s="16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</f>
        <v>073, 19460526, 08.00, ////, 07</v>
      </c>
    </row>
    <row r="438" spans="1:1" x14ac:dyDescent="0.25">
      <c r="A438" s="16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</f>
        <v>073, 19460526, 12.00, ////, 07</v>
      </c>
    </row>
    <row r="439" spans="1:1" x14ac:dyDescent="0.25">
      <c r="A439" s="16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</f>
        <v>073, 19460526, 16.00, ////, 07</v>
      </c>
    </row>
    <row r="440" spans="1:1" x14ac:dyDescent="0.25">
      <c r="A440" s="16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</f>
        <v>073, 19460527, 08.00, ////, 07</v>
      </c>
    </row>
    <row r="441" spans="1:1" x14ac:dyDescent="0.25">
      <c r="A441" s="16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</f>
        <v>073, 19460527, 12.00, ////, 07</v>
      </c>
    </row>
    <row r="442" spans="1:1" x14ac:dyDescent="0.25">
      <c r="A442" s="16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</f>
        <v>073, 19460527, 16.00, ////, 07</v>
      </c>
    </row>
    <row r="443" spans="1:1" x14ac:dyDescent="0.25">
      <c r="A443" s="16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</f>
        <v>073, 19460528, 08.00, ////, 07</v>
      </c>
    </row>
    <row r="444" spans="1:1" x14ac:dyDescent="0.25">
      <c r="A444" s="16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</f>
        <v>073, 19460528, 12.00, ////, 07</v>
      </c>
    </row>
    <row r="445" spans="1:1" x14ac:dyDescent="0.25">
      <c r="A445" s="16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</f>
        <v>073, 19460528, 16.00, ////, 07</v>
      </c>
    </row>
    <row r="446" spans="1:1" x14ac:dyDescent="0.25">
      <c r="A446" s="16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</f>
        <v>073, 19460529, 08.00, ////, 07</v>
      </c>
    </row>
    <row r="447" spans="1:1" x14ac:dyDescent="0.25">
      <c r="A447" s="16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</f>
        <v>073, 19460529, 12.00, ////, 07</v>
      </c>
    </row>
    <row r="448" spans="1:1" x14ac:dyDescent="0.25">
      <c r="A448" s="16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</f>
        <v>073, 19460529, 16.00, ////, 07</v>
      </c>
    </row>
    <row r="449" spans="1:1" x14ac:dyDescent="0.25">
      <c r="A449" s="16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</f>
        <v>073, 19460530, 08.00, ////, 07</v>
      </c>
    </row>
    <row r="450" spans="1:1" x14ac:dyDescent="0.25">
      <c r="A450" s="16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</f>
        <v>073, 19460530, 12.00, ////, 07</v>
      </c>
    </row>
    <row r="451" spans="1:1" x14ac:dyDescent="0.25">
      <c r="A451" s="16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</f>
        <v>073, 19460530, 16.00, ////, 07</v>
      </c>
    </row>
    <row r="452" spans="1:1" x14ac:dyDescent="0.25">
      <c r="A452" s="16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</f>
        <v>073, 19460531, 08.00, ////, 07</v>
      </c>
    </row>
    <row r="453" spans="1:1" x14ac:dyDescent="0.25">
      <c r="A453" s="16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</f>
        <v>073, 19460531, 12.00, ////, 07</v>
      </c>
    </row>
    <row r="454" spans="1:1" x14ac:dyDescent="0.25">
      <c r="A454" s="16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</f>
        <v>073, 19460531, 16.00, ////, 07</v>
      </c>
    </row>
    <row r="455" spans="1:1" x14ac:dyDescent="0.25">
      <c r="A455" s="16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</f>
        <v>073, 19460601, 08.00, ////, 07</v>
      </c>
    </row>
    <row r="456" spans="1:1" x14ac:dyDescent="0.25">
      <c r="A456" s="16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</f>
        <v>073, 19460601, 12.00, ////, 07</v>
      </c>
    </row>
    <row r="457" spans="1:1" x14ac:dyDescent="0.25">
      <c r="A457" s="16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</f>
        <v>073, 19460601, 16.00, ////, 07</v>
      </c>
    </row>
    <row r="458" spans="1:1" x14ac:dyDescent="0.25">
      <c r="A458" s="16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</f>
        <v>073, 19460602, 08.00, ////, 07</v>
      </c>
    </row>
    <row r="459" spans="1:1" x14ac:dyDescent="0.25">
      <c r="A459" s="16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</f>
        <v>073, 19460602, 12.00, ////, 07</v>
      </c>
    </row>
    <row r="460" spans="1:1" x14ac:dyDescent="0.25">
      <c r="A460" s="16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</f>
        <v>073, 19460602, 16.00, ////, 07</v>
      </c>
    </row>
    <row r="461" spans="1:1" x14ac:dyDescent="0.25">
      <c r="A461" s="16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</f>
        <v>073, 19460603, 08.00, ////, 07</v>
      </c>
    </row>
    <row r="462" spans="1:1" x14ac:dyDescent="0.25">
      <c r="A462" s="16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</f>
        <v>073, 19460603, 12.00, ////, 07</v>
      </c>
    </row>
    <row r="463" spans="1:1" x14ac:dyDescent="0.25">
      <c r="A463" s="16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</f>
        <v>073, 19460603, 16.00, ////, 07</v>
      </c>
    </row>
    <row r="464" spans="1:1" x14ac:dyDescent="0.25">
      <c r="A464" s="16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</f>
        <v>073, 19460604, 08.00, ////, 07</v>
      </c>
    </row>
    <row r="465" spans="1:1" x14ac:dyDescent="0.25">
      <c r="A465" s="16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</f>
        <v>073, 19460604, 12.00, ////, 07</v>
      </c>
    </row>
    <row r="466" spans="1:1" x14ac:dyDescent="0.25">
      <c r="A466" s="16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</f>
        <v>073, 19460604, 16.00, ////, 07</v>
      </c>
    </row>
    <row r="467" spans="1:1" x14ac:dyDescent="0.25">
      <c r="A467" s="16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</f>
        <v>073, 19460605, 08.00, ////, 07</v>
      </c>
    </row>
    <row r="468" spans="1:1" x14ac:dyDescent="0.25">
      <c r="A468" s="16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</f>
        <v>073, 19460605, 12.00, ////, 07</v>
      </c>
    </row>
    <row r="469" spans="1:1" x14ac:dyDescent="0.25">
      <c r="A469" s="16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</f>
        <v>073, 19460605, 16.00, ////, 07</v>
      </c>
    </row>
    <row r="470" spans="1:1" x14ac:dyDescent="0.25">
      <c r="A470" s="16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</f>
        <v>073, 19460606, 08.00, ////, 07</v>
      </c>
    </row>
    <row r="471" spans="1:1" x14ac:dyDescent="0.25">
      <c r="A471" s="16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</f>
        <v>073, 19460606, 12.00, ////, 07</v>
      </c>
    </row>
    <row r="472" spans="1:1" x14ac:dyDescent="0.25">
      <c r="A472" s="16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</f>
        <v>073, 19460606, 16.00, ////, 07</v>
      </c>
    </row>
    <row r="473" spans="1:1" x14ac:dyDescent="0.25">
      <c r="A473" s="16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</f>
        <v>073, 19460607, 08.00, ////, 07</v>
      </c>
    </row>
    <row r="474" spans="1:1" x14ac:dyDescent="0.25">
      <c r="A474" s="16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</f>
        <v>073, 19460607, 12.00, ////, 07</v>
      </c>
    </row>
    <row r="475" spans="1:1" x14ac:dyDescent="0.25">
      <c r="A475" s="16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</f>
        <v>073, 19460607, 16.00, ////, 07</v>
      </c>
    </row>
    <row r="476" spans="1:1" x14ac:dyDescent="0.25">
      <c r="A476" s="16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</f>
        <v>073, 19460608, 08.00, ////, 07</v>
      </c>
    </row>
    <row r="477" spans="1:1" x14ac:dyDescent="0.25">
      <c r="A477" s="16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</f>
        <v>073, 19460608, 12.00, ////, 07</v>
      </c>
    </row>
    <row r="478" spans="1:1" x14ac:dyDescent="0.25">
      <c r="A478" s="16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</f>
        <v>073, 19460608, 16.00, ////, 07</v>
      </c>
    </row>
    <row r="479" spans="1:1" x14ac:dyDescent="0.25">
      <c r="A479" s="16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</f>
        <v>073, 19460609, 08.00, ////, 07</v>
      </c>
    </row>
    <row r="480" spans="1:1" x14ac:dyDescent="0.25">
      <c r="A480" s="16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</f>
        <v>073, 19460609, 12.00, ////, 07</v>
      </c>
    </row>
    <row r="481" spans="1:1" x14ac:dyDescent="0.25">
      <c r="A481" s="16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</f>
        <v>073, 19460609, 16.00, ////, 07</v>
      </c>
    </row>
    <row r="482" spans="1:1" x14ac:dyDescent="0.25">
      <c r="A482" s="16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</f>
        <v>073, 19460610, 08.00, ////, 07</v>
      </c>
    </row>
    <row r="483" spans="1:1" x14ac:dyDescent="0.25">
      <c r="A483" s="16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</f>
        <v>073, 19460610, 12.00, ////, 07</v>
      </c>
    </row>
    <row r="484" spans="1:1" x14ac:dyDescent="0.25">
      <c r="A484" s="16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</f>
        <v>073, 19460610, 16.00, ////, 07</v>
      </c>
    </row>
    <row r="485" spans="1:1" x14ac:dyDescent="0.25">
      <c r="A485" s="16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</f>
        <v>073, 19460611, 08.00, ////, 07</v>
      </c>
    </row>
    <row r="486" spans="1:1" x14ac:dyDescent="0.25">
      <c r="A486" s="16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</f>
        <v>073, 19460611, 12.00, ////, 07</v>
      </c>
    </row>
    <row r="487" spans="1:1" x14ac:dyDescent="0.25">
      <c r="A487" s="16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</f>
        <v>073, 19460611, 16.00, ////, 07</v>
      </c>
    </row>
    <row r="488" spans="1:1" x14ac:dyDescent="0.25">
      <c r="A488" s="16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</f>
        <v>073, 19460612, 08.00, ////, 07</v>
      </c>
    </row>
    <row r="489" spans="1:1" x14ac:dyDescent="0.25">
      <c r="A489" s="16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</f>
        <v>073, 19460612, 12.00, ////, 07</v>
      </c>
    </row>
    <row r="490" spans="1:1" x14ac:dyDescent="0.25">
      <c r="A490" s="16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</f>
        <v>073, 19460612, 16.00, ////, 07</v>
      </c>
    </row>
    <row r="491" spans="1:1" x14ac:dyDescent="0.25">
      <c r="A491" s="16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</f>
        <v>073, 19460613, 08.00, ////, 07</v>
      </c>
    </row>
    <row r="492" spans="1:1" x14ac:dyDescent="0.25">
      <c r="A492" s="16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</f>
        <v>073, 19460613, 12.00, ////, 07</v>
      </c>
    </row>
    <row r="493" spans="1:1" x14ac:dyDescent="0.25">
      <c r="A493" s="16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</f>
        <v>073, 19460613, 16.00, ////, 07</v>
      </c>
    </row>
    <row r="494" spans="1:1" x14ac:dyDescent="0.25">
      <c r="A494" s="16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</f>
        <v>073, 19460614, 08.00, ////, 07</v>
      </c>
    </row>
    <row r="495" spans="1:1" x14ac:dyDescent="0.25">
      <c r="A495" s="16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</f>
        <v>073, 19460614, 12.00, ////, 07</v>
      </c>
    </row>
    <row r="496" spans="1:1" x14ac:dyDescent="0.25">
      <c r="A496" s="16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</f>
        <v>073, 19460614, 16.00, ////, 07</v>
      </c>
    </row>
    <row r="497" spans="1:1" x14ac:dyDescent="0.25">
      <c r="A497" s="16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</f>
        <v>073, 19460615, 08.00, ////, 07</v>
      </c>
    </row>
    <row r="498" spans="1:1" x14ac:dyDescent="0.25">
      <c r="A498" s="16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</f>
        <v>073, 19460615, 12.00, ////, 07</v>
      </c>
    </row>
    <row r="499" spans="1:1" x14ac:dyDescent="0.25">
      <c r="A499" s="16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</f>
        <v>073, 19460615, 16.00, ////, 07</v>
      </c>
    </row>
    <row r="500" spans="1:1" x14ac:dyDescent="0.25">
      <c r="A500" s="16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</f>
        <v>073, 19460616, 08.00, ////, 07</v>
      </c>
    </row>
    <row r="501" spans="1:1" x14ac:dyDescent="0.25">
      <c r="A501" s="16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</f>
        <v>073, 19460616, 12.00, ////, 07</v>
      </c>
    </row>
    <row r="502" spans="1:1" x14ac:dyDescent="0.25">
      <c r="A502" s="16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</f>
        <v>073, 19460616, 16.00, ////, 07</v>
      </c>
    </row>
    <row r="503" spans="1:1" x14ac:dyDescent="0.25">
      <c r="A503" s="16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</f>
        <v>073, 19460617, 08.00, ////, 07</v>
      </c>
    </row>
    <row r="504" spans="1:1" x14ac:dyDescent="0.25">
      <c r="A504" s="16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</f>
        <v>073, 19460617, 12.00, ////, 07</v>
      </c>
    </row>
    <row r="505" spans="1:1" x14ac:dyDescent="0.25">
      <c r="A505" s="16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</f>
        <v>073, 19460617, 16.00, ////, 07</v>
      </c>
    </row>
    <row r="506" spans="1:1" x14ac:dyDescent="0.25">
      <c r="A506" s="16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</f>
        <v>073, 19460618, 08.00, ////, 07</v>
      </c>
    </row>
    <row r="507" spans="1:1" x14ac:dyDescent="0.25">
      <c r="A507" s="16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</f>
        <v>073, 19460618, 12.00, ////, 07</v>
      </c>
    </row>
    <row r="508" spans="1:1" x14ac:dyDescent="0.25">
      <c r="A508" s="16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</f>
        <v>073, 19460618, 16.00, ////, 07</v>
      </c>
    </row>
    <row r="509" spans="1:1" x14ac:dyDescent="0.25">
      <c r="A509" s="16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</f>
        <v>073, 19460619, 08.00, ////, 07</v>
      </c>
    </row>
    <row r="510" spans="1:1" x14ac:dyDescent="0.25">
      <c r="A510" s="16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</f>
        <v>073, 19460619, 12.00, ////, 07</v>
      </c>
    </row>
    <row r="511" spans="1:1" x14ac:dyDescent="0.25">
      <c r="A511" s="16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</f>
        <v>073, 19460619, 16.00, ////, 07</v>
      </c>
    </row>
    <row r="512" spans="1:1" x14ac:dyDescent="0.25">
      <c r="A512" s="16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</f>
        <v>073, 19460620, 08.00, ////, 07</v>
      </c>
    </row>
    <row r="513" spans="1:1" x14ac:dyDescent="0.25">
      <c r="A513" s="16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</f>
        <v>073, 19460620, 12.00, ////, 07</v>
      </c>
    </row>
    <row r="514" spans="1:1" x14ac:dyDescent="0.25">
      <c r="A514" s="16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</f>
        <v>073, 19460620, 16.00, ////, 07</v>
      </c>
    </row>
    <row r="515" spans="1:1" x14ac:dyDescent="0.25">
      <c r="A515" s="16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</f>
        <v>073, 19460621, 08.00, ////, 07</v>
      </c>
    </row>
    <row r="516" spans="1:1" x14ac:dyDescent="0.25">
      <c r="A516" s="16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</f>
        <v>073, 19460621, 12.00, ////, 07</v>
      </c>
    </row>
    <row r="517" spans="1:1" x14ac:dyDescent="0.25">
      <c r="A517" s="16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</f>
        <v>073, 19460621, 16.00, ////, 07</v>
      </c>
    </row>
    <row r="518" spans="1:1" x14ac:dyDescent="0.25">
      <c r="A518" s="16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</f>
        <v>073, 19460622, 08.00, ////, 07</v>
      </c>
    </row>
    <row r="519" spans="1:1" x14ac:dyDescent="0.25">
      <c r="A519" s="16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</f>
        <v>073, 19460622, 12.00, ////, 07</v>
      </c>
    </row>
    <row r="520" spans="1:1" x14ac:dyDescent="0.25">
      <c r="A520" s="16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</f>
        <v>073, 19460622, 16.00, ////, 07</v>
      </c>
    </row>
    <row r="521" spans="1:1" x14ac:dyDescent="0.25">
      <c r="A521" s="16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</f>
        <v>073, 19460623, 08.00, ////, 07</v>
      </c>
    </row>
    <row r="522" spans="1:1" x14ac:dyDescent="0.25">
      <c r="A522" s="16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</f>
        <v>073, 19460623, 12.00, ////, 07</v>
      </c>
    </row>
    <row r="523" spans="1:1" x14ac:dyDescent="0.25">
      <c r="A523" s="16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</f>
        <v>073, 19460623, 16.00, ////, 07</v>
      </c>
    </row>
    <row r="524" spans="1:1" x14ac:dyDescent="0.25">
      <c r="A524" s="16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</f>
        <v>073, 19460624, 08.00, ////, 07</v>
      </c>
    </row>
    <row r="525" spans="1:1" x14ac:dyDescent="0.25">
      <c r="A525" s="16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</f>
        <v>073, 19460624, 12.00, ////, 07</v>
      </c>
    </row>
    <row r="526" spans="1:1" x14ac:dyDescent="0.25">
      <c r="A526" s="16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</f>
        <v>073, 19460624, 16.00, ////, 07</v>
      </c>
    </row>
    <row r="527" spans="1:1" x14ac:dyDescent="0.25">
      <c r="A527" s="16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</f>
        <v>073, 19460625, 08.00, ////, 07</v>
      </c>
    </row>
    <row r="528" spans="1:1" x14ac:dyDescent="0.25">
      <c r="A528" s="16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</f>
        <v>073, 19460625, 12.00, ////, 07</v>
      </c>
    </row>
    <row r="529" spans="1:1" x14ac:dyDescent="0.25">
      <c r="A529" s="16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</f>
        <v>073, 19460625, 16.00, ////, 07</v>
      </c>
    </row>
    <row r="530" spans="1:1" x14ac:dyDescent="0.25">
      <c r="A530" s="16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</f>
        <v>073, 19460626, 08.00, ////, 07</v>
      </c>
    </row>
    <row r="531" spans="1:1" x14ac:dyDescent="0.25">
      <c r="A531" s="16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</f>
        <v>073, 19460626, 12.00, ////, 07</v>
      </c>
    </row>
    <row r="532" spans="1:1" x14ac:dyDescent="0.25">
      <c r="A532" s="16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</f>
        <v>073, 19460626, 16.00, ////, 07</v>
      </c>
    </row>
    <row r="533" spans="1:1" x14ac:dyDescent="0.25">
      <c r="A533" s="16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</f>
        <v>073, 19460627, 08.00, ////, 07</v>
      </c>
    </row>
    <row r="534" spans="1:1" x14ac:dyDescent="0.25">
      <c r="A534" s="16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</f>
        <v>073, 19460627, 12.00, ////, 07</v>
      </c>
    </row>
    <row r="535" spans="1:1" x14ac:dyDescent="0.25">
      <c r="A535" s="16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</f>
        <v>073, 19460627, 16.00, ////, 07</v>
      </c>
    </row>
    <row r="536" spans="1:1" x14ac:dyDescent="0.25">
      <c r="A536" s="16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</f>
        <v>073, 19460628, 08.00, ////, 07</v>
      </c>
    </row>
    <row r="537" spans="1:1" x14ac:dyDescent="0.25">
      <c r="A537" s="16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</f>
        <v>073, 19460628, 12.00, ////, 07</v>
      </c>
    </row>
    <row r="538" spans="1:1" x14ac:dyDescent="0.25">
      <c r="A538" s="16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</f>
        <v>073, 19460628, 16.00, ////, 07</v>
      </c>
    </row>
    <row r="539" spans="1:1" x14ac:dyDescent="0.25">
      <c r="A539" s="16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</f>
        <v>073, 19460629, 08.00, ////, 07</v>
      </c>
    </row>
    <row r="540" spans="1:1" x14ac:dyDescent="0.25">
      <c r="A540" s="16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</f>
        <v>073, 19460629, 12.00, ////, 07</v>
      </c>
    </row>
    <row r="541" spans="1:1" x14ac:dyDescent="0.25">
      <c r="A541" s="16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</f>
        <v>073, 19460629, 16.00, ////, 07</v>
      </c>
    </row>
    <row r="542" spans="1:1" x14ac:dyDescent="0.25">
      <c r="A542" s="16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</f>
        <v>073, 19460630, 08.00, ////, 07</v>
      </c>
    </row>
    <row r="543" spans="1:1" x14ac:dyDescent="0.25">
      <c r="A543" s="16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</f>
        <v>073, 19460630, 12.00, ////, 07</v>
      </c>
    </row>
    <row r="544" spans="1:1" x14ac:dyDescent="0.25">
      <c r="A544" s="16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</f>
        <v>073, 19460630, 16.00, ////, 07</v>
      </c>
    </row>
    <row r="545" spans="1:1" x14ac:dyDescent="0.25">
      <c r="A545" s="16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</f>
        <v>073, 19460701, 08.00, ////, 07</v>
      </c>
    </row>
    <row r="546" spans="1:1" x14ac:dyDescent="0.25">
      <c r="A546" s="16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</f>
        <v>073, 19460701, 12.00, ////, 07</v>
      </c>
    </row>
    <row r="547" spans="1:1" x14ac:dyDescent="0.25">
      <c r="A547" s="16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</f>
        <v>073, 19460701, 16.00, ////, 07</v>
      </c>
    </row>
    <row r="548" spans="1:1" x14ac:dyDescent="0.25">
      <c r="A548" s="16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</f>
        <v>073, 19460702, 08.00, ////, 07</v>
      </c>
    </row>
    <row r="549" spans="1:1" x14ac:dyDescent="0.25">
      <c r="A549" s="16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</f>
        <v>073, 19460702, 12.00, ////, 07</v>
      </c>
    </row>
    <row r="550" spans="1:1" x14ac:dyDescent="0.25">
      <c r="A550" s="16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</f>
        <v>073, 19460702, 16.00, ////, 07</v>
      </c>
    </row>
    <row r="551" spans="1:1" x14ac:dyDescent="0.25">
      <c r="A551" s="16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</f>
        <v>073, 19460703, 08.00, ////, 07</v>
      </c>
    </row>
    <row r="552" spans="1:1" x14ac:dyDescent="0.25">
      <c r="A552" s="16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</f>
        <v>073, 19460703, 12.00, ////, 07</v>
      </c>
    </row>
    <row r="553" spans="1:1" x14ac:dyDescent="0.25">
      <c r="A553" s="16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</f>
        <v>073, 19460703, 16.00, ////, 07</v>
      </c>
    </row>
    <row r="554" spans="1:1" x14ac:dyDescent="0.25">
      <c r="A554" s="16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</f>
        <v>073, 19460704, 08.00, ////, 07</v>
      </c>
    </row>
    <row r="555" spans="1:1" x14ac:dyDescent="0.25">
      <c r="A555" s="16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</f>
        <v>073, 19460704, 12.00, ////, 07</v>
      </c>
    </row>
    <row r="556" spans="1:1" x14ac:dyDescent="0.25">
      <c r="A556" s="16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</f>
        <v>073, 19460704, 16.00, ////, 07</v>
      </c>
    </row>
    <row r="557" spans="1:1" x14ac:dyDescent="0.25">
      <c r="A557" s="16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</f>
        <v>073, 19460705, 08.00, ////, 07</v>
      </c>
    </row>
    <row r="558" spans="1:1" x14ac:dyDescent="0.25">
      <c r="A558" s="16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</f>
        <v>073, 19460705, 12.00, ////, 07</v>
      </c>
    </row>
    <row r="559" spans="1:1" x14ac:dyDescent="0.25">
      <c r="A559" s="16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</f>
        <v>073, 19460705, 16.00, ////, 07</v>
      </c>
    </row>
    <row r="560" spans="1:1" x14ac:dyDescent="0.25">
      <c r="A560" s="16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</f>
        <v>073, 19460706, 08.00, ////, 07</v>
      </c>
    </row>
    <row r="561" spans="1:1" x14ac:dyDescent="0.25">
      <c r="A561" s="16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</f>
        <v>073, 19460706, 12.00, ////, 07</v>
      </c>
    </row>
    <row r="562" spans="1:1" x14ac:dyDescent="0.25">
      <c r="A562" s="16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</f>
        <v>073, 19460706, 16.00, ////, 07</v>
      </c>
    </row>
    <row r="563" spans="1:1" x14ac:dyDescent="0.25">
      <c r="A563" s="16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</f>
        <v>073, 19460707, 08.00, ////, 07</v>
      </c>
    </row>
    <row r="564" spans="1:1" x14ac:dyDescent="0.25">
      <c r="A564" s="16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</f>
        <v>073, 19460707, 12.00, ////, 07</v>
      </c>
    </row>
    <row r="565" spans="1:1" x14ac:dyDescent="0.25">
      <c r="A565" s="16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</f>
        <v>073, 19460707, 16.00, ////, 07</v>
      </c>
    </row>
    <row r="566" spans="1:1" x14ac:dyDescent="0.25">
      <c r="A566" s="16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</f>
        <v>073, 19460708, 08.00, ////, 07</v>
      </c>
    </row>
    <row r="567" spans="1:1" x14ac:dyDescent="0.25">
      <c r="A567" s="16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</f>
        <v>073, 19460708, 12.00, ////, 07</v>
      </c>
    </row>
    <row r="568" spans="1:1" x14ac:dyDescent="0.25">
      <c r="A568" s="16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</f>
        <v>073, 19460708, 16.00, ////, 07</v>
      </c>
    </row>
    <row r="569" spans="1:1" x14ac:dyDescent="0.25">
      <c r="A569" s="16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</f>
        <v>073, 19460709, 08.00, ////, 07</v>
      </c>
    </row>
    <row r="570" spans="1:1" x14ac:dyDescent="0.25">
      <c r="A570" s="16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</f>
        <v>073, 19460709, 12.00, ////, 07</v>
      </c>
    </row>
    <row r="571" spans="1:1" x14ac:dyDescent="0.25">
      <c r="A571" s="16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</f>
        <v>073, 19460709, 16.00, ////, 07</v>
      </c>
    </row>
    <row r="572" spans="1:1" x14ac:dyDescent="0.25">
      <c r="A572" s="16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</f>
        <v>073, 19460710, 08.00, ////, 07</v>
      </c>
    </row>
    <row r="573" spans="1:1" x14ac:dyDescent="0.25">
      <c r="A573" s="16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</f>
        <v>073, 19460710, 12.00, ////, 07</v>
      </c>
    </row>
    <row r="574" spans="1:1" x14ac:dyDescent="0.25">
      <c r="A574" s="16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</f>
        <v>073, 19460710, 16.00, ////, 07</v>
      </c>
    </row>
    <row r="575" spans="1:1" x14ac:dyDescent="0.25">
      <c r="A575" s="16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</f>
        <v>073, 19460711, 08.00, ////, 07</v>
      </c>
    </row>
    <row r="576" spans="1:1" x14ac:dyDescent="0.25">
      <c r="A576" s="16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</f>
        <v>073, 19460711, 12.00, ////, 07</v>
      </c>
    </row>
    <row r="577" spans="1:1" x14ac:dyDescent="0.25">
      <c r="A577" s="16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</f>
        <v>073, 19460711, 16.00, ////, 07</v>
      </c>
    </row>
    <row r="578" spans="1:1" x14ac:dyDescent="0.25">
      <c r="A578" s="16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</f>
        <v>073, 19460712, 08.00, ////, 07</v>
      </c>
    </row>
    <row r="579" spans="1:1" x14ac:dyDescent="0.25">
      <c r="A579" s="16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</f>
        <v>073, 19460712, 12.00, ////, 07</v>
      </c>
    </row>
    <row r="580" spans="1:1" x14ac:dyDescent="0.25">
      <c r="A580" s="16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</f>
        <v>073, 19460712, 16.00, ////, 07</v>
      </c>
    </row>
    <row r="581" spans="1:1" x14ac:dyDescent="0.25">
      <c r="A581" s="16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</f>
        <v>073, 19460713, 08.00, ////, 07</v>
      </c>
    </row>
    <row r="582" spans="1:1" x14ac:dyDescent="0.25">
      <c r="A582" s="16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</f>
        <v>073, 19460713, 12.00, ////, 07</v>
      </c>
    </row>
    <row r="583" spans="1:1" x14ac:dyDescent="0.25">
      <c r="A583" s="16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</f>
        <v>073, 19460713, 16.00, ////, 07</v>
      </c>
    </row>
    <row r="584" spans="1:1" x14ac:dyDescent="0.25">
      <c r="A584" s="16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</f>
        <v>073, 19460714, 08.00, ////, 07</v>
      </c>
    </row>
    <row r="585" spans="1:1" x14ac:dyDescent="0.25">
      <c r="A585" s="16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</f>
        <v>073, 19460714, 12.00, ////, 07</v>
      </c>
    </row>
    <row r="586" spans="1:1" x14ac:dyDescent="0.25">
      <c r="A586" s="16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</f>
        <v>073, 19460714, 16.00, ////, 07</v>
      </c>
    </row>
    <row r="587" spans="1:1" x14ac:dyDescent="0.25">
      <c r="A587" s="16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</f>
        <v>073, 19460715, 08.00, ////, 07</v>
      </c>
    </row>
    <row r="588" spans="1:1" x14ac:dyDescent="0.25">
      <c r="A588" s="16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</f>
        <v>073, 19460715, 12.00, ////, 07</v>
      </c>
    </row>
    <row r="589" spans="1:1" x14ac:dyDescent="0.25">
      <c r="A589" s="16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</f>
        <v>073, 19460715, 16.00, ////, 07</v>
      </c>
    </row>
    <row r="590" spans="1:1" x14ac:dyDescent="0.25">
      <c r="A590" s="16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</f>
        <v>073, 19460716, 08.00, ////, 07</v>
      </c>
    </row>
    <row r="591" spans="1:1" x14ac:dyDescent="0.25">
      <c r="A591" s="16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</f>
        <v>073, 19460716, 12.00, ////, 07</v>
      </c>
    </row>
    <row r="592" spans="1:1" x14ac:dyDescent="0.25">
      <c r="A592" s="16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</f>
        <v>073, 19460716, 16.00, ////, 07</v>
      </c>
    </row>
    <row r="593" spans="1:1" x14ac:dyDescent="0.25">
      <c r="A593" s="16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</f>
        <v>073, 19460717, 08.00, ////, 07</v>
      </c>
    </row>
    <row r="594" spans="1:1" x14ac:dyDescent="0.25">
      <c r="A594" s="16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</f>
        <v>073, 19460717, 12.00, ////, 07</v>
      </c>
    </row>
    <row r="595" spans="1:1" x14ac:dyDescent="0.25">
      <c r="A595" s="16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</f>
        <v>073, 19460717, 16.00, ////, 07</v>
      </c>
    </row>
    <row r="596" spans="1:1" x14ac:dyDescent="0.25">
      <c r="A596" s="16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</f>
        <v>073, 19460718, 08.00, ////, 07</v>
      </c>
    </row>
    <row r="597" spans="1:1" x14ac:dyDescent="0.25">
      <c r="A597" s="16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</f>
        <v>073, 19460718, 12.00, ////, 07</v>
      </c>
    </row>
    <row r="598" spans="1:1" x14ac:dyDescent="0.25">
      <c r="A598" s="16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</f>
        <v>073, 19460718, 16.00, ////, 07</v>
      </c>
    </row>
    <row r="599" spans="1:1" x14ac:dyDescent="0.25">
      <c r="A599" s="16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</f>
        <v>073, 19460719, 08.00, ////, 07</v>
      </c>
    </row>
    <row r="600" spans="1:1" x14ac:dyDescent="0.25">
      <c r="A600" s="16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</f>
        <v>073, 19460719, 12.00, ////, 07</v>
      </c>
    </row>
    <row r="601" spans="1:1" x14ac:dyDescent="0.25">
      <c r="A601" s="16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</f>
        <v>073, 19460719, 16.00, ////, 07</v>
      </c>
    </row>
    <row r="602" spans="1:1" x14ac:dyDescent="0.25">
      <c r="A602" s="16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</f>
        <v>073, 19460720, 08.00, ////, 07</v>
      </c>
    </row>
    <row r="603" spans="1:1" x14ac:dyDescent="0.25">
      <c r="A603" s="16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</f>
        <v>073, 19460720, 12.00, ////, 07</v>
      </c>
    </row>
    <row r="604" spans="1:1" x14ac:dyDescent="0.25">
      <c r="A604" s="16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</f>
        <v>073, 19460720, 16.00, ////, 07</v>
      </c>
    </row>
    <row r="605" spans="1:1" x14ac:dyDescent="0.25">
      <c r="A605" s="16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</f>
        <v>073, 19460721, 08.00, ////, 07</v>
      </c>
    </row>
    <row r="606" spans="1:1" x14ac:dyDescent="0.25">
      <c r="A606" s="16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</f>
        <v>073, 19460721, 12.00, ////, 07</v>
      </c>
    </row>
    <row r="607" spans="1:1" x14ac:dyDescent="0.25">
      <c r="A607" s="16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</f>
        <v>073, 19460721, 16.00, ////, 07</v>
      </c>
    </row>
    <row r="608" spans="1:1" x14ac:dyDescent="0.25">
      <c r="A608" s="16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</f>
        <v>073, 19460722, 08.00, ////, 07</v>
      </c>
    </row>
    <row r="609" spans="1:1" x14ac:dyDescent="0.25">
      <c r="A609" s="16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</f>
        <v>073, 19460722, 12.00, ////, 07</v>
      </c>
    </row>
    <row r="610" spans="1:1" x14ac:dyDescent="0.25">
      <c r="A610" s="16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</f>
        <v>073, 19460722, 16.00, ////, 07</v>
      </c>
    </row>
    <row r="611" spans="1:1" x14ac:dyDescent="0.25">
      <c r="A611" s="16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</f>
        <v>073, 19460723, 08.00, ////, 07</v>
      </c>
    </row>
    <row r="612" spans="1:1" x14ac:dyDescent="0.25">
      <c r="A612" s="16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</f>
        <v>073, 19460723, 12.00, ////, 07</v>
      </c>
    </row>
    <row r="613" spans="1:1" x14ac:dyDescent="0.25">
      <c r="A613" s="16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</f>
        <v>073, 19460723, 16.00, ////, 07</v>
      </c>
    </row>
    <row r="614" spans="1:1" x14ac:dyDescent="0.25">
      <c r="A614" s="16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</f>
        <v>073, 19460724, 08.00, ////, 07</v>
      </c>
    </row>
    <row r="615" spans="1:1" x14ac:dyDescent="0.25">
      <c r="A615" s="16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</f>
        <v>073, 19460724, 12.00, ////, 07</v>
      </c>
    </row>
    <row r="616" spans="1:1" x14ac:dyDescent="0.25">
      <c r="A616" s="16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</f>
        <v>073, 19460724, 16.00, ////, 07</v>
      </c>
    </row>
    <row r="617" spans="1:1" x14ac:dyDescent="0.25">
      <c r="A617" s="16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</f>
        <v>073, 19460725, 08.00, ////, 07</v>
      </c>
    </row>
    <row r="618" spans="1:1" x14ac:dyDescent="0.25">
      <c r="A618" s="16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</f>
        <v>073, 19460725, 12.00, ////, 07</v>
      </c>
    </row>
    <row r="619" spans="1:1" x14ac:dyDescent="0.25">
      <c r="A619" s="16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</f>
        <v>073, 19460725, 16.00, ////, 07</v>
      </c>
    </row>
    <row r="620" spans="1:1" x14ac:dyDescent="0.25">
      <c r="A620" s="16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</f>
        <v>073, 19460726, 08.00, ////, 07</v>
      </c>
    </row>
    <row r="621" spans="1:1" x14ac:dyDescent="0.25">
      <c r="A621" s="16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</f>
        <v>073, 19460726, 12.00, ////, 07</v>
      </c>
    </row>
    <row r="622" spans="1:1" x14ac:dyDescent="0.25">
      <c r="A622" s="16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</f>
        <v>073, 19460726, 16.00, ////, 07</v>
      </c>
    </row>
    <row r="623" spans="1:1" x14ac:dyDescent="0.25">
      <c r="A623" s="16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</f>
        <v>073, 19460727, 08.00, ////, 07</v>
      </c>
    </row>
    <row r="624" spans="1:1" x14ac:dyDescent="0.25">
      <c r="A624" s="16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</f>
        <v>073, 19460727, 12.00, ////, 07</v>
      </c>
    </row>
    <row r="625" spans="1:1" x14ac:dyDescent="0.25">
      <c r="A625" s="16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</f>
        <v>073, 19460727, 16.00, ////, 07</v>
      </c>
    </row>
    <row r="626" spans="1:1" x14ac:dyDescent="0.25">
      <c r="A626" s="16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</f>
        <v>073, 19460728, 08.00, ////, 07</v>
      </c>
    </row>
    <row r="627" spans="1:1" x14ac:dyDescent="0.25">
      <c r="A627" s="16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</f>
        <v>073, 19460728, 12.00, ////, 07</v>
      </c>
    </row>
    <row r="628" spans="1:1" x14ac:dyDescent="0.25">
      <c r="A628" s="16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</f>
        <v>073, 19460728, 16.00, ////, 07</v>
      </c>
    </row>
    <row r="629" spans="1:1" x14ac:dyDescent="0.25">
      <c r="A629" s="16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</f>
        <v>073, 19460729, 08.00, ////, 07</v>
      </c>
    </row>
    <row r="630" spans="1:1" x14ac:dyDescent="0.25">
      <c r="A630" s="16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</f>
        <v>073, 19460729, 12.00, ////, 07</v>
      </c>
    </row>
    <row r="631" spans="1:1" x14ac:dyDescent="0.25">
      <c r="A631" s="16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</f>
        <v>073, 19460729, 16.00, ////, 07</v>
      </c>
    </row>
    <row r="632" spans="1:1" x14ac:dyDescent="0.25">
      <c r="A632" s="16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</f>
        <v>073, 19460730, 08.00, ////, 07</v>
      </c>
    </row>
    <row r="633" spans="1:1" x14ac:dyDescent="0.25">
      <c r="A633" s="16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</f>
        <v>073, 19460730, 12.00, ////, 07</v>
      </c>
    </row>
    <row r="634" spans="1:1" x14ac:dyDescent="0.25">
      <c r="A634" s="16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</f>
        <v>073, 19460730, 16.00, ////, 07</v>
      </c>
    </row>
    <row r="635" spans="1:1" x14ac:dyDescent="0.25">
      <c r="A635" s="16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</f>
        <v>073, 19460731, 08.00, ////, 07</v>
      </c>
    </row>
    <row r="636" spans="1:1" x14ac:dyDescent="0.25">
      <c r="A636" s="16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</f>
        <v>073, 19460731, 12.00, ////, 07</v>
      </c>
    </row>
    <row r="637" spans="1:1" x14ac:dyDescent="0.25">
      <c r="A637" s="16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</f>
        <v>073, 19460731, 16.00, ////, 07</v>
      </c>
    </row>
    <row r="638" spans="1:1" x14ac:dyDescent="0.25">
      <c r="A638" s="16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</f>
        <v>073, 19460801, 08.00, ////, 07</v>
      </c>
    </row>
    <row r="639" spans="1:1" x14ac:dyDescent="0.25">
      <c r="A639" s="16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</f>
        <v>073, 19460801, 12.00, ////, 07</v>
      </c>
    </row>
    <row r="640" spans="1:1" x14ac:dyDescent="0.25">
      <c r="A640" s="16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</f>
        <v>073, 19460801, 16.00, ////, 07</v>
      </c>
    </row>
    <row r="641" spans="1:1" x14ac:dyDescent="0.25">
      <c r="A641" s="16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</f>
        <v>073, 19460802, 08.00, ////, 07</v>
      </c>
    </row>
    <row r="642" spans="1:1" x14ac:dyDescent="0.25">
      <c r="A642" s="16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</f>
        <v>073, 19460802, 12.00, ////, 07</v>
      </c>
    </row>
    <row r="643" spans="1:1" x14ac:dyDescent="0.25">
      <c r="A643" s="16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</f>
        <v>073, 19460802, 16.00, ////, 07</v>
      </c>
    </row>
    <row r="644" spans="1:1" x14ac:dyDescent="0.25">
      <c r="A644" s="16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</f>
        <v>073, 19460803, 08.00, ////, 07</v>
      </c>
    </row>
    <row r="645" spans="1:1" x14ac:dyDescent="0.25">
      <c r="A645" s="16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</f>
        <v>073, 19460803, 12.00, ////, 07</v>
      </c>
    </row>
    <row r="646" spans="1:1" x14ac:dyDescent="0.25">
      <c r="A646" s="16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</f>
        <v>073, 19460803, 16.00, ////, 07</v>
      </c>
    </row>
    <row r="647" spans="1:1" x14ac:dyDescent="0.25">
      <c r="A647" s="16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</f>
        <v>073, 19460804, 08.00, ////, 07</v>
      </c>
    </row>
    <row r="648" spans="1:1" x14ac:dyDescent="0.25">
      <c r="A648" s="16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</f>
        <v>073, 19460804, 12.00, ////, 07</v>
      </c>
    </row>
    <row r="649" spans="1:1" x14ac:dyDescent="0.25">
      <c r="A649" s="16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</f>
        <v>073, 19460804, 16.00, ////, 07</v>
      </c>
    </row>
    <row r="650" spans="1:1" x14ac:dyDescent="0.25">
      <c r="A650" s="16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</f>
        <v>073, 19460805, 08.00, ////, 07</v>
      </c>
    </row>
    <row r="651" spans="1:1" x14ac:dyDescent="0.25">
      <c r="A651" s="16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</f>
        <v>073, 19460805, 12.00, ////, 07</v>
      </c>
    </row>
    <row r="652" spans="1:1" x14ac:dyDescent="0.25">
      <c r="A652" s="16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</f>
        <v>073, 19460805, 16.00, ////, 07</v>
      </c>
    </row>
    <row r="653" spans="1:1" x14ac:dyDescent="0.25">
      <c r="A653" s="16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</f>
        <v>073, 19460806, 08.00, ////, 07</v>
      </c>
    </row>
    <row r="654" spans="1:1" x14ac:dyDescent="0.25">
      <c r="A654" s="16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</f>
        <v>073, 19460806, 12.00, ////, 07</v>
      </c>
    </row>
    <row r="655" spans="1:1" x14ac:dyDescent="0.25">
      <c r="A655" s="16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</f>
        <v>073, 19460806, 16.00, ////, 07</v>
      </c>
    </row>
    <row r="656" spans="1:1" x14ac:dyDescent="0.25">
      <c r="A656" s="16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</f>
        <v>073, 19460807, 08.00, ////, 07</v>
      </c>
    </row>
    <row r="657" spans="1:1" x14ac:dyDescent="0.25">
      <c r="A657" s="16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</f>
        <v>073, 19460807, 12.00, ////, 07</v>
      </c>
    </row>
    <row r="658" spans="1:1" x14ac:dyDescent="0.25">
      <c r="A658" s="16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</f>
        <v>073, 19460807, 16.00, ////, 07</v>
      </c>
    </row>
    <row r="659" spans="1:1" x14ac:dyDescent="0.25">
      <c r="A659" s="16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</f>
        <v>073, 19460808, 08.00, ////, 07</v>
      </c>
    </row>
    <row r="660" spans="1:1" x14ac:dyDescent="0.25">
      <c r="A660" s="16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</f>
        <v>073, 19460808, 12.00, ////, 07</v>
      </c>
    </row>
    <row r="661" spans="1:1" x14ac:dyDescent="0.25">
      <c r="A661" s="16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</f>
        <v>073, 19460808, 16.00, ////, 07</v>
      </c>
    </row>
    <row r="662" spans="1:1" x14ac:dyDescent="0.25">
      <c r="A662" s="16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</f>
        <v>073, 19460809, 08.00, ////, 07</v>
      </c>
    </row>
    <row r="663" spans="1:1" x14ac:dyDescent="0.25">
      <c r="A663" s="16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</f>
        <v>073, 19460809, 12.00, ////, 07</v>
      </c>
    </row>
    <row r="664" spans="1:1" x14ac:dyDescent="0.25">
      <c r="A664" s="16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</f>
        <v>073, 19460809, 16.00, ////, 07</v>
      </c>
    </row>
    <row r="665" spans="1:1" x14ac:dyDescent="0.25">
      <c r="A665" s="16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</f>
        <v>073, 19460810, 08.00, ////, 07</v>
      </c>
    </row>
    <row r="666" spans="1:1" x14ac:dyDescent="0.25">
      <c r="A666" s="16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</f>
        <v>073, 19460810, 12.00, ////, 07</v>
      </c>
    </row>
    <row r="667" spans="1:1" x14ac:dyDescent="0.25">
      <c r="A667" s="16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</f>
        <v>073, 19460810, 16.00, ////, 07</v>
      </c>
    </row>
    <row r="668" spans="1:1" x14ac:dyDescent="0.25">
      <c r="A668" s="16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</f>
        <v>073, 19460811, 08.00, ////, 07</v>
      </c>
    </row>
    <row r="669" spans="1:1" x14ac:dyDescent="0.25">
      <c r="A669" s="16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</f>
        <v>073, 19460811, 12.00, ////, 07</v>
      </c>
    </row>
    <row r="670" spans="1:1" x14ac:dyDescent="0.25">
      <c r="A670" s="16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</f>
        <v>073, 19460811, 16.00, ////, 07</v>
      </c>
    </row>
    <row r="671" spans="1:1" x14ac:dyDescent="0.25">
      <c r="A671" s="16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</f>
        <v>073, 19460812, 08.00, ////, 07</v>
      </c>
    </row>
    <row r="672" spans="1:1" x14ac:dyDescent="0.25">
      <c r="A672" s="16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</f>
        <v>073, 19460812, 12.00, ////, 07</v>
      </c>
    </row>
    <row r="673" spans="1:1" x14ac:dyDescent="0.25">
      <c r="A673" s="16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</f>
        <v>073, 19460812, 16.00, ////, 07</v>
      </c>
    </row>
    <row r="674" spans="1:1" x14ac:dyDescent="0.25">
      <c r="A674" s="16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</f>
        <v>073, 19460813, 08.00, ////, 07</v>
      </c>
    </row>
    <row r="675" spans="1:1" x14ac:dyDescent="0.25">
      <c r="A675" s="16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</f>
        <v>073, 19460813, 12.00, ////, 07</v>
      </c>
    </row>
    <row r="676" spans="1:1" x14ac:dyDescent="0.25">
      <c r="A676" s="16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</f>
        <v>073, 19460813, 16.00, ////, 07</v>
      </c>
    </row>
    <row r="677" spans="1:1" x14ac:dyDescent="0.25">
      <c r="A677" s="16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</f>
        <v>073, 19460814, 08.00, ////, 07</v>
      </c>
    </row>
    <row r="678" spans="1:1" x14ac:dyDescent="0.25">
      <c r="A678" s="16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</f>
        <v>073, 19460814, 12.00, ////, 07</v>
      </c>
    </row>
    <row r="679" spans="1:1" x14ac:dyDescent="0.25">
      <c r="A679" s="16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</f>
        <v>073, 19460814, 16.00, ////, 07</v>
      </c>
    </row>
    <row r="680" spans="1:1" x14ac:dyDescent="0.25">
      <c r="A680" s="16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</f>
        <v>073, 19460815, 08.00, ////, 07</v>
      </c>
    </row>
    <row r="681" spans="1:1" x14ac:dyDescent="0.25">
      <c r="A681" s="16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</f>
        <v>073, 19460815, 12.00, ////, 07</v>
      </c>
    </row>
    <row r="682" spans="1:1" x14ac:dyDescent="0.25">
      <c r="A682" s="16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</f>
        <v>073, 19460815, 16.00, ////, 07</v>
      </c>
    </row>
    <row r="683" spans="1:1" x14ac:dyDescent="0.25">
      <c r="A683" s="16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</f>
        <v>073, 19460816, 08.00, ////, 07</v>
      </c>
    </row>
    <row r="684" spans="1:1" x14ac:dyDescent="0.25">
      <c r="A684" s="16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</f>
        <v>073, 19460816, 12.00, ////, 07</v>
      </c>
    </row>
    <row r="685" spans="1:1" x14ac:dyDescent="0.25">
      <c r="A685" s="16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</f>
        <v>073, 19460816, 16.00, ////, 07</v>
      </c>
    </row>
    <row r="686" spans="1:1" x14ac:dyDescent="0.25">
      <c r="A686" s="16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</f>
        <v>073, 19460817, 08.00, ////, 07</v>
      </c>
    </row>
    <row r="687" spans="1:1" x14ac:dyDescent="0.25">
      <c r="A687" s="16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</f>
        <v>073, 19460817, 12.00, ////, 07</v>
      </c>
    </row>
    <row r="688" spans="1:1" x14ac:dyDescent="0.25">
      <c r="A688" s="16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</f>
        <v>073, 19460817, 16.00, ////, 07</v>
      </c>
    </row>
    <row r="689" spans="1:1" x14ac:dyDescent="0.25">
      <c r="A689" s="16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</f>
        <v>073, 19460818, 08.00, ////, 07</v>
      </c>
    </row>
    <row r="690" spans="1:1" x14ac:dyDescent="0.25">
      <c r="A690" s="16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</f>
        <v>073, 19460818, 12.00, ////, 07</v>
      </c>
    </row>
    <row r="691" spans="1:1" x14ac:dyDescent="0.25">
      <c r="A691" s="16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</f>
        <v>073, 19460818, 16.00, ////, 07</v>
      </c>
    </row>
    <row r="692" spans="1:1" x14ac:dyDescent="0.25">
      <c r="A692" s="16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</f>
        <v>073, 19460819, 08.00, ////, 07</v>
      </c>
    </row>
    <row r="693" spans="1:1" x14ac:dyDescent="0.25">
      <c r="A693" s="16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</f>
        <v>073, 19460819, 12.00, ////, 07</v>
      </c>
    </row>
    <row r="694" spans="1:1" x14ac:dyDescent="0.25">
      <c r="A694" s="16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</f>
        <v>073, 19460819, 16.00, ////, 07</v>
      </c>
    </row>
    <row r="695" spans="1:1" x14ac:dyDescent="0.25">
      <c r="A695" s="16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</f>
        <v>073, 19460820, 08.00, ////, 07</v>
      </c>
    </row>
    <row r="696" spans="1:1" x14ac:dyDescent="0.25">
      <c r="A696" s="16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</f>
        <v>073, 19460820, 12.00, ////, 07</v>
      </c>
    </row>
    <row r="697" spans="1:1" x14ac:dyDescent="0.25">
      <c r="A697" s="16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</f>
        <v>073, 19460820, 16.00, ////, 07</v>
      </c>
    </row>
    <row r="698" spans="1:1" x14ac:dyDescent="0.25">
      <c r="A698" s="16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</f>
        <v>073, 19460821, 08.00, ////, 07</v>
      </c>
    </row>
    <row r="699" spans="1:1" x14ac:dyDescent="0.25">
      <c r="A699" s="16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</f>
        <v>073, 19460821, 12.00, ////, 07</v>
      </c>
    </row>
    <row r="700" spans="1:1" x14ac:dyDescent="0.25">
      <c r="A700" s="16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</f>
        <v>073, 19460821, 16.00, ////, 07</v>
      </c>
    </row>
    <row r="701" spans="1:1" x14ac:dyDescent="0.25">
      <c r="A701" s="16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</f>
        <v>073, 19460822, 08.00, ////, 07</v>
      </c>
    </row>
    <row r="702" spans="1:1" x14ac:dyDescent="0.25">
      <c r="A702" s="16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</f>
        <v>073, 19460822, 12.00, ////, 07</v>
      </c>
    </row>
    <row r="703" spans="1:1" x14ac:dyDescent="0.25">
      <c r="A703" s="16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</f>
        <v>073, 19460822, 16.00, ////, 07</v>
      </c>
    </row>
    <row r="704" spans="1:1" x14ac:dyDescent="0.25">
      <c r="A704" s="16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</f>
        <v>073, 19460823, 08.00, ////, 07</v>
      </c>
    </row>
    <row r="705" spans="1:1" x14ac:dyDescent="0.25">
      <c r="A705" s="16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</f>
        <v>073, 19460823, 12.00, ////, 07</v>
      </c>
    </row>
    <row r="706" spans="1:1" x14ac:dyDescent="0.25">
      <c r="A706" s="16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</f>
        <v>073, 19460823, 16.00, ////, 07</v>
      </c>
    </row>
    <row r="707" spans="1:1" x14ac:dyDescent="0.25">
      <c r="A707" s="16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</f>
        <v>073, 19460824, 08.00, ////, 07</v>
      </c>
    </row>
    <row r="708" spans="1:1" x14ac:dyDescent="0.25">
      <c r="A708" s="16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</f>
        <v>073, 19460824, 12.00, ////, 07</v>
      </c>
    </row>
    <row r="709" spans="1:1" x14ac:dyDescent="0.25">
      <c r="A709" s="16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</f>
        <v>073, 19460824, 16.00, ////, 07</v>
      </c>
    </row>
    <row r="710" spans="1:1" x14ac:dyDescent="0.25">
      <c r="A710" s="16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</f>
        <v>073, 19460825, 08.00, ////, 07</v>
      </c>
    </row>
    <row r="711" spans="1:1" x14ac:dyDescent="0.25">
      <c r="A711" s="16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</f>
        <v>073, 19460825, 12.00, ////, 07</v>
      </c>
    </row>
    <row r="712" spans="1:1" x14ac:dyDescent="0.25">
      <c r="A712" s="16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</f>
        <v>073, 19460825, 16.00, ////, 07</v>
      </c>
    </row>
    <row r="713" spans="1:1" x14ac:dyDescent="0.25">
      <c r="A713" s="16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</f>
        <v>073, 19460826, 08.00, ////, 07</v>
      </c>
    </row>
    <row r="714" spans="1:1" x14ac:dyDescent="0.25">
      <c r="A714" s="16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</f>
        <v>073, 19460826, 12.00, ////, 07</v>
      </c>
    </row>
    <row r="715" spans="1:1" x14ac:dyDescent="0.25">
      <c r="A715" s="16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</f>
        <v>073, 19460826, 16.00, ////, 07</v>
      </c>
    </row>
    <row r="716" spans="1:1" x14ac:dyDescent="0.25">
      <c r="A716" s="16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</f>
        <v>073, 19460827, 08.00, ////, 07</v>
      </c>
    </row>
    <row r="717" spans="1:1" x14ac:dyDescent="0.25">
      <c r="A717" s="16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</f>
        <v>073, 19460827, 12.00, ////, 07</v>
      </c>
    </row>
    <row r="718" spans="1:1" x14ac:dyDescent="0.25">
      <c r="A718" s="16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</f>
        <v>073, 19460827, 16.00, ////, 07</v>
      </c>
    </row>
    <row r="719" spans="1:1" x14ac:dyDescent="0.25">
      <c r="A719" s="16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</f>
        <v>073, 19460828, 08.00, ////, 07</v>
      </c>
    </row>
    <row r="720" spans="1:1" x14ac:dyDescent="0.25">
      <c r="A720" s="16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</f>
        <v>073, 19460828, 12.00, ////, 07</v>
      </c>
    </row>
    <row r="721" spans="1:1" x14ac:dyDescent="0.25">
      <c r="A721" s="16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</f>
        <v>073, 19460828, 16.00, ////, 07</v>
      </c>
    </row>
    <row r="722" spans="1:1" x14ac:dyDescent="0.25">
      <c r="A722" s="16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</f>
        <v>073, 19460829, 08.00, ////, 07</v>
      </c>
    </row>
    <row r="723" spans="1:1" x14ac:dyDescent="0.25">
      <c r="A723" s="16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</f>
        <v>073, 19460829, 12.00, ////, 07</v>
      </c>
    </row>
    <row r="724" spans="1:1" x14ac:dyDescent="0.25">
      <c r="A724" s="16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</f>
        <v>073, 19460829, 16.00, ////, 07</v>
      </c>
    </row>
    <row r="725" spans="1:1" x14ac:dyDescent="0.25">
      <c r="A725" s="16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</f>
        <v>073, 19460830, 08.00, ////, 07</v>
      </c>
    </row>
    <row r="726" spans="1:1" x14ac:dyDescent="0.25">
      <c r="A726" s="16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</f>
        <v>073, 19460830, 12.00, ////, 07</v>
      </c>
    </row>
    <row r="727" spans="1:1" x14ac:dyDescent="0.25">
      <c r="A727" s="16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</f>
        <v>073, 19460830, 16.00, ////, 07</v>
      </c>
    </row>
    <row r="728" spans="1:1" x14ac:dyDescent="0.25">
      <c r="A728" s="16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</f>
        <v>073, 19460831, 08.00, ////, 07</v>
      </c>
    </row>
    <row r="729" spans="1:1" x14ac:dyDescent="0.25">
      <c r="A729" s="16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</f>
        <v>073, 19460831, 12.00, ////, 07</v>
      </c>
    </row>
    <row r="730" spans="1:1" x14ac:dyDescent="0.25">
      <c r="A730" s="16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</f>
        <v>073, 19460831, 16.00, ////, 07</v>
      </c>
    </row>
    <row r="731" spans="1:1" x14ac:dyDescent="0.25">
      <c r="A731" s="16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</f>
        <v>073, 19460901, 08.00, ////, 07</v>
      </c>
    </row>
    <row r="732" spans="1:1" x14ac:dyDescent="0.25">
      <c r="A732" s="16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</f>
        <v>073, 19460901, 12.00, ////, 07</v>
      </c>
    </row>
    <row r="733" spans="1:1" x14ac:dyDescent="0.25">
      <c r="A733" s="16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</f>
        <v>073, 19460901, 16.00, ////, 07</v>
      </c>
    </row>
    <row r="734" spans="1:1" x14ac:dyDescent="0.25">
      <c r="A734" s="16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</f>
        <v>073, 19460902, 08.00, ////, 07</v>
      </c>
    </row>
    <row r="735" spans="1:1" x14ac:dyDescent="0.25">
      <c r="A735" s="16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</f>
        <v>073, 19460902, 12.00, ////, 07</v>
      </c>
    </row>
    <row r="736" spans="1:1" x14ac:dyDescent="0.25">
      <c r="A736" s="16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</f>
        <v>073, 19460902, 16.00, ////, 07</v>
      </c>
    </row>
    <row r="737" spans="1:1" x14ac:dyDescent="0.25">
      <c r="A737" s="16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</f>
        <v>073, 19460903, 08.00, ////, 07</v>
      </c>
    </row>
    <row r="738" spans="1:1" x14ac:dyDescent="0.25">
      <c r="A738" s="16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</f>
        <v>073, 19460903, 12.00, ////, 07</v>
      </c>
    </row>
    <row r="739" spans="1:1" x14ac:dyDescent="0.25">
      <c r="A739" s="16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</f>
        <v>073, 19460903, 16.00, ////, 07</v>
      </c>
    </row>
    <row r="740" spans="1:1" x14ac:dyDescent="0.25">
      <c r="A740" s="16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</f>
        <v>073, 19460904, 08.00, ////, 07</v>
      </c>
    </row>
    <row r="741" spans="1:1" x14ac:dyDescent="0.25">
      <c r="A741" s="16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</f>
        <v>073, 19460904, 12.00, ////, 07</v>
      </c>
    </row>
    <row r="742" spans="1:1" x14ac:dyDescent="0.25">
      <c r="A742" s="16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</f>
        <v>073, 19460904, 16.00, ////, 07</v>
      </c>
    </row>
    <row r="743" spans="1:1" x14ac:dyDescent="0.25">
      <c r="A743" s="16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</f>
        <v>073, 19460905, 08.00, ////, 07</v>
      </c>
    </row>
    <row r="744" spans="1:1" x14ac:dyDescent="0.25">
      <c r="A744" s="16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</f>
        <v>073, 19460905, 12.00, ////, 07</v>
      </c>
    </row>
    <row r="745" spans="1:1" x14ac:dyDescent="0.25">
      <c r="A745" s="16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</f>
        <v>073, 19460905, 16.00, ////, 07</v>
      </c>
    </row>
    <row r="746" spans="1:1" x14ac:dyDescent="0.25">
      <c r="A746" s="16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</f>
        <v>073, 19460906, 08.00, ////, 07</v>
      </c>
    </row>
    <row r="747" spans="1:1" x14ac:dyDescent="0.25">
      <c r="A747" s="16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</f>
        <v>073, 19460906, 12.00, ////, 07</v>
      </c>
    </row>
    <row r="748" spans="1:1" x14ac:dyDescent="0.25">
      <c r="A748" s="16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</f>
        <v>073, 19460906, 16.00, ////, 07</v>
      </c>
    </row>
    <row r="749" spans="1:1" x14ac:dyDescent="0.25">
      <c r="A749" s="16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</f>
        <v>073, 19460907, 08.00, ////, 07</v>
      </c>
    </row>
    <row r="750" spans="1:1" x14ac:dyDescent="0.25">
      <c r="A750" s="16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</f>
        <v>073, 19460907, 12.00, ////, 07</v>
      </c>
    </row>
    <row r="751" spans="1:1" x14ac:dyDescent="0.25">
      <c r="A751" s="16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</f>
        <v>073, 19460907, 16.00, ////, 07</v>
      </c>
    </row>
    <row r="752" spans="1:1" x14ac:dyDescent="0.25">
      <c r="A752" s="16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</f>
        <v>073, 19460908, 08.00, ////, 07</v>
      </c>
    </row>
    <row r="753" spans="1:1" x14ac:dyDescent="0.25">
      <c r="A753" s="16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</f>
        <v>073, 19460908, 12.00, ////, 07</v>
      </c>
    </row>
    <row r="754" spans="1:1" x14ac:dyDescent="0.25">
      <c r="A754" s="16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</f>
        <v>073, 19460908, 16.00, ////, 07</v>
      </c>
    </row>
    <row r="755" spans="1:1" x14ac:dyDescent="0.25">
      <c r="A755" s="16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</f>
        <v>073, 19460909, 08.00, ////, 07</v>
      </c>
    </row>
    <row r="756" spans="1:1" x14ac:dyDescent="0.25">
      <c r="A756" s="16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</f>
        <v>073, 19460909, 12.00, ////, 07</v>
      </c>
    </row>
    <row r="757" spans="1:1" x14ac:dyDescent="0.25">
      <c r="A757" s="16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</f>
        <v>073, 19460909, 16.00, ////, 07</v>
      </c>
    </row>
    <row r="758" spans="1:1" x14ac:dyDescent="0.25">
      <c r="A758" s="16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</f>
        <v>073, 19460910, 08.00, ////, 07</v>
      </c>
    </row>
    <row r="759" spans="1:1" x14ac:dyDescent="0.25">
      <c r="A759" s="16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</f>
        <v>073, 19460910, 12.00, ////, 07</v>
      </c>
    </row>
    <row r="760" spans="1:1" x14ac:dyDescent="0.25">
      <c r="A760" s="16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</f>
        <v>073, 19460910, 16.00, ////, 07</v>
      </c>
    </row>
    <row r="761" spans="1:1" x14ac:dyDescent="0.25">
      <c r="A761" s="16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</f>
        <v>073, 19460911, 08.00, ////, 07</v>
      </c>
    </row>
    <row r="762" spans="1:1" x14ac:dyDescent="0.25">
      <c r="A762" s="16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</f>
        <v>073, 19460911, 12.00, ////, 07</v>
      </c>
    </row>
    <row r="763" spans="1:1" x14ac:dyDescent="0.25">
      <c r="A763" s="16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</f>
        <v>073, 19460911, 16.00, ////, 07</v>
      </c>
    </row>
    <row r="764" spans="1:1" x14ac:dyDescent="0.25">
      <c r="A764" s="16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</f>
        <v>073, 19460912, 08.00, ////, 07</v>
      </c>
    </row>
    <row r="765" spans="1:1" x14ac:dyDescent="0.25">
      <c r="A765" s="16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</f>
        <v>073, 19460912, 12.00, ////, 07</v>
      </c>
    </row>
    <row r="766" spans="1:1" x14ac:dyDescent="0.25">
      <c r="A766" s="16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</f>
        <v>073, 19460912, 16.00, ////, 07</v>
      </c>
    </row>
    <row r="767" spans="1:1" x14ac:dyDescent="0.25">
      <c r="A767" s="16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</f>
        <v>073, 19460913, 08.00, ////, 07</v>
      </c>
    </row>
    <row r="768" spans="1:1" x14ac:dyDescent="0.25">
      <c r="A768" s="16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</f>
        <v>073, 19460913, 12.00, ////, 07</v>
      </c>
    </row>
    <row r="769" spans="1:1" x14ac:dyDescent="0.25">
      <c r="A769" s="16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</f>
        <v>073, 19460913, 16.00, ////, 07</v>
      </c>
    </row>
    <row r="770" spans="1:1" x14ac:dyDescent="0.25">
      <c r="A770" s="16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</f>
        <v>073, 19460914, 08.00, ////, 07</v>
      </c>
    </row>
    <row r="771" spans="1:1" x14ac:dyDescent="0.25">
      <c r="A771" s="16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</f>
        <v>073, 19460914, 12.00, ////, 07</v>
      </c>
    </row>
    <row r="772" spans="1:1" x14ac:dyDescent="0.25">
      <c r="A772" s="16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</f>
        <v>073, 19460914, 16.00, ////, 07</v>
      </c>
    </row>
    <row r="773" spans="1:1" x14ac:dyDescent="0.25">
      <c r="A773" s="16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</f>
        <v>073, 19460915, 08.00, ////, 07</v>
      </c>
    </row>
    <row r="774" spans="1:1" x14ac:dyDescent="0.25">
      <c r="A774" s="16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</f>
        <v>073, 19460915, 12.00, ////, 07</v>
      </c>
    </row>
    <row r="775" spans="1:1" x14ac:dyDescent="0.25">
      <c r="A775" s="16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</f>
        <v>073, 19460915, 16.00, ////, 07</v>
      </c>
    </row>
    <row r="776" spans="1:1" x14ac:dyDescent="0.25">
      <c r="A776" s="16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</f>
        <v>073, 19460916, 08.00, ////, 07</v>
      </c>
    </row>
    <row r="777" spans="1:1" x14ac:dyDescent="0.25">
      <c r="A777" s="16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</f>
        <v>073, 19460916, 12.00, ////, 07</v>
      </c>
    </row>
    <row r="778" spans="1:1" x14ac:dyDescent="0.25">
      <c r="A778" s="16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</f>
        <v>073, 19460916, 16.00, ////, 07</v>
      </c>
    </row>
    <row r="779" spans="1:1" x14ac:dyDescent="0.25">
      <c r="A779" s="16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</f>
        <v>073, 19460917, 08.00, ////, 07</v>
      </c>
    </row>
    <row r="780" spans="1:1" x14ac:dyDescent="0.25">
      <c r="A780" s="16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</f>
        <v>073, 19460917, 12.00, ////, 07</v>
      </c>
    </row>
    <row r="781" spans="1:1" x14ac:dyDescent="0.25">
      <c r="A781" s="16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</f>
        <v>073, 19460917, 16.00, ////, 07</v>
      </c>
    </row>
    <row r="782" spans="1:1" x14ac:dyDescent="0.25">
      <c r="A782" s="16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</f>
        <v>073, 19460918, 08.00, ////, 07</v>
      </c>
    </row>
    <row r="783" spans="1:1" x14ac:dyDescent="0.25">
      <c r="A783" s="16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</f>
        <v>073, 19460918, 12.00, ////, 07</v>
      </c>
    </row>
    <row r="784" spans="1:1" x14ac:dyDescent="0.25">
      <c r="A784" s="16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</f>
        <v>073, 19460918, 16.00, ////, 07</v>
      </c>
    </row>
    <row r="785" spans="1:1" x14ac:dyDescent="0.25">
      <c r="A785" s="16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</f>
        <v>073, 19460919, 08.00, ////, 07</v>
      </c>
    </row>
    <row r="786" spans="1:1" x14ac:dyDescent="0.25">
      <c r="A786" s="16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</f>
        <v>073, 19460919, 12.00, ////, 07</v>
      </c>
    </row>
    <row r="787" spans="1:1" x14ac:dyDescent="0.25">
      <c r="A787" s="16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</f>
        <v>073, 19460919, 16.00, ////, 07</v>
      </c>
    </row>
    <row r="788" spans="1:1" x14ac:dyDescent="0.25">
      <c r="A788" s="16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</f>
        <v>073, 19460920, 08.00, ////, 07</v>
      </c>
    </row>
    <row r="789" spans="1:1" x14ac:dyDescent="0.25">
      <c r="A789" s="16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</f>
        <v>073, 19460920, 12.00, ////, 07</v>
      </c>
    </row>
    <row r="790" spans="1:1" x14ac:dyDescent="0.25">
      <c r="A790" s="16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</f>
        <v>073, 19460920, 16.00, ////, 07</v>
      </c>
    </row>
    <row r="791" spans="1:1" x14ac:dyDescent="0.25">
      <c r="A791" s="16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</f>
        <v>073, 19460921, 08.00, ////, 07</v>
      </c>
    </row>
    <row r="792" spans="1:1" x14ac:dyDescent="0.25">
      <c r="A792" s="16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</f>
        <v>073, 19460921, 12.00, ////, 07</v>
      </c>
    </row>
    <row r="793" spans="1:1" x14ac:dyDescent="0.25">
      <c r="A793" s="16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</f>
        <v>073, 19460921, 16.00, ////, 07</v>
      </c>
    </row>
    <row r="794" spans="1:1" x14ac:dyDescent="0.25">
      <c r="A794" s="16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</f>
        <v>073, 19460922, 08.00, ////, 07</v>
      </c>
    </row>
    <row r="795" spans="1:1" x14ac:dyDescent="0.25">
      <c r="A795" s="16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</f>
        <v>073, 19460922, 12.00, ////, 07</v>
      </c>
    </row>
    <row r="796" spans="1:1" x14ac:dyDescent="0.25">
      <c r="A796" s="16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</f>
        <v>073, 19460922, 16.00, ////, 07</v>
      </c>
    </row>
    <row r="797" spans="1:1" x14ac:dyDescent="0.25">
      <c r="A797" s="16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</f>
        <v>073, 19460923, 08.00, ////, 07</v>
      </c>
    </row>
    <row r="798" spans="1:1" x14ac:dyDescent="0.25">
      <c r="A798" s="16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</f>
        <v>073, 19460923, 12.00, ////, 07</v>
      </c>
    </row>
    <row r="799" spans="1:1" x14ac:dyDescent="0.25">
      <c r="A799" s="16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</f>
        <v>073, 19460923, 16.00, ////, 07</v>
      </c>
    </row>
    <row r="800" spans="1:1" x14ac:dyDescent="0.25">
      <c r="A800" s="16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</f>
        <v>073, 19460924, 08.00, ////, 07</v>
      </c>
    </row>
    <row r="801" spans="1:1" x14ac:dyDescent="0.25">
      <c r="A801" s="16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</f>
        <v>073, 19460924, 12.00, ////, 07</v>
      </c>
    </row>
    <row r="802" spans="1:1" x14ac:dyDescent="0.25">
      <c r="A802" s="16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</f>
        <v>073, 19460924, 16.00, ////, 07</v>
      </c>
    </row>
    <row r="803" spans="1:1" x14ac:dyDescent="0.25">
      <c r="A803" s="16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</f>
        <v>073, 19460925, 08.00, ////, 07</v>
      </c>
    </row>
    <row r="804" spans="1:1" x14ac:dyDescent="0.25">
      <c r="A804" s="16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</f>
        <v>073, 19460925, 12.00, ////, 07</v>
      </c>
    </row>
    <row r="805" spans="1:1" x14ac:dyDescent="0.25">
      <c r="A805" s="16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</f>
        <v>073, 19460925, 16.00, ////, 07</v>
      </c>
    </row>
    <row r="806" spans="1:1" x14ac:dyDescent="0.25">
      <c r="A806" s="16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</f>
        <v>073, 19460926, 08.00, ////, 07</v>
      </c>
    </row>
    <row r="807" spans="1:1" x14ac:dyDescent="0.25">
      <c r="A807" s="16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</f>
        <v>073, 19460926, 12.00, ////, 07</v>
      </c>
    </row>
    <row r="808" spans="1:1" x14ac:dyDescent="0.25">
      <c r="A808" s="16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</f>
        <v>073, 19460926, 16.00, ////, 07</v>
      </c>
    </row>
    <row r="809" spans="1:1" x14ac:dyDescent="0.25">
      <c r="A809" s="16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</f>
        <v>073, 19460927, 08.00, ////, 07</v>
      </c>
    </row>
    <row r="810" spans="1:1" x14ac:dyDescent="0.25">
      <c r="A810" s="16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</f>
        <v>073, 19460927, 12.00, ////, 07</v>
      </c>
    </row>
    <row r="811" spans="1:1" x14ac:dyDescent="0.25">
      <c r="A811" s="16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</f>
        <v>073, 19460927, 16.00, ////, 07</v>
      </c>
    </row>
    <row r="812" spans="1:1" x14ac:dyDescent="0.25">
      <c r="A812" s="16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</f>
        <v>073, 19460928, 08.00, ////, 07</v>
      </c>
    </row>
    <row r="813" spans="1:1" x14ac:dyDescent="0.25">
      <c r="A813" s="16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</f>
        <v>073, 19460928, 12.00, ////, 07</v>
      </c>
    </row>
    <row r="814" spans="1:1" x14ac:dyDescent="0.25">
      <c r="A814" s="16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</f>
        <v>073, 19460928, 16.00, ////, 07</v>
      </c>
    </row>
    <row r="815" spans="1:1" x14ac:dyDescent="0.25">
      <c r="A815" s="16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</f>
        <v>073, 19460929, 08.00, ////, 07</v>
      </c>
    </row>
    <row r="816" spans="1:1" x14ac:dyDescent="0.25">
      <c r="A816" s="16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</f>
        <v>073, 19460929, 12.00, ////, 07</v>
      </c>
    </row>
    <row r="817" spans="1:1" x14ac:dyDescent="0.25">
      <c r="A817" s="16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</f>
        <v>073, 19460929, 16.00, ////, 07</v>
      </c>
    </row>
    <row r="818" spans="1:1" x14ac:dyDescent="0.25">
      <c r="A818" s="16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</f>
        <v>073, 19460930, 08.00, ////, 07</v>
      </c>
    </row>
    <row r="819" spans="1:1" x14ac:dyDescent="0.25">
      <c r="A819" s="16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</f>
        <v>073, 19460930, 12.00, ////, 07</v>
      </c>
    </row>
    <row r="820" spans="1:1" x14ac:dyDescent="0.25">
      <c r="A820" s="16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</f>
        <v>073, 19460930, 16.00, ////, 07</v>
      </c>
    </row>
    <row r="821" spans="1:1" x14ac:dyDescent="0.25">
      <c r="A821" s="16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</f>
        <v>073, 19461001, 08.00, ////, 07</v>
      </c>
    </row>
    <row r="822" spans="1:1" x14ac:dyDescent="0.25">
      <c r="A822" s="16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</f>
        <v>073, 19461001, 12.00, ////, 07</v>
      </c>
    </row>
    <row r="823" spans="1:1" x14ac:dyDescent="0.25">
      <c r="A823" s="16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</f>
        <v>073, 19461001, 16.00, ////, 07</v>
      </c>
    </row>
    <row r="824" spans="1:1" x14ac:dyDescent="0.25">
      <c r="A824" s="16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</f>
        <v>073, 19461002, 08.00, ////, 07</v>
      </c>
    </row>
    <row r="825" spans="1:1" x14ac:dyDescent="0.25">
      <c r="A825" s="16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</f>
        <v>073, 19461002, 12.00, ////, 07</v>
      </c>
    </row>
    <row r="826" spans="1:1" x14ac:dyDescent="0.25">
      <c r="A826" s="16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</f>
        <v>073, 19461002, 16.00, ////, 07</v>
      </c>
    </row>
    <row r="827" spans="1:1" x14ac:dyDescent="0.25">
      <c r="A827" s="16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</f>
        <v>073, 19461003, 08.00, ////, 07</v>
      </c>
    </row>
    <row r="828" spans="1:1" x14ac:dyDescent="0.25">
      <c r="A828" s="16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</f>
        <v>073, 19461003, 12.00, ////, 07</v>
      </c>
    </row>
    <row r="829" spans="1:1" x14ac:dyDescent="0.25">
      <c r="A829" s="16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</f>
        <v>073, 19461003, 16.00, ////, 07</v>
      </c>
    </row>
    <row r="830" spans="1:1" x14ac:dyDescent="0.25">
      <c r="A830" s="16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</f>
        <v>073, 19461004, 08.00, ////, 07</v>
      </c>
    </row>
    <row r="831" spans="1:1" x14ac:dyDescent="0.25">
      <c r="A831" s="16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</f>
        <v>073, 19461004, 12.00, ////, 07</v>
      </c>
    </row>
    <row r="832" spans="1:1" x14ac:dyDescent="0.25">
      <c r="A832" s="16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</f>
        <v>073, 19461004, 16.00, ////, 07</v>
      </c>
    </row>
    <row r="833" spans="1:1" x14ac:dyDescent="0.25">
      <c r="A833" s="16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</f>
        <v>073, 19461005, 08.00, ////, 07</v>
      </c>
    </row>
    <row r="834" spans="1:1" x14ac:dyDescent="0.25">
      <c r="A834" s="16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</f>
        <v>073, 19461005, 12.00, ////, 07</v>
      </c>
    </row>
    <row r="835" spans="1:1" x14ac:dyDescent="0.25">
      <c r="A835" s="16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</f>
        <v>073, 19461005, 16.00, ////, 07</v>
      </c>
    </row>
    <row r="836" spans="1:1" x14ac:dyDescent="0.25">
      <c r="A836" s="16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</f>
        <v>073, 19461006, 08.00, ////, 07</v>
      </c>
    </row>
    <row r="837" spans="1:1" x14ac:dyDescent="0.25">
      <c r="A837" s="16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</f>
        <v>073, 19461006, 12.00, ////, 07</v>
      </c>
    </row>
    <row r="838" spans="1:1" x14ac:dyDescent="0.25">
      <c r="A838" s="16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</f>
        <v>073, 19461006, 16.00, ////, 07</v>
      </c>
    </row>
    <row r="839" spans="1:1" x14ac:dyDescent="0.25">
      <c r="A839" s="16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</f>
        <v>073, 19461007, 08.00, ////, 07</v>
      </c>
    </row>
    <row r="840" spans="1:1" x14ac:dyDescent="0.25">
      <c r="A840" s="16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</f>
        <v>073, 19461007, 12.00, ////, 07</v>
      </c>
    </row>
    <row r="841" spans="1:1" x14ac:dyDescent="0.25">
      <c r="A841" s="16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</f>
        <v>073, 19461007, 16.00, ////, 07</v>
      </c>
    </row>
    <row r="842" spans="1:1" x14ac:dyDescent="0.25">
      <c r="A842" s="16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</f>
        <v>073, 19461008, 08.00, ////, 07</v>
      </c>
    </row>
    <row r="843" spans="1:1" x14ac:dyDescent="0.25">
      <c r="A843" s="16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</f>
        <v>073, 19461008, 12.00, ////, 07</v>
      </c>
    </row>
    <row r="844" spans="1:1" x14ac:dyDescent="0.25">
      <c r="A844" s="16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</f>
        <v>073, 19461008, 16.00, ////, 07</v>
      </c>
    </row>
    <row r="845" spans="1:1" x14ac:dyDescent="0.25">
      <c r="A845" s="16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</f>
        <v>073, 19461009, 08.00, ////, 07</v>
      </c>
    </row>
    <row r="846" spans="1:1" x14ac:dyDescent="0.25">
      <c r="A846" s="16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</f>
        <v>073, 19461009, 12.00, ////, 07</v>
      </c>
    </row>
    <row r="847" spans="1:1" x14ac:dyDescent="0.25">
      <c r="A847" s="16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</f>
        <v>073, 19461009, 16.00, ////, 07</v>
      </c>
    </row>
    <row r="848" spans="1:1" x14ac:dyDescent="0.25">
      <c r="A848" s="16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</f>
        <v>073, 19461010, 08.00, ////, 07</v>
      </c>
    </row>
    <row r="849" spans="1:1" x14ac:dyDescent="0.25">
      <c r="A849" s="16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</f>
        <v>073, 19461010, 12.00, ////, 07</v>
      </c>
    </row>
    <row r="850" spans="1:1" x14ac:dyDescent="0.25">
      <c r="A850" s="16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</f>
        <v>073, 19461010, 16.00, ////, 07</v>
      </c>
    </row>
    <row r="851" spans="1:1" x14ac:dyDescent="0.25">
      <c r="A851" s="16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</f>
        <v>073, 19461011, 08.00, ////, 07</v>
      </c>
    </row>
    <row r="852" spans="1:1" x14ac:dyDescent="0.25">
      <c r="A852" s="16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</f>
        <v>073, 19461011, 12.00, ////, 07</v>
      </c>
    </row>
    <row r="853" spans="1:1" x14ac:dyDescent="0.25">
      <c r="A853" s="16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</f>
        <v>073, 19461011, 16.00, ////, 07</v>
      </c>
    </row>
    <row r="854" spans="1:1" x14ac:dyDescent="0.25">
      <c r="A854" s="16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</f>
        <v>073, 19461012, 08.00, ////, 07</v>
      </c>
    </row>
    <row r="855" spans="1:1" x14ac:dyDescent="0.25">
      <c r="A855" s="16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</f>
        <v>073, 19461012, 12.00, ////, 07</v>
      </c>
    </row>
    <row r="856" spans="1:1" x14ac:dyDescent="0.25">
      <c r="A856" s="16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</f>
        <v>073, 19461012, 16.00, ////, 07</v>
      </c>
    </row>
    <row r="857" spans="1:1" x14ac:dyDescent="0.25">
      <c r="A857" s="16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</f>
        <v>073, 19461013, 08.00, ////, 07</v>
      </c>
    </row>
    <row r="858" spans="1:1" x14ac:dyDescent="0.25">
      <c r="A858" s="16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</f>
        <v>073, 19461013, 12.00, ////, 07</v>
      </c>
    </row>
    <row r="859" spans="1:1" x14ac:dyDescent="0.25">
      <c r="A859" s="16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</f>
        <v>073, 19461013, 16.00, ////, 07</v>
      </c>
    </row>
    <row r="860" spans="1:1" x14ac:dyDescent="0.25">
      <c r="A860" s="16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</f>
        <v>073, 19461014, 08.00, ////, 07</v>
      </c>
    </row>
    <row r="861" spans="1:1" x14ac:dyDescent="0.25">
      <c r="A861" s="16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</f>
        <v>073, 19461014, 12.00, ////, 07</v>
      </c>
    </row>
    <row r="862" spans="1:1" x14ac:dyDescent="0.25">
      <c r="A862" s="16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</f>
        <v>073, 19461014, 16.00, ////, 07</v>
      </c>
    </row>
    <row r="863" spans="1:1" x14ac:dyDescent="0.25">
      <c r="A863" s="16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</f>
        <v>073, 19461015, 08.00, ////, 07</v>
      </c>
    </row>
    <row r="864" spans="1:1" x14ac:dyDescent="0.25">
      <c r="A864" s="16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</f>
        <v>073, 19461015, 12.00, ////, 07</v>
      </c>
    </row>
    <row r="865" spans="1:1" x14ac:dyDescent="0.25">
      <c r="A865" s="16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</f>
        <v>073, 19461015, 16.00, ////, 07</v>
      </c>
    </row>
    <row r="866" spans="1:1" x14ac:dyDescent="0.25">
      <c r="A866" s="16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</f>
        <v>073, 19461016, 08.00, ////, 07</v>
      </c>
    </row>
    <row r="867" spans="1:1" x14ac:dyDescent="0.25">
      <c r="A867" s="16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</f>
        <v>073, 19461016, 12.00, ////, 07</v>
      </c>
    </row>
    <row r="868" spans="1:1" x14ac:dyDescent="0.25">
      <c r="A868" s="16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</f>
        <v>073, 19461016, 16.00, ////, 07</v>
      </c>
    </row>
    <row r="869" spans="1:1" x14ac:dyDescent="0.25">
      <c r="A869" s="16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</f>
        <v>073, 19461017, 08.00, ////, 07</v>
      </c>
    </row>
    <row r="870" spans="1:1" x14ac:dyDescent="0.25">
      <c r="A870" s="16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</f>
        <v>073, 19461017, 12.00, ////, 07</v>
      </c>
    </row>
    <row r="871" spans="1:1" x14ac:dyDescent="0.25">
      <c r="A871" s="16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</f>
        <v>073, 19461017, 16.00, ////, 07</v>
      </c>
    </row>
    <row r="872" spans="1:1" x14ac:dyDescent="0.25">
      <c r="A872" s="16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</f>
        <v>073, 19461018, 08.00, ////, 07</v>
      </c>
    </row>
    <row r="873" spans="1:1" x14ac:dyDescent="0.25">
      <c r="A873" s="16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</f>
        <v>073, 19461018, 12.00, ////, 07</v>
      </c>
    </row>
    <row r="874" spans="1:1" x14ac:dyDescent="0.25">
      <c r="A874" s="16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</f>
        <v>073, 19461018, 16.00, ////, 07</v>
      </c>
    </row>
    <row r="875" spans="1:1" x14ac:dyDescent="0.25">
      <c r="A875" s="16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</f>
        <v>073, 19461019, 08.00, ////, 07</v>
      </c>
    </row>
    <row r="876" spans="1:1" x14ac:dyDescent="0.25">
      <c r="A876" s="16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</f>
        <v>073, 19461019, 12.00, ////, 07</v>
      </c>
    </row>
    <row r="877" spans="1:1" x14ac:dyDescent="0.25">
      <c r="A877" s="16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</f>
        <v>073, 19461019, 16.00, ////, 07</v>
      </c>
    </row>
    <row r="878" spans="1:1" x14ac:dyDescent="0.25">
      <c r="A878" s="16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</f>
        <v>073, 19461020, 08.00, ////, 07</v>
      </c>
    </row>
    <row r="879" spans="1:1" x14ac:dyDescent="0.25">
      <c r="A879" s="16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</f>
        <v>073, 19461020, 12.00, ////, 07</v>
      </c>
    </row>
    <row r="880" spans="1:1" x14ac:dyDescent="0.25">
      <c r="A880" s="16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</f>
        <v>073, 19461020, 16.00, ////, 07</v>
      </c>
    </row>
    <row r="881" spans="1:1" x14ac:dyDescent="0.25">
      <c r="A881" s="16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</f>
        <v>073, 19461021, 08.00, ////, 07</v>
      </c>
    </row>
    <row r="882" spans="1:1" x14ac:dyDescent="0.25">
      <c r="A882" s="16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</f>
        <v>073, 19461021, 12.00, ////, 07</v>
      </c>
    </row>
    <row r="883" spans="1:1" x14ac:dyDescent="0.25">
      <c r="A883" s="16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</f>
        <v>073, 19461021, 16.00, ////, 07</v>
      </c>
    </row>
    <row r="884" spans="1:1" x14ac:dyDescent="0.25">
      <c r="A884" s="16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</f>
        <v>073, 19461022, 08.00, ////, 07</v>
      </c>
    </row>
    <row r="885" spans="1:1" x14ac:dyDescent="0.25">
      <c r="A885" s="16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</f>
        <v>073, 19461022, 12.00, ////, 07</v>
      </c>
    </row>
    <row r="886" spans="1:1" x14ac:dyDescent="0.25">
      <c r="A886" s="16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</f>
        <v>073, 19461022, 16.00, ////, 07</v>
      </c>
    </row>
    <row r="887" spans="1:1" x14ac:dyDescent="0.25">
      <c r="A887" s="16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</f>
        <v>073, 19461023, 08.00, ////, 07</v>
      </c>
    </row>
    <row r="888" spans="1:1" x14ac:dyDescent="0.25">
      <c r="A888" s="16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</f>
        <v>073, 19461023, 12.00, ////, 07</v>
      </c>
    </row>
    <row r="889" spans="1:1" x14ac:dyDescent="0.25">
      <c r="A889" s="16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</f>
        <v>073, 19461023, 16.00, ////, 07</v>
      </c>
    </row>
    <row r="890" spans="1:1" x14ac:dyDescent="0.25">
      <c r="A890" s="16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</f>
        <v>073, 19461024, 08.00, ////, 07</v>
      </c>
    </row>
    <row r="891" spans="1:1" x14ac:dyDescent="0.25">
      <c r="A891" s="16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</f>
        <v>073, 19461024, 12.00, ////, 07</v>
      </c>
    </row>
    <row r="892" spans="1:1" x14ac:dyDescent="0.25">
      <c r="A892" s="16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</f>
        <v>073, 19461024, 16.00, ////, 07</v>
      </c>
    </row>
    <row r="893" spans="1:1" x14ac:dyDescent="0.25">
      <c r="A893" s="16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</f>
        <v>073, 19461025, 08.00, ////, 07</v>
      </c>
    </row>
    <row r="894" spans="1:1" x14ac:dyDescent="0.25">
      <c r="A894" s="16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</f>
        <v>073, 19461025, 12.00, ////, 07</v>
      </c>
    </row>
    <row r="895" spans="1:1" x14ac:dyDescent="0.25">
      <c r="A895" s="16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</f>
        <v>073, 19461025, 16.00, ////, 07</v>
      </c>
    </row>
    <row r="896" spans="1:1" x14ac:dyDescent="0.25">
      <c r="A896" s="16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</f>
        <v>073, 19461026, 08.00, ////, 07</v>
      </c>
    </row>
    <row r="897" spans="1:1" x14ac:dyDescent="0.25">
      <c r="A897" s="16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</f>
        <v>073, 19461026, 12.00, ////, 07</v>
      </c>
    </row>
    <row r="898" spans="1:1" x14ac:dyDescent="0.25">
      <c r="A898" s="16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</f>
        <v>073, 19461026, 16.00, ////, 07</v>
      </c>
    </row>
    <row r="899" spans="1:1" x14ac:dyDescent="0.25">
      <c r="A899" s="16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</f>
        <v>073, 19461027, 08.00, ////, 07</v>
      </c>
    </row>
    <row r="900" spans="1:1" x14ac:dyDescent="0.25">
      <c r="A900" s="16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</f>
        <v>073, 19461027, 12.00, ////, 07</v>
      </c>
    </row>
    <row r="901" spans="1:1" x14ac:dyDescent="0.25">
      <c r="A901" s="16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</f>
        <v>073, 19461027, 16.00, ////, 07</v>
      </c>
    </row>
    <row r="902" spans="1:1" x14ac:dyDescent="0.25">
      <c r="A902" s="16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</f>
        <v>073, 19461028, 08.00, ////, 07</v>
      </c>
    </row>
    <row r="903" spans="1:1" x14ac:dyDescent="0.25">
      <c r="A903" s="16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</f>
        <v>073, 19461028, 12.00, ////, 07</v>
      </c>
    </row>
    <row r="904" spans="1:1" x14ac:dyDescent="0.25">
      <c r="A904" s="16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</f>
        <v>073, 19461028, 16.00, ////, 07</v>
      </c>
    </row>
    <row r="905" spans="1:1" x14ac:dyDescent="0.25">
      <c r="A905" s="16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</f>
        <v>073, 19461029, 08.00, ////, 07</v>
      </c>
    </row>
    <row r="906" spans="1:1" x14ac:dyDescent="0.25">
      <c r="A906" s="16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</f>
        <v>073, 19461029, 12.00, ////, 07</v>
      </c>
    </row>
    <row r="907" spans="1:1" x14ac:dyDescent="0.25">
      <c r="A907" s="16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</f>
        <v>073, 19461029, 16.00, ////, 07</v>
      </c>
    </row>
    <row r="908" spans="1:1" x14ac:dyDescent="0.25">
      <c r="A908" s="16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</f>
        <v>073, 19461030, 08.00, ////, 07</v>
      </c>
    </row>
    <row r="909" spans="1:1" x14ac:dyDescent="0.25">
      <c r="A909" s="16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</f>
        <v>073, 19461030, 12.00, ////, 07</v>
      </c>
    </row>
    <row r="910" spans="1:1" x14ac:dyDescent="0.25">
      <c r="A910" s="16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</f>
        <v>073, 19461030, 16.00, ////, 07</v>
      </c>
    </row>
    <row r="911" spans="1:1" x14ac:dyDescent="0.25">
      <c r="A911" s="16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</f>
        <v>073, 19461031, 08.00, ////, 07</v>
      </c>
    </row>
    <row r="912" spans="1:1" x14ac:dyDescent="0.25">
      <c r="A912" s="16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</f>
        <v>073, 19461031, 12.00, ////, 07</v>
      </c>
    </row>
    <row r="913" spans="1:1" x14ac:dyDescent="0.25">
      <c r="A913" s="16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</f>
        <v>073, 19461031, 16.00, ////, 07</v>
      </c>
    </row>
    <row r="914" spans="1:1" x14ac:dyDescent="0.25">
      <c r="A914" s="16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</f>
        <v>073, 19461101, 08.00, ////, 07</v>
      </c>
    </row>
    <row r="915" spans="1:1" x14ac:dyDescent="0.25">
      <c r="A915" s="16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</f>
        <v>073, 19461101, 12.00, ////, 07</v>
      </c>
    </row>
    <row r="916" spans="1:1" x14ac:dyDescent="0.25">
      <c r="A916" s="16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</f>
        <v>073, 19461101, 16.00, ////, 07</v>
      </c>
    </row>
    <row r="917" spans="1:1" x14ac:dyDescent="0.25">
      <c r="A917" s="16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</f>
        <v>073, 19461102, 08.00, ////, 07</v>
      </c>
    </row>
    <row r="918" spans="1:1" x14ac:dyDescent="0.25">
      <c r="A918" s="16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</f>
        <v>073, 19461102, 12.00, ////, 07</v>
      </c>
    </row>
    <row r="919" spans="1:1" x14ac:dyDescent="0.25">
      <c r="A919" s="16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</f>
        <v>073, 19461102, 16.00, ////, 07</v>
      </c>
    </row>
    <row r="920" spans="1:1" x14ac:dyDescent="0.25">
      <c r="A920" s="16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</f>
        <v>073, 19461103, 08.00, ////, 07</v>
      </c>
    </row>
    <row r="921" spans="1:1" x14ac:dyDescent="0.25">
      <c r="A921" s="16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</f>
        <v>073, 19461103, 12.00, ////, 07</v>
      </c>
    </row>
    <row r="922" spans="1:1" x14ac:dyDescent="0.25">
      <c r="A922" s="16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</f>
        <v>073, 19461103, 16.00, ////, 07</v>
      </c>
    </row>
    <row r="923" spans="1:1" x14ac:dyDescent="0.25">
      <c r="A923" s="16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</f>
        <v>073, 19461104, 08.00, ////, 07</v>
      </c>
    </row>
    <row r="924" spans="1:1" x14ac:dyDescent="0.25">
      <c r="A924" s="16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</f>
        <v>073, 19461104, 12.00, ////, 07</v>
      </c>
    </row>
    <row r="925" spans="1:1" x14ac:dyDescent="0.25">
      <c r="A925" s="16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</f>
        <v>073, 19461104, 16.00, ////, 07</v>
      </c>
    </row>
    <row r="926" spans="1:1" x14ac:dyDescent="0.25">
      <c r="A926" s="16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</f>
        <v>073, 19461105, 08.00, ////, 07</v>
      </c>
    </row>
    <row r="927" spans="1:1" x14ac:dyDescent="0.25">
      <c r="A927" s="16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</f>
        <v>073, 19461105, 12.00, ////, 07</v>
      </c>
    </row>
    <row r="928" spans="1:1" x14ac:dyDescent="0.25">
      <c r="A928" s="16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</f>
        <v>073, 19461105, 16.00, ////, 07</v>
      </c>
    </row>
    <row r="929" spans="1:1" x14ac:dyDescent="0.25">
      <c r="A929" s="16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</f>
        <v>073, 19461106, 08.00, ////, 07</v>
      </c>
    </row>
    <row r="930" spans="1:1" x14ac:dyDescent="0.25">
      <c r="A930" s="16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</f>
        <v>073, 19461106, 12.00, ////, 07</v>
      </c>
    </row>
    <row r="931" spans="1:1" x14ac:dyDescent="0.25">
      <c r="A931" s="16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</f>
        <v>073, 19461106, 16.00, ////, 07</v>
      </c>
    </row>
    <row r="932" spans="1:1" x14ac:dyDescent="0.25">
      <c r="A932" s="16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</f>
        <v>073, 19461107, 08.00, ////, 07</v>
      </c>
    </row>
    <row r="933" spans="1:1" x14ac:dyDescent="0.25">
      <c r="A933" s="16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</f>
        <v>073, 19461107, 12.00, ////, 07</v>
      </c>
    </row>
    <row r="934" spans="1:1" x14ac:dyDescent="0.25">
      <c r="A934" s="16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</f>
        <v>073, 19461107, 16.00, ////, 07</v>
      </c>
    </row>
    <row r="935" spans="1:1" x14ac:dyDescent="0.25">
      <c r="A935" s="16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</f>
        <v>073, 19461108, 08.00, ////, 07</v>
      </c>
    </row>
    <row r="936" spans="1:1" x14ac:dyDescent="0.25">
      <c r="A936" s="16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</f>
        <v>073, 19461108, 12.00, ////, 07</v>
      </c>
    </row>
    <row r="937" spans="1:1" x14ac:dyDescent="0.25">
      <c r="A937" s="16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</f>
        <v>073, 19461108, 16.00, ////, 07</v>
      </c>
    </row>
    <row r="938" spans="1:1" x14ac:dyDescent="0.25">
      <c r="A938" s="16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</f>
        <v>073, 19461109, 08.00, ////, 07</v>
      </c>
    </row>
    <row r="939" spans="1:1" x14ac:dyDescent="0.25">
      <c r="A939" s="16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</f>
        <v>073, 19461109, 12.00, ////, 07</v>
      </c>
    </row>
    <row r="940" spans="1:1" x14ac:dyDescent="0.25">
      <c r="A940" s="16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</f>
        <v>073, 19461109, 16.00, ////, 07</v>
      </c>
    </row>
    <row r="941" spans="1:1" x14ac:dyDescent="0.25">
      <c r="A941" s="16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</f>
        <v>073, 19461110, 08.00, ////, 07</v>
      </c>
    </row>
    <row r="942" spans="1:1" x14ac:dyDescent="0.25">
      <c r="A942" s="16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</f>
        <v>073, 19461110, 12.00, ////, 07</v>
      </c>
    </row>
    <row r="943" spans="1:1" x14ac:dyDescent="0.25">
      <c r="A943" s="16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</f>
        <v>073, 19461110, 16.00, ////, 07</v>
      </c>
    </row>
    <row r="944" spans="1:1" x14ac:dyDescent="0.25">
      <c r="A944" s="16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</f>
        <v>073, 19461111, 08.00, ////, 07</v>
      </c>
    </row>
    <row r="945" spans="1:1" x14ac:dyDescent="0.25">
      <c r="A945" s="16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</f>
        <v>073, 19461111, 12.00, ////, 07</v>
      </c>
    </row>
    <row r="946" spans="1:1" x14ac:dyDescent="0.25">
      <c r="A946" s="16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</f>
        <v>073, 19461111, 16.00, ////, 07</v>
      </c>
    </row>
    <row r="947" spans="1:1" x14ac:dyDescent="0.25">
      <c r="A947" s="16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</f>
        <v>073, 19461112, 08.00, ////, 07</v>
      </c>
    </row>
    <row r="948" spans="1:1" x14ac:dyDescent="0.25">
      <c r="A948" s="16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</f>
        <v>073, 19461112, 12.00, ////, 07</v>
      </c>
    </row>
    <row r="949" spans="1:1" x14ac:dyDescent="0.25">
      <c r="A949" s="16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</f>
        <v>073, 19461112, 16.00, ////, 07</v>
      </c>
    </row>
    <row r="950" spans="1:1" x14ac:dyDescent="0.25">
      <c r="A950" s="16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</f>
        <v>073, 19461113, 08.00, ////, 07</v>
      </c>
    </row>
    <row r="951" spans="1:1" x14ac:dyDescent="0.25">
      <c r="A951" s="16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</f>
        <v>073, 19461113, 12.00, ////, 07</v>
      </c>
    </row>
    <row r="952" spans="1:1" x14ac:dyDescent="0.25">
      <c r="A952" s="16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</f>
        <v>073, 19461113, 16.00, ////, 07</v>
      </c>
    </row>
    <row r="953" spans="1:1" x14ac:dyDescent="0.25">
      <c r="A953" s="16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</f>
        <v>073, 19461114, 08.00, ////, 07</v>
      </c>
    </row>
    <row r="954" spans="1:1" x14ac:dyDescent="0.25">
      <c r="A954" s="16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</f>
        <v>073, 19461114, 12.00, ////, 07</v>
      </c>
    </row>
    <row r="955" spans="1:1" x14ac:dyDescent="0.25">
      <c r="A955" s="16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</f>
        <v>073, 19461114, 16.00, ////, 07</v>
      </c>
    </row>
    <row r="956" spans="1:1" x14ac:dyDescent="0.25">
      <c r="A956" s="16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</f>
        <v>073, 19461115, 08.00, ////, 07</v>
      </c>
    </row>
    <row r="957" spans="1:1" x14ac:dyDescent="0.25">
      <c r="A957" s="16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</f>
        <v>073, 19461115, 12.00, ////, 07</v>
      </c>
    </row>
    <row r="958" spans="1:1" x14ac:dyDescent="0.25">
      <c r="A958" s="16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</f>
        <v>073, 19461115, 16.00, ////, 07</v>
      </c>
    </row>
    <row r="959" spans="1:1" x14ac:dyDescent="0.25">
      <c r="A959" s="16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</f>
        <v>073, 19461116, 08.00, ////, 07</v>
      </c>
    </row>
    <row r="960" spans="1:1" x14ac:dyDescent="0.25">
      <c r="A960" s="16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</f>
        <v>073, 19461116, 12.00, ////, 07</v>
      </c>
    </row>
    <row r="961" spans="1:1" x14ac:dyDescent="0.25">
      <c r="A961" s="16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</f>
        <v>073, 19461116, 16.00, ////, 07</v>
      </c>
    </row>
    <row r="962" spans="1:1" x14ac:dyDescent="0.25">
      <c r="A962" s="16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</f>
        <v>073, 19461117, 08.00, ////, 07</v>
      </c>
    </row>
    <row r="963" spans="1:1" x14ac:dyDescent="0.25">
      <c r="A963" s="16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</f>
        <v>073, 19461117, 12.00, ////, 07</v>
      </c>
    </row>
    <row r="964" spans="1:1" x14ac:dyDescent="0.25">
      <c r="A964" s="16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</f>
        <v>073, 19461117, 16.00, ////, 07</v>
      </c>
    </row>
    <row r="965" spans="1:1" x14ac:dyDescent="0.25">
      <c r="A965" s="16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</f>
        <v>073, 19461118, 08.00, ////, 07</v>
      </c>
    </row>
    <row r="966" spans="1:1" x14ac:dyDescent="0.25">
      <c r="A966" s="16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</f>
        <v>073, 19461118, 12.00, ////, 07</v>
      </c>
    </row>
    <row r="967" spans="1:1" x14ac:dyDescent="0.25">
      <c r="A967" s="16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</f>
        <v>073, 19461118, 16.00, ////, 07</v>
      </c>
    </row>
    <row r="968" spans="1:1" x14ac:dyDescent="0.25">
      <c r="A968" s="16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</f>
        <v>073, 19461119, 08.00, ////, 07</v>
      </c>
    </row>
    <row r="969" spans="1:1" x14ac:dyDescent="0.25">
      <c r="A969" s="16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</f>
        <v>073, 19461119, 12.00, ////, 07</v>
      </c>
    </row>
    <row r="970" spans="1:1" x14ac:dyDescent="0.25">
      <c r="A970" s="16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</f>
        <v>073, 19461119, 16.00, ////, 07</v>
      </c>
    </row>
    <row r="971" spans="1:1" x14ac:dyDescent="0.25">
      <c r="A971" s="16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</f>
        <v>073, 19461120, 08.00, ////, 07</v>
      </c>
    </row>
    <row r="972" spans="1:1" x14ac:dyDescent="0.25">
      <c r="A972" s="16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</f>
        <v>073, 19461120, 12.00, ////, 07</v>
      </c>
    </row>
    <row r="973" spans="1:1" x14ac:dyDescent="0.25">
      <c r="A973" s="16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</f>
        <v>073, 19461120, 16.00, ////, 07</v>
      </c>
    </row>
    <row r="974" spans="1:1" x14ac:dyDescent="0.25">
      <c r="A974" s="16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</f>
        <v>073, 19461121, 08.00, ////, 07</v>
      </c>
    </row>
    <row r="975" spans="1:1" x14ac:dyDescent="0.25">
      <c r="A975" s="16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</f>
        <v>073, 19461121, 12.00, ////, 07</v>
      </c>
    </row>
    <row r="976" spans="1:1" x14ac:dyDescent="0.25">
      <c r="A976" s="16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</f>
        <v>073, 19461121, 16.00, ////, 07</v>
      </c>
    </row>
    <row r="977" spans="1:1" x14ac:dyDescent="0.25">
      <c r="A977" s="16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</f>
        <v>073, 19461122, 08.00, ////, 07</v>
      </c>
    </row>
    <row r="978" spans="1:1" x14ac:dyDescent="0.25">
      <c r="A978" s="16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</f>
        <v>073, 19461122, 12.00, ////, 07</v>
      </c>
    </row>
    <row r="979" spans="1:1" x14ac:dyDescent="0.25">
      <c r="A979" s="16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</f>
        <v>073, 19461122, 16.00, ////, 07</v>
      </c>
    </row>
    <row r="980" spans="1:1" x14ac:dyDescent="0.25">
      <c r="A980" s="16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</f>
        <v>073, 19461123, 08.00, ////, 07</v>
      </c>
    </row>
    <row r="981" spans="1:1" x14ac:dyDescent="0.25">
      <c r="A981" s="16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</f>
        <v>073, 19461123, 12.00, ////, 07</v>
      </c>
    </row>
    <row r="982" spans="1:1" x14ac:dyDescent="0.25">
      <c r="A982" s="16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</f>
        <v>073, 19461123, 16.00, ////, 07</v>
      </c>
    </row>
    <row r="983" spans="1:1" x14ac:dyDescent="0.25">
      <c r="A983" s="16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</f>
        <v>073, 19461124, 08.00, ////, 07</v>
      </c>
    </row>
    <row r="984" spans="1:1" x14ac:dyDescent="0.25">
      <c r="A984" s="16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</f>
        <v>073, 19461124, 12.00, ////, 07</v>
      </c>
    </row>
    <row r="985" spans="1:1" x14ac:dyDescent="0.25">
      <c r="A985" s="16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</f>
        <v>073, 19461124, 16.00, ////, 07</v>
      </c>
    </row>
    <row r="986" spans="1:1" x14ac:dyDescent="0.25">
      <c r="A986" s="16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</f>
        <v>073, 19461125, 08.00, ////, 07</v>
      </c>
    </row>
    <row r="987" spans="1:1" x14ac:dyDescent="0.25">
      <c r="A987" s="16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</f>
        <v>073, 19461125, 12.00, ////, 07</v>
      </c>
    </row>
    <row r="988" spans="1:1" x14ac:dyDescent="0.25">
      <c r="A988" s="16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</f>
        <v>073, 19461125, 16.00, ////, 07</v>
      </c>
    </row>
    <row r="989" spans="1:1" x14ac:dyDescent="0.25">
      <c r="A989" s="16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</f>
        <v>073, 19461126, 08.00, ////, 07</v>
      </c>
    </row>
    <row r="990" spans="1:1" x14ac:dyDescent="0.25">
      <c r="A990" s="16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</f>
        <v>073, 19461126, 12.00, ////, 07</v>
      </c>
    </row>
    <row r="991" spans="1:1" x14ac:dyDescent="0.25">
      <c r="A991" s="16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</f>
        <v>073, 19461126, 16.00, ////, 07</v>
      </c>
    </row>
    <row r="992" spans="1:1" x14ac:dyDescent="0.25">
      <c r="A992" s="16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</f>
        <v>073, 19461127, 08.00, ////, 07</v>
      </c>
    </row>
    <row r="993" spans="1:1" x14ac:dyDescent="0.25">
      <c r="A993" s="16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</f>
        <v>073, 19461127, 12.00, ////, 07</v>
      </c>
    </row>
    <row r="994" spans="1:1" x14ac:dyDescent="0.25">
      <c r="A994" s="16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</f>
        <v>073, 19461127, 16.00, ////, 07</v>
      </c>
    </row>
    <row r="995" spans="1:1" x14ac:dyDescent="0.25">
      <c r="A995" s="16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</f>
        <v>073, 19461128, 08.00, ////, 07</v>
      </c>
    </row>
    <row r="996" spans="1:1" x14ac:dyDescent="0.25">
      <c r="A996" s="16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</f>
        <v>073, 19461128, 12.00, ////, 07</v>
      </c>
    </row>
    <row r="997" spans="1:1" x14ac:dyDescent="0.25">
      <c r="A997" s="16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</f>
        <v>073, 19461128, 16.00, ////, 07</v>
      </c>
    </row>
    <row r="998" spans="1:1" x14ac:dyDescent="0.25">
      <c r="A998" s="16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</f>
        <v>073, 19461129, 08.00, ////, 07</v>
      </c>
    </row>
    <row r="999" spans="1:1" x14ac:dyDescent="0.25">
      <c r="A999" s="16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</f>
        <v>073, 19461129, 12.00, ////, 07</v>
      </c>
    </row>
    <row r="1000" spans="1:1" x14ac:dyDescent="0.25">
      <c r="A1000" s="16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</f>
        <v>073, 19461129, 16.00, ////, 07</v>
      </c>
    </row>
    <row r="1001" spans="1:1" x14ac:dyDescent="0.25">
      <c r="A1001" s="16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</f>
        <v>073, 19461130, 08.00, ////, 07</v>
      </c>
    </row>
    <row r="1002" spans="1:1" x14ac:dyDescent="0.25">
      <c r="A1002" s="16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</f>
        <v>073, 19461130, 12.00, ////, 07</v>
      </c>
    </row>
    <row r="1003" spans="1:1" x14ac:dyDescent="0.25">
      <c r="A1003" s="16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</f>
        <v>073, 19461130, 16.00, ////, 07</v>
      </c>
    </row>
    <row r="1004" spans="1:1" x14ac:dyDescent="0.25">
      <c r="A1004" s="16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</f>
        <v>073, 19461201, 08.00, ////, 07</v>
      </c>
    </row>
    <row r="1005" spans="1:1" x14ac:dyDescent="0.25">
      <c r="A1005" s="16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</f>
        <v>073, 19461201, 12.00, ////, 07</v>
      </c>
    </row>
    <row r="1006" spans="1:1" x14ac:dyDescent="0.25">
      <c r="A1006" s="16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</f>
        <v>073, 19461201, 16.00, ////, 07</v>
      </c>
    </row>
    <row r="1007" spans="1:1" x14ac:dyDescent="0.25">
      <c r="A1007" s="16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</f>
        <v>073, 19461202, 08.00, ////, 07</v>
      </c>
    </row>
    <row r="1008" spans="1:1" x14ac:dyDescent="0.25">
      <c r="A1008" s="16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</f>
        <v>073, 19461202, 12.00, ////, 07</v>
      </c>
    </row>
    <row r="1009" spans="1:1" x14ac:dyDescent="0.25">
      <c r="A1009" s="16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</f>
        <v>073, 19461202, 16.00, ////, 07</v>
      </c>
    </row>
    <row r="1010" spans="1:1" x14ac:dyDescent="0.25">
      <c r="A1010" s="16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</f>
        <v>073, 19461203, 08.00, ////, 07</v>
      </c>
    </row>
    <row r="1011" spans="1:1" x14ac:dyDescent="0.25">
      <c r="A1011" s="16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</f>
        <v>073, 19461203, 12.00, ////, 07</v>
      </c>
    </row>
    <row r="1012" spans="1:1" x14ac:dyDescent="0.25">
      <c r="A1012" s="16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</f>
        <v>073, 19461203, 16.00, ////, 07</v>
      </c>
    </row>
    <row r="1013" spans="1:1" x14ac:dyDescent="0.25">
      <c r="A1013" s="16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</f>
        <v>073, 19461204, 08.00, ////, 07</v>
      </c>
    </row>
    <row r="1014" spans="1:1" x14ac:dyDescent="0.25">
      <c r="A1014" s="16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</f>
        <v>073, 19461204, 12.00, ////, 07</v>
      </c>
    </row>
    <row r="1015" spans="1:1" x14ac:dyDescent="0.25">
      <c r="A1015" s="16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</f>
        <v>073, 19461204, 16.00, ////, 07</v>
      </c>
    </row>
    <row r="1016" spans="1:1" x14ac:dyDescent="0.25">
      <c r="A1016" s="16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</f>
        <v>073, 19461205, 08.00, ////, 07</v>
      </c>
    </row>
    <row r="1017" spans="1:1" x14ac:dyDescent="0.25">
      <c r="A1017" s="16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</f>
        <v>073, 19461205, 12.00, ////, 07</v>
      </c>
    </row>
    <row r="1018" spans="1:1" x14ac:dyDescent="0.25">
      <c r="A1018" s="16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</f>
        <v>073, 19461205, 16.00, ////, 07</v>
      </c>
    </row>
    <row r="1019" spans="1:1" x14ac:dyDescent="0.25">
      <c r="A1019" s="16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</f>
        <v>073, 19461206, 08.00, ////, 07</v>
      </c>
    </row>
    <row r="1020" spans="1:1" x14ac:dyDescent="0.25">
      <c r="A1020" s="16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</f>
        <v>073, 19461206, 12.00, ////, 07</v>
      </c>
    </row>
    <row r="1021" spans="1:1" x14ac:dyDescent="0.25">
      <c r="A1021" s="16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</f>
        <v>073, 19461206, 16.00, ////, 07</v>
      </c>
    </row>
    <row r="1022" spans="1:1" x14ac:dyDescent="0.25">
      <c r="A1022" s="16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</f>
        <v>073, 19461207, 08.00, ////, 07</v>
      </c>
    </row>
    <row r="1023" spans="1:1" x14ac:dyDescent="0.25">
      <c r="A1023" s="16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</f>
        <v>073, 19461207, 12.00, ////, 07</v>
      </c>
    </row>
    <row r="1024" spans="1:1" x14ac:dyDescent="0.25">
      <c r="A1024" s="16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</f>
        <v>073, 19461207, 16.00, ////, 07</v>
      </c>
    </row>
    <row r="1025" spans="1:1" x14ac:dyDescent="0.25">
      <c r="A1025" s="16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</f>
        <v>073, 19461208, 08.00, ////, 07</v>
      </c>
    </row>
    <row r="1026" spans="1:1" x14ac:dyDescent="0.25">
      <c r="A1026" s="16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</f>
        <v>073, 19461208, 12.00, ////, 07</v>
      </c>
    </row>
    <row r="1027" spans="1:1" x14ac:dyDescent="0.25">
      <c r="A1027" s="16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</f>
        <v>073, 19461208, 16.00, ////, 07</v>
      </c>
    </row>
    <row r="1028" spans="1:1" x14ac:dyDescent="0.25">
      <c r="A1028" s="16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</f>
        <v>073, 19461209, 08.00, ////, 07</v>
      </c>
    </row>
    <row r="1029" spans="1:1" x14ac:dyDescent="0.25">
      <c r="A1029" s="16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</f>
        <v>073, 19461209, 12.00, ////, 07</v>
      </c>
    </row>
    <row r="1030" spans="1:1" x14ac:dyDescent="0.25">
      <c r="A1030" s="16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</f>
        <v>073, 19461209, 16.00, ////, 07</v>
      </c>
    </row>
    <row r="1031" spans="1:1" x14ac:dyDescent="0.25">
      <c r="A1031" s="16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</f>
        <v>073, 19461210, 08.00, ////, 07</v>
      </c>
    </row>
    <row r="1032" spans="1:1" x14ac:dyDescent="0.25">
      <c r="A1032" s="16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</f>
        <v>073, 19461210, 12.00, ////, 07</v>
      </c>
    </row>
    <row r="1033" spans="1:1" x14ac:dyDescent="0.25">
      <c r="A1033" s="16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</f>
        <v>073, 19461210, 16.00, ////, 07</v>
      </c>
    </row>
    <row r="1034" spans="1:1" x14ac:dyDescent="0.25">
      <c r="A1034" s="16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</f>
        <v>073, 19461211, 08.00, ////, 07</v>
      </c>
    </row>
    <row r="1035" spans="1:1" x14ac:dyDescent="0.25">
      <c r="A1035" s="16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</f>
        <v>073, 19461211, 12.00, ////, 07</v>
      </c>
    </row>
    <row r="1036" spans="1:1" x14ac:dyDescent="0.25">
      <c r="A1036" s="16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</f>
        <v>073, 19461211, 16.00, ////, 07</v>
      </c>
    </row>
    <row r="1037" spans="1:1" x14ac:dyDescent="0.25">
      <c r="A1037" s="16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</f>
        <v>073, 19461212, 08.00, ////, 07</v>
      </c>
    </row>
    <row r="1038" spans="1:1" x14ac:dyDescent="0.25">
      <c r="A1038" s="16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</f>
        <v>073, 19461212, 12.00, ////, 07</v>
      </c>
    </row>
    <row r="1039" spans="1:1" x14ac:dyDescent="0.25">
      <c r="A1039" s="16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</f>
        <v>073, 19461212, 16.00, ////, 07</v>
      </c>
    </row>
    <row r="1040" spans="1:1" x14ac:dyDescent="0.25">
      <c r="A1040" s="16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</f>
        <v>073, 19461213, 08.00, ////, 07</v>
      </c>
    </row>
    <row r="1041" spans="1:1" x14ac:dyDescent="0.25">
      <c r="A1041" s="16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</f>
        <v>073, 19461213, 12.00, ////, 07</v>
      </c>
    </row>
    <row r="1042" spans="1:1" x14ac:dyDescent="0.25">
      <c r="A1042" s="16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</f>
        <v>073, 19461213, 16.00, ////, 07</v>
      </c>
    </row>
    <row r="1043" spans="1:1" x14ac:dyDescent="0.25">
      <c r="A1043" s="16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</f>
        <v>073, 19461214, 08.00, ////, 07</v>
      </c>
    </row>
    <row r="1044" spans="1:1" x14ac:dyDescent="0.25">
      <c r="A1044" s="16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</f>
        <v>073, 19461214, 12.00, ////, 07</v>
      </c>
    </row>
    <row r="1045" spans="1:1" x14ac:dyDescent="0.25">
      <c r="A1045" s="16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</f>
        <v>073, 19461214, 16.00, ////, 07</v>
      </c>
    </row>
    <row r="1046" spans="1:1" x14ac:dyDescent="0.25">
      <c r="A1046" s="16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</f>
        <v>073, 19461215, 08.00, ////, 07</v>
      </c>
    </row>
    <row r="1047" spans="1:1" x14ac:dyDescent="0.25">
      <c r="A1047" s="16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</f>
        <v>073, 19461215, 12.00, ////, 07</v>
      </c>
    </row>
    <row r="1048" spans="1:1" x14ac:dyDescent="0.25">
      <c r="A1048" s="16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</f>
        <v>073, 19461215, 16.00, ////, 07</v>
      </c>
    </row>
    <row r="1049" spans="1:1" x14ac:dyDescent="0.25">
      <c r="A1049" s="16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</f>
        <v>073, 19461216, 08.00, ////, 07</v>
      </c>
    </row>
    <row r="1050" spans="1:1" x14ac:dyDescent="0.25">
      <c r="A1050" s="16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</f>
        <v>073, 19461216, 12.00, ////, 07</v>
      </c>
    </row>
    <row r="1051" spans="1:1" x14ac:dyDescent="0.25">
      <c r="A1051" s="16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</f>
        <v>073, 19461216, 16.00, ////, 07</v>
      </c>
    </row>
    <row r="1052" spans="1:1" x14ac:dyDescent="0.25">
      <c r="A1052" s="16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</f>
        <v>073, 19461217, 08.00, ////, 07</v>
      </c>
    </row>
    <row r="1053" spans="1:1" x14ac:dyDescent="0.25">
      <c r="A1053" s="16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</f>
        <v>073, 19461217, 12.00, ////, 07</v>
      </c>
    </row>
    <row r="1054" spans="1:1" x14ac:dyDescent="0.25">
      <c r="A1054" s="16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</f>
        <v>073, 19461217, 16.00, ////, 07</v>
      </c>
    </row>
    <row r="1055" spans="1:1" x14ac:dyDescent="0.25">
      <c r="A1055" s="16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</f>
        <v>073, 19461218, 08.00, ////, 07</v>
      </c>
    </row>
    <row r="1056" spans="1:1" x14ac:dyDescent="0.25">
      <c r="A1056" s="16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</f>
        <v>073, 19461218, 12.00, ////, 07</v>
      </c>
    </row>
    <row r="1057" spans="1:1" x14ac:dyDescent="0.25">
      <c r="A1057" s="16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</f>
        <v>073, 19461218, 16.00, ////, 07</v>
      </c>
    </row>
    <row r="1058" spans="1:1" x14ac:dyDescent="0.25">
      <c r="A1058" s="16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</f>
        <v>073, 19461219, 08.00, ////, 07</v>
      </c>
    </row>
    <row r="1059" spans="1:1" x14ac:dyDescent="0.25">
      <c r="A1059" s="16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</f>
        <v>073, 19461219, 12.00, ////, 07</v>
      </c>
    </row>
    <row r="1060" spans="1:1" x14ac:dyDescent="0.25">
      <c r="A1060" s="16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</f>
        <v>073, 19461219, 16.00, ////, 07</v>
      </c>
    </row>
    <row r="1061" spans="1:1" x14ac:dyDescent="0.25">
      <c r="A1061" s="16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</f>
        <v>073, 19461220, 08.00, ////, 07</v>
      </c>
    </row>
    <row r="1062" spans="1:1" x14ac:dyDescent="0.25">
      <c r="A1062" s="16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</f>
        <v>073, 19461220, 12.00, ////, 07</v>
      </c>
    </row>
    <row r="1063" spans="1:1" x14ac:dyDescent="0.25">
      <c r="A1063" s="16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</f>
        <v>073, 19461220, 16.00, ////, 07</v>
      </c>
    </row>
    <row r="1064" spans="1:1" x14ac:dyDescent="0.25">
      <c r="A1064" s="16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</f>
        <v>073, 19461221, 08.00, ////, 07</v>
      </c>
    </row>
    <row r="1065" spans="1:1" x14ac:dyDescent="0.25">
      <c r="A1065" s="16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</f>
        <v>073, 19461221, 12.00, ////, 07</v>
      </c>
    </row>
    <row r="1066" spans="1:1" x14ac:dyDescent="0.25">
      <c r="A1066" s="16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</f>
        <v>073, 19461221, 16.00, ////, 07</v>
      </c>
    </row>
    <row r="1067" spans="1:1" x14ac:dyDescent="0.25">
      <c r="A1067" s="16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</f>
        <v>073, 19461222, 08.00, ////, 07</v>
      </c>
    </row>
    <row r="1068" spans="1:1" x14ac:dyDescent="0.25">
      <c r="A1068" s="16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</f>
        <v>073, 19461222, 12.00, ////, 07</v>
      </c>
    </row>
    <row r="1069" spans="1:1" x14ac:dyDescent="0.25">
      <c r="A1069" s="16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</f>
        <v>073, 19461222, 16.00, ////, 07</v>
      </c>
    </row>
    <row r="1070" spans="1:1" x14ac:dyDescent="0.25">
      <c r="A1070" s="16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</f>
        <v>073, 19461223, 08.00, ////, 07</v>
      </c>
    </row>
    <row r="1071" spans="1:1" x14ac:dyDescent="0.25">
      <c r="A1071" s="16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</f>
        <v>073, 19461223, 12.00, ////, 07</v>
      </c>
    </row>
    <row r="1072" spans="1:1" x14ac:dyDescent="0.25">
      <c r="A1072" s="16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</f>
        <v>073, 19461223, 16.00, ////, 07</v>
      </c>
    </row>
    <row r="1073" spans="1:1" x14ac:dyDescent="0.25">
      <c r="A1073" s="16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</f>
        <v>073, 19461224, 08.00, ////, 07</v>
      </c>
    </row>
    <row r="1074" spans="1:1" x14ac:dyDescent="0.25">
      <c r="A1074" s="16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</f>
        <v>073, 19461224, 12.00, ////, 07</v>
      </c>
    </row>
    <row r="1075" spans="1:1" x14ac:dyDescent="0.25">
      <c r="A1075" s="16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</f>
        <v>073, 19461224, 16.00, ////, 07</v>
      </c>
    </row>
    <row r="1076" spans="1:1" x14ac:dyDescent="0.25">
      <c r="A1076" s="16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</f>
        <v>073, 19461225, 08.00, ////, 07</v>
      </c>
    </row>
    <row r="1077" spans="1:1" x14ac:dyDescent="0.25">
      <c r="A1077" s="16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</f>
        <v>073, 19461225, 12.00, ////, 07</v>
      </c>
    </row>
    <row r="1078" spans="1:1" x14ac:dyDescent="0.25">
      <c r="A1078" s="16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</f>
        <v>073, 19461225, 16.00, ////, 07</v>
      </c>
    </row>
    <row r="1079" spans="1:1" x14ac:dyDescent="0.25">
      <c r="A1079" s="16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</f>
        <v>073, 19461226, 08.00, ////, 07</v>
      </c>
    </row>
    <row r="1080" spans="1:1" x14ac:dyDescent="0.25">
      <c r="A1080" s="16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</f>
        <v>073, 19461226, 12.00, ////, 07</v>
      </c>
    </row>
    <row r="1081" spans="1:1" x14ac:dyDescent="0.25">
      <c r="A1081" s="16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</f>
        <v>073, 19461226, 16.00, ////, 07</v>
      </c>
    </row>
    <row r="1082" spans="1:1" x14ac:dyDescent="0.25">
      <c r="A1082" s="16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</f>
        <v>073, 19461227, 08.00, ////, 07</v>
      </c>
    </row>
    <row r="1083" spans="1:1" x14ac:dyDescent="0.25">
      <c r="A1083" s="16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</f>
        <v>073, 19461227, 12.00, ////, 07</v>
      </c>
    </row>
    <row r="1084" spans="1:1" x14ac:dyDescent="0.25">
      <c r="A1084" s="16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</f>
        <v>073, 19461227, 16.00, ////, 07</v>
      </c>
    </row>
    <row r="1085" spans="1:1" x14ac:dyDescent="0.25">
      <c r="A1085" s="16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</f>
        <v>073, 19461228, 08.00, ////, 07</v>
      </c>
    </row>
    <row r="1086" spans="1:1" x14ac:dyDescent="0.25">
      <c r="A1086" s="16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</f>
        <v>073, 19461228, 12.00, ////, 07</v>
      </c>
    </row>
    <row r="1087" spans="1:1" x14ac:dyDescent="0.25">
      <c r="A1087" s="16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</f>
        <v>073, 19461228, 16.00, ////, 07</v>
      </c>
    </row>
    <row r="1088" spans="1:1" x14ac:dyDescent="0.25">
      <c r="A1088" s="16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</f>
        <v>073, 19461229, 08.00, ////, 07</v>
      </c>
    </row>
    <row r="1089" spans="1:1" x14ac:dyDescent="0.25">
      <c r="A1089" s="16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</f>
        <v>073, 19461229, 12.00, ////, 07</v>
      </c>
    </row>
    <row r="1090" spans="1:1" x14ac:dyDescent="0.25">
      <c r="A1090" s="16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</f>
        <v>073, 19461229, 16.00, ////, 07</v>
      </c>
    </row>
    <row r="1091" spans="1:1" x14ac:dyDescent="0.25">
      <c r="A1091" s="16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</f>
        <v>073, 19461230, 08.00, ////, 07</v>
      </c>
    </row>
    <row r="1092" spans="1:1" x14ac:dyDescent="0.25">
      <c r="A1092" s="16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</f>
        <v>073, 19461230, 12.00, ////, 07</v>
      </c>
    </row>
    <row r="1093" spans="1:1" x14ac:dyDescent="0.25">
      <c r="A1093" s="16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</f>
        <v>073, 19461230, 16.00, ////, 07</v>
      </c>
    </row>
    <row r="1094" spans="1:1" x14ac:dyDescent="0.25">
      <c r="A1094" s="16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</f>
        <v>073, 19461231, 08.00, ////, 07</v>
      </c>
    </row>
    <row r="1095" spans="1:1" x14ac:dyDescent="0.25">
      <c r="A1095" s="16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</f>
        <v>073, 19461231, 12.00, ////, 07</v>
      </c>
    </row>
    <row r="1096" spans="1:1" x14ac:dyDescent="0.25">
      <c r="A1096" s="16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</f>
        <v>073, 19461231, 16.00,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2015-10-07T11:58:44Z</dcterms:modified>
</cp:coreProperties>
</file>